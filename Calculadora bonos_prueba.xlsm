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z/Documents/jupyter/anker/"/>
    </mc:Choice>
  </mc:AlternateContent>
  <xr:revisionPtr revIDLastSave="0" documentId="8_{6FC61EDD-D73F-2C46-AE5A-89A1DFEEF61D}" xr6:coauthVersionLast="47" xr6:coauthVersionMax="47" xr10:uidLastSave="{00000000-0000-0000-0000-000000000000}"/>
  <bookViews>
    <workbookView xWindow="0" yWindow="0" windowWidth="28800" windowHeight="18000" activeTab="8" xr2:uid="{00000000-000D-0000-FFFF-FFFF00000000}"/>
  </bookViews>
  <sheets>
    <sheet name="Monitor Bonos" sheetId="19" r:id="rId1"/>
    <sheet name="Monitor Letras" sheetId="24" r:id="rId2"/>
    <sheet name="Calculo Boncer" sheetId="25" r:id="rId3"/>
    <sheet name="Calculos ALs" sheetId="7" r:id="rId4"/>
    <sheet name="Calculos GDs" sheetId="18" r:id="rId5"/>
    <sheet name="Calculo DL" sheetId="22" r:id="rId6"/>
    <sheet name="Calculo Leceres" sheetId="23" r:id="rId7"/>
    <sheet name="Dashboard" sheetId="26" r:id="rId8"/>
    <sheet name="Cotizaciones_bonos" sheetId="29" r:id="rId9"/>
  </sheets>
  <externalReferences>
    <externalReference r:id="rId10"/>
  </externalReferences>
  <definedNames>
    <definedName name="solver_adj" localSheetId="5">'Calculo DL'!$B$4</definedName>
    <definedName name="solver_adj" localSheetId="3">'Calculos ALs'!$B$4</definedName>
    <definedName name="solver_adj" localSheetId="4">'Calculos GDs'!$B$4</definedName>
    <definedName name="solver_opt" localSheetId="5">'Calculo DL'!$D$4</definedName>
    <definedName name="solver_opt" localSheetId="3">'Calculos ALs'!$D$4</definedName>
    <definedName name="solver_opt" localSheetId="4">'Calculos GDs'!$D$4</definedName>
    <definedName name="solver_op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7" roundtripDataSignature="AMtx7mj/DZcy+q1WhDSWXyE52HHCvUaPUw=="/>
    </ext>
  </extLst>
</workbook>
</file>

<file path=xl/calcChain.xml><?xml version="1.0" encoding="utf-8"?>
<calcChain xmlns="http://schemas.openxmlformats.org/spreadsheetml/2006/main">
  <c r="I3" i="29" l="1"/>
  <c r="I4" i="29"/>
  <c r="I5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I19" i="29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2" i="29"/>
  <c r="B2" i="29"/>
  <c r="B3" i="29"/>
  <c r="B4" i="29"/>
  <c r="B5" i="29"/>
  <c r="B6" i="29"/>
  <c r="B7" i="29"/>
  <c r="B8" i="29"/>
  <c r="B9" i="29"/>
  <c r="B10" i="29"/>
  <c r="B11" i="29"/>
  <c r="B12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A39" i="29"/>
  <c r="C39" i="29"/>
  <c r="D39" i="29"/>
  <c r="E39" i="29"/>
  <c r="F39" i="29"/>
  <c r="G39" i="29"/>
  <c r="H39" i="29"/>
  <c r="A40" i="29"/>
  <c r="C40" i="29"/>
  <c r="D40" i="29"/>
  <c r="E40" i="29"/>
  <c r="F40" i="29"/>
  <c r="G40" i="29"/>
  <c r="H40" i="29"/>
  <c r="A41" i="29"/>
  <c r="C41" i="29"/>
  <c r="D41" i="29"/>
  <c r="E41" i="29"/>
  <c r="F41" i="29"/>
  <c r="G41" i="29"/>
  <c r="H41" i="29"/>
  <c r="A42" i="29"/>
  <c r="C42" i="29"/>
  <c r="D42" i="29"/>
  <c r="E42" i="29"/>
  <c r="F42" i="29"/>
  <c r="G42" i="29"/>
  <c r="H42" i="29"/>
  <c r="A43" i="29"/>
  <c r="C43" i="29"/>
  <c r="D43" i="29"/>
  <c r="E43" i="29"/>
  <c r="F43" i="29"/>
  <c r="G43" i="29"/>
  <c r="H43" i="29"/>
  <c r="A44" i="29"/>
  <c r="C44" i="29"/>
  <c r="D44" i="29"/>
  <c r="E44" i="29"/>
  <c r="F44" i="29"/>
  <c r="G44" i="29"/>
  <c r="H44" i="29"/>
  <c r="A45" i="29"/>
  <c r="C45" i="29"/>
  <c r="D45" i="29"/>
  <c r="E45" i="29"/>
  <c r="F45" i="29"/>
  <c r="G45" i="29"/>
  <c r="H45" i="29"/>
  <c r="A46" i="29"/>
  <c r="C46" i="29"/>
  <c r="D46" i="29"/>
  <c r="E46" i="29"/>
  <c r="F46" i="29"/>
  <c r="G46" i="29"/>
  <c r="H46" i="29"/>
  <c r="A47" i="29"/>
  <c r="C47" i="29"/>
  <c r="D47" i="29"/>
  <c r="E47" i="29"/>
  <c r="F47" i="29"/>
  <c r="G47" i="29"/>
  <c r="H47" i="29"/>
  <c r="A48" i="29"/>
  <c r="C48" i="29"/>
  <c r="D48" i="29"/>
  <c r="E48" i="29"/>
  <c r="F48" i="29"/>
  <c r="G48" i="29"/>
  <c r="H48" i="29"/>
  <c r="A49" i="29"/>
  <c r="C49" i="29"/>
  <c r="D49" i="29"/>
  <c r="E49" i="29"/>
  <c r="F49" i="29"/>
  <c r="G49" i="29"/>
  <c r="H49" i="29"/>
  <c r="A50" i="29"/>
  <c r="C50" i="29"/>
  <c r="D50" i="29"/>
  <c r="E50" i="29"/>
  <c r="F50" i="29"/>
  <c r="G50" i="29"/>
  <c r="H50" i="29"/>
  <c r="A51" i="29"/>
  <c r="C51" i="29"/>
  <c r="D51" i="29"/>
  <c r="E51" i="29"/>
  <c r="F51" i="29"/>
  <c r="G51" i="29"/>
  <c r="H51" i="29"/>
  <c r="A52" i="29"/>
  <c r="B52" i="29"/>
  <c r="C52" i="29"/>
  <c r="D52" i="29"/>
  <c r="E52" i="29"/>
  <c r="F52" i="29"/>
  <c r="G52" i="29"/>
  <c r="H52" i="29"/>
  <c r="A53" i="29"/>
  <c r="B53" i="29"/>
  <c r="C53" i="29"/>
  <c r="D53" i="29"/>
  <c r="E53" i="29"/>
  <c r="F53" i="29"/>
  <c r="G53" i="29"/>
  <c r="H53" i="29"/>
  <c r="A54" i="29"/>
  <c r="B54" i="29"/>
  <c r="C54" i="29"/>
  <c r="D54" i="29"/>
  <c r="E54" i="29"/>
  <c r="F54" i="29"/>
  <c r="G54" i="29"/>
  <c r="H54" i="29"/>
  <c r="A55" i="29"/>
  <c r="B55" i="29"/>
  <c r="C55" i="29"/>
  <c r="D55" i="29"/>
  <c r="E55" i="29"/>
  <c r="F55" i="29"/>
  <c r="G55" i="29"/>
  <c r="H55" i="29"/>
  <c r="A56" i="29"/>
  <c r="B56" i="29"/>
  <c r="C56" i="29"/>
  <c r="D56" i="29"/>
  <c r="E56" i="29"/>
  <c r="F56" i="29"/>
  <c r="G56" i="29"/>
  <c r="H56" i="29"/>
  <c r="A57" i="29"/>
  <c r="B57" i="29"/>
  <c r="C57" i="29"/>
  <c r="D57" i="29"/>
  <c r="E57" i="29"/>
  <c r="F57" i="29"/>
  <c r="G57" i="29"/>
  <c r="H57" i="29"/>
  <c r="A58" i="29"/>
  <c r="B58" i="29"/>
  <c r="C58" i="29"/>
  <c r="D58" i="29"/>
  <c r="E58" i="29"/>
  <c r="F58" i="29"/>
  <c r="G58" i="29"/>
  <c r="H58" i="29"/>
  <c r="A59" i="29"/>
  <c r="B59" i="29"/>
  <c r="C59" i="29"/>
  <c r="D59" i="29"/>
  <c r="E59" i="29"/>
  <c r="F59" i="29"/>
  <c r="G59" i="29"/>
  <c r="H59" i="29"/>
  <c r="A60" i="29"/>
  <c r="B60" i="29"/>
  <c r="C60" i="29"/>
  <c r="D60" i="29"/>
  <c r="E60" i="29"/>
  <c r="F60" i="29"/>
  <c r="G60" i="29"/>
  <c r="H60" i="29"/>
  <c r="A2" i="29"/>
  <c r="C2" i="29"/>
  <c r="D2" i="29"/>
  <c r="E2" i="29"/>
  <c r="F2" i="29"/>
  <c r="G2" i="29"/>
  <c r="H2" i="29"/>
  <c r="A3" i="29"/>
  <c r="C3" i="29"/>
  <c r="D3" i="29"/>
  <c r="E3" i="29"/>
  <c r="F3" i="29"/>
  <c r="G3" i="29"/>
  <c r="H3" i="29"/>
  <c r="A4" i="29"/>
  <c r="C4" i="29"/>
  <c r="D4" i="29"/>
  <c r="E4" i="29"/>
  <c r="F4" i="29"/>
  <c r="G4" i="29"/>
  <c r="H4" i="29"/>
  <c r="A5" i="29"/>
  <c r="C5" i="29"/>
  <c r="D5" i="29"/>
  <c r="E5" i="29"/>
  <c r="F5" i="29"/>
  <c r="G5" i="29"/>
  <c r="H5" i="29"/>
  <c r="A6" i="29"/>
  <c r="C6" i="29"/>
  <c r="D6" i="29"/>
  <c r="E6" i="29"/>
  <c r="F6" i="29"/>
  <c r="G6" i="29"/>
  <c r="H6" i="29"/>
  <c r="A7" i="29"/>
  <c r="C7" i="29"/>
  <c r="D7" i="29"/>
  <c r="E7" i="29"/>
  <c r="F7" i="29"/>
  <c r="G7" i="29"/>
  <c r="H7" i="29"/>
  <c r="A8" i="29"/>
  <c r="C8" i="29"/>
  <c r="D8" i="29"/>
  <c r="E8" i="29"/>
  <c r="F8" i="29"/>
  <c r="G8" i="29"/>
  <c r="H8" i="29"/>
  <c r="A9" i="29"/>
  <c r="C9" i="29"/>
  <c r="D9" i="29"/>
  <c r="E9" i="29"/>
  <c r="F9" i="29"/>
  <c r="G9" i="29"/>
  <c r="H9" i="29"/>
  <c r="A10" i="29"/>
  <c r="C10" i="29"/>
  <c r="D10" i="29"/>
  <c r="E10" i="29"/>
  <c r="F10" i="29"/>
  <c r="G10" i="29"/>
  <c r="H10" i="29"/>
  <c r="A11" i="29"/>
  <c r="C11" i="29"/>
  <c r="D11" i="29"/>
  <c r="E11" i="29"/>
  <c r="F11" i="29"/>
  <c r="G11" i="29"/>
  <c r="H11" i="29"/>
  <c r="A12" i="29"/>
  <c r="C12" i="29"/>
  <c r="D12" i="29"/>
  <c r="E12" i="29"/>
  <c r="F12" i="29"/>
  <c r="G12" i="29"/>
  <c r="H12" i="29"/>
  <c r="A13" i="29"/>
  <c r="C13" i="29"/>
  <c r="D13" i="29"/>
  <c r="E13" i="29"/>
  <c r="F13" i="29"/>
  <c r="G13" i="29"/>
  <c r="H13" i="29"/>
  <c r="A14" i="29"/>
  <c r="C14" i="29"/>
  <c r="D14" i="29"/>
  <c r="E14" i="29"/>
  <c r="F14" i="29"/>
  <c r="G14" i="29"/>
  <c r="H14" i="29"/>
  <c r="A15" i="29"/>
  <c r="C15" i="29"/>
  <c r="D15" i="29"/>
  <c r="E15" i="29"/>
  <c r="F15" i="29"/>
  <c r="G15" i="29"/>
  <c r="H15" i="29"/>
  <c r="A16" i="29"/>
  <c r="C16" i="29"/>
  <c r="D16" i="29"/>
  <c r="E16" i="29"/>
  <c r="F16" i="29"/>
  <c r="G16" i="29"/>
  <c r="H16" i="29"/>
  <c r="A17" i="29"/>
  <c r="C17" i="29"/>
  <c r="D17" i="29"/>
  <c r="E17" i="29"/>
  <c r="F17" i="29"/>
  <c r="G17" i="29"/>
  <c r="H17" i="29"/>
  <c r="A18" i="29"/>
  <c r="C18" i="29"/>
  <c r="D18" i="29"/>
  <c r="E18" i="29"/>
  <c r="F18" i="29"/>
  <c r="G18" i="29"/>
  <c r="H18" i="29"/>
  <c r="A19" i="29"/>
  <c r="C19" i="29"/>
  <c r="D19" i="29"/>
  <c r="E19" i="29"/>
  <c r="F19" i="29"/>
  <c r="G19" i="29"/>
  <c r="H19" i="29"/>
  <c r="A20" i="29"/>
  <c r="C20" i="29"/>
  <c r="D20" i="29"/>
  <c r="E20" i="29"/>
  <c r="F20" i="29"/>
  <c r="G20" i="29"/>
  <c r="H20" i="29"/>
  <c r="A21" i="29"/>
  <c r="C21" i="29"/>
  <c r="D21" i="29"/>
  <c r="E21" i="29"/>
  <c r="F21" i="29"/>
  <c r="G21" i="29"/>
  <c r="H21" i="29"/>
  <c r="A22" i="29"/>
  <c r="C22" i="29"/>
  <c r="D22" i="29"/>
  <c r="E22" i="29"/>
  <c r="F22" i="29"/>
  <c r="G22" i="29"/>
  <c r="H22" i="29"/>
  <c r="A23" i="29"/>
  <c r="C23" i="29"/>
  <c r="D23" i="29"/>
  <c r="E23" i="29"/>
  <c r="F23" i="29"/>
  <c r="G23" i="29"/>
  <c r="H23" i="29"/>
  <c r="A24" i="29"/>
  <c r="C24" i="29"/>
  <c r="D24" i="29"/>
  <c r="E24" i="29"/>
  <c r="F24" i="29"/>
  <c r="G24" i="29"/>
  <c r="H24" i="29"/>
  <c r="A25" i="29"/>
  <c r="C25" i="29"/>
  <c r="D25" i="29"/>
  <c r="E25" i="29"/>
  <c r="F25" i="29"/>
  <c r="G25" i="29"/>
  <c r="H25" i="29"/>
  <c r="A26" i="29"/>
  <c r="C26" i="29"/>
  <c r="D26" i="29"/>
  <c r="E26" i="29"/>
  <c r="F26" i="29"/>
  <c r="G26" i="29"/>
  <c r="H26" i="29"/>
  <c r="A27" i="29"/>
  <c r="C27" i="29"/>
  <c r="D27" i="29"/>
  <c r="E27" i="29"/>
  <c r="F27" i="29"/>
  <c r="G27" i="29"/>
  <c r="H27" i="29"/>
  <c r="A28" i="29"/>
  <c r="C28" i="29"/>
  <c r="D28" i="29"/>
  <c r="E28" i="29"/>
  <c r="F28" i="29"/>
  <c r="G28" i="29"/>
  <c r="H28" i="29"/>
  <c r="A29" i="29"/>
  <c r="C29" i="29"/>
  <c r="D29" i="29"/>
  <c r="E29" i="29"/>
  <c r="F29" i="29"/>
  <c r="G29" i="29"/>
  <c r="H29" i="29"/>
  <c r="A30" i="29"/>
  <c r="C30" i="29"/>
  <c r="D30" i="29"/>
  <c r="E30" i="29"/>
  <c r="F30" i="29"/>
  <c r="G30" i="29"/>
  <c r="H30" i="29"/>
  <c r="A31" i="29"/>
  <c r="C31" i="29"/>
  <c r="D31" i="29"/>
  <c r="E31" i="29"/>
  <c r="F31" i="29"/>
  <c r="G31" i="29"/>
  <c r="H31" i="29"/>
  <c r="A32" i="29"/>
  <c r="C32" i="29"/>
  <c r="D32" i="29"/>
  <c r="E32" i="29"/>
  <c r="F32" i="29"/>
  <c r="G32" i="29"/>
  <c r="H32" i="29"/>
  <c r="A33" i="29"/>
  <c r="C33" i="29"/>
  <c r="D33" i="29"/>
  <c r="E33" i="29"/>
  <c r="F33" i="29"/>
  <c r="G33" i="29"/>
  <c r="H33" i="29"/>
  <c r="A34" i="29"/>
  <c r="C34" i="29"/>
  <c r="D34" i="29"/>
  <c r="E34" i="29"/>
  <c r="F34" i="29"/>
  <c r="G34" i="29"/>
  <c r="H34" i="29"/>
  <c r="A35" i="29"/>
  <c r="C35" i="29"/>
  <c r="D35" i="29"/>
  <c r="E35" i="29"/>
  <c r="F35" i="29"/>
  <c r="G35" i="29"/>
  <c r="H35" i="29"/>
  <c r="A36" i="29"/>
  <c r="C36" i="29"/>
  <c r="D36" i="29"/>
  <c r="E36" i="29"/>
  <c r="F36" i="29"/>
  <c r="G36" i="29"/>
  <c r="H36" i="29"/>
  <c r="A37" i="29"/>
  <c r="C37" i="29"/>
  <c r="D37" i="29"/>
  <c r="E37" i="29"/>
  <c r="F37" i="29"/>
  <c r="G37" i="29"/>
  <c r="H37" i="29"/>
  <c r="A38" i="29"/>
  <c r="C38" i="29"/>
  <c r="D38" i="29"/>
  <c r="E38" i="29"/>
  <c r="F38" i="29"/>
  <c r="G38" i="29"/>
  <c r="H38" i="29"/>
  <c r="B1" i="29"/>
  <c r="C1" i="29"/>
  <c r="D1" i="29"/>
  <c r="E1" i="29"/>
  <c r="F1" i="29"/>
  <c r="G1" i="29"/>
  <c r="H1" i="29"/>
  <c r="A1" i="29"/>
  <c r="C3" i="26"/>
  <c r="C7" i="19"/>
  <c r="B6" i="25" s="1"/>
  <c r="B174" i="25"/>
  <c r="B155" i="25"/>
  <c r="B136" i="25"/>
  <c r="B117" i="25"/>
  <c r="B98" i="25"/>
  <c r="B80" i="25"/>
  <c r="B60" i="25"/>
  <c r="B41" i="25"/>
  <c r="B200" i="25"/>
  <c r="B201" i="25" s="1"/>
  <c r="U198" i="25"/>
  <c r="U197" i="25" s="1"/>
  <c r="T198" i="25"/>
  <c r="T197" i="25" s="1"/>
  <c r="S198" i="25"/>
  <c r="S197" i="25" s="1"/>
  <c r="J198" i="25"/>
  <c r="I198" i="25"/>
  <c r="B198" i="25"/>
  <c r="H197" i="25"/>
  <c r="B196" i="25"/>
  <c r="B181" i="25"/>
  <c r="B182" i="25" s="1"/>
  <c r="L179" i="25"/>
  <c r="M179" i="25" s="1"/>
  <c r="I178" i="25"/>
  <c r="I179" i="25"/>
  <c r="B179" i="25"/>
  <c r="H178" i="25"/>
  <c r="B177" i="25"/>
  <c r="L140" i="25"/>
  <c r="L141" i="25"/>
  <c r="B162" i="25"/>
  <c r="B163" i="25" s="1"/>
  <c r="I160" i="25"/>
  <c r="I159" i="25" s="1"/>
  <c r="B160" i="25"/>
  <c r="H159" i="25"/>
  <c r="B158" i="25"/>
  <c r="B143" i="25"/>
  <c r="J141" i="25"/>
  <c r="I141" i="25"/>
  <c r="B141" i="25"/>
  <c r="I140" i="25"/>
  <c r="H140" i="25"/>
  <c r="B139" i="25"/>
  <c r="B123" i="25"/>
  <c r="K122" i="25"/>
  <c r="K121" i="25"/>
  <c r="B124" i="25"/>
  <c r="B125" i="25" s="1"/>
  <c r="J122" i="25"/>
  <c r="I122" i="25"/>
  <c r="B122" i="25"/>
  <c r="H121" i="25"/>
  <c r="B120" i="25"/>
  <c r="H72" i="25"/>
  <c r="J103" i="25"/>
  <c r="J102" i="25" s="1"/>
  <c r="I103" i="25"/>
  <c r="I102" i="25" s="1"/>
  <c r="B105" i="25"/>
  <c r="B106" i="25" s="1"/>
  <c r="B103" i="25"/>
  <c r="H102" i="25"/>
  <c r="B101" i="25"/>
  <c r="B85" i="25"/>
  <c r="B87" i="25"/>
  <c r="B88" i="25" s="1"/>
  <c r="J84" i="25"/>
  <c r="I84" i="25"/>
  <c r="H84" i="25"/>
  <c r="B83" i="25"/>
  <c r="B67" i="25"/>
  <c r="B68" i="25" s="1"/>
  <c r="H74" i="25"/>
  <c r="H71" i="25" s="1"/>
  <c r="J64" i="25"/>
  <c r="B65" i="25"/>
  <c r="I64" i="25"/>
  <c r="H64" i="25"/>
  <c r="B63" i="25"/>
  <c r="B48" i="25"/>
  <c r="B49" i="25" s="1"/>
  <c r="B46" i="25"/>
  <c r="I45" i="25"/>
  <c r="H45" i="25"/>
  <c r="B44" i="25"/>
  <c r="B26" i="25"/>
  <c r="B23" i="25"/>
  <c r="B30" i="25"/>
  <c r="B31" i="25" s="1"/>
  <c r="B28" i="25"/>
  <c r="I27" i="25"/>
  <c r="H27" i="25"/>
  <c r="B5" i="25"/>
  <c r="I4" i="23" a="1"/>
  <c r="I4" i="23"/>
  <c r="B12" i="25"/>
  <c r="B10" i="25"/>
  <c r="B8" i="25"/>
  <c r="AH109" i="25"/>
  <c r="AI109" i="25" s="1"/>
  <c r="AH108" i="25"/>
  <c r="AI108" i="25" s="1"/>
  <c r="AH107" i="25"/>
  <c r="AI107" i="25" s="1"/>
  <c r="AH106" i="25"/>
  <c r="AI106" i="25" s="1"/>
  <c r="AH105" i="25"/>
  <c r="AI105" i="25" s="1"/>
  <c r="AH104" i="25"/>
  <c r="AI104" i="25" s="1"/>
  <c r="AH103" i="25"/>
  <c r="AI103" i="25" s="1"/>
  <c r="AH102" i="25"/>
  <c r="AI102" i="25" s="1"/>
  <c r="AH101" i="25"/>
  <c r="AI101" i="25" s="1"/>
  <c r="AH100" i="25"/>
  <c r="AI100" i="25" s="1"/>
  <c r="AH99" i="25"/>
  <c r="AI99" i="25" s="1"/>
  <c r="AH98" i="25"/>
  <c r="AI98" i="25" s="1"/>
  <c r="AH97" i="25"/>
  <c r="AI97" i="25" s="1"/>
  <c r="AH96" i="25"/>
  <c r="AI96" i="25" s="1"/>
  <c r="AH95" i="25"/>
  <c r="AI95" i="25" s="1"/>
  <c r="AH4" i="25" a="1"/>
  <c r="AH4" i="25" s="1"/>
  <c r="CQ1" i="19"/>
  <c r="CR1" i="19" s="1"/>
  <c r="CS1" i="19" s="1"/>
  <c r="CT1" i="19" s="1"/>
  <c r="CU1" i="19" s="1"/>
  <c r="CV1" i="19" s="1"/>
  <c r="CW1" i="19" s="1"/>
  <c r="CX1" i="19" s="1"/>
  <c r="CY1" i="19" s="1"/>
  <c r="CZ1" i="19" s="1"/>
  <c r="DA1" i="19" s="1"/>
  <c r="DB1" i="19" s="1"/>
  <c r="DC1" i="19" s="1"/>
  <c r="DD1" i="19" s="1"/>
  <c r="DE1" i="19" s="1"/>
  <c r="AG96" i="25"/>
  <c r="AG97" i="25" s="1"/>
  <c r="AG98" i="25" s="1"/>
  <c r="AG99" i="25" s="1"/>
  <c r="AG100" i="25" s="1"/>
  <c r="AG101" i="25" s="1"/>
  <c r="AG102" i="25" s="1"/>
  <c r="AG103" i="25" s="1"/>
  <c r="AG104" i="25" s="1"/>
  <c r="AG105" i="25" s="1"/>
  <c r="AG106" i="25" s="1"/>
  <c r="AG107" i="25" s="1"/>
  <c r="AG108" i="25" s="1"/>
  <c r="AG109" i="25" s="1"/>
  <c r="AG110" i="25" s="1"/>
  <c r="AG111" i="25" s="1"/>
  <c r="AG112" i="25" s="1"/>
  <c r="V198" i="25" l="1"/>
  <c r="I197" i="25"/>
  <c r="B194" i="25"/>
  <c r="J197" i="25"/>
  <c r="K198" i="25"/>
  <c r="N179" i="25"/>
  <c r="M178" i="25"/>
  <c r="L178" i="25"/>
  <c r="B175" i="25"/>
  <c r="J179" i="25"/>
  <c r="J178" i="25" s="1"/>
  <c r="B156" i="25"/>
  <c r="I156" i="25" s="1"/>
  <c r="J160" i="25"/>
  <c r="B137" i="25"/>
  <c r="L137" i="25" s="1"/>
  <c r="L143" i="25" s="1"/>
  <c r="L144" i="25" s="1"/>
  <c r="K141" i="25"/>
  <c r="J140" i="25"/>
  <c r="I121" i="25"/>
  <c r="B118" i="25"/>
  <c r="J121" i="25"/>
  <c r="B99" i="25"/>
  <c r="B81" i="25"/>
  <c r="B61" i="25"/>
  <c r="G60" i="25" s="1"/>
  <c r="B42" i="25"/>
  <c r="H24" i="25"/>
  <c r="H30" i="25" s="1"/>
  <c r="I24" i="25"/>
  <c r="I30" i="25" s="1"/>
  <c r="I31" i="25" s="1"/>
  <c r="B24" i="25"/>
  <c r="D24" i="25" s="1"/>
  <c r="AI91" i="25"/>
  <c r="AI50" i="25"/>
  <c r="AI67" i="25"/>
  <c r="G5" i="25"/>
  <c r="AI94" i="25"/>
  <c r="AI78" i="25"/>
  <c r="AI81" i="25"/>
  <c r="AI5" i="25"/>
  <c r="AI88" i="25"/>
  <c r="AI17" i="25"/>
  <c r="AI89" i="25"/>
  <c r="AI29" i="25"/>
  <c r="AI90" i="25"/>
  <c r="AI40" i="25"/>
  <c r="AI92" i="25"/>
  <c r="AI59" i="25"/>
  <c r="AI93" i="25"/>
  <c r="AI6" i="25"/>
  <c r="AI18" i="25"/>
  <c r="AI30" i="25"/>
  <c r="AI41" i="25"/>
  <c r="AI51" i="25"/>
  <c r="AI60" i="25"/>
  <c r="AI68" i="25"/>
  <c r="AI80" i="25"/>
  <c r="AI8" i="25"/>
  <c r="AI20" i="25"/>
  <c r="AI32" i="25"/>
  <c r="AI42" i="25"/>
  <c r="AI52" i="25"/>
  <c r="AI61" i="25"/>
  <c r="AI70" i="25"/>
  <c r="AI82" i="25"/>
  <c r="AI55" i="25"/>
  <c r="AI10" i="25"/>
  <c r="AI22" i="25"/>
  <c r="AI34" i="25"/>
  <c r="AI44" i="25"/>
  <c r="AI53" i="25"/>
  <c r="AI62" i="25"/>
  <c r="AI71" i="25"/>
  <c r="AI83" i="25"/>
  <c r="AI69" i="25"/>
  <c r="AI11" i="25"/>
  <c r="AI23" i="25"/>
  <c r="AI35" i="25"/>
  <c r="AI46" i="25"/>
  <c r="AI54" i="25"/>
  <c r="AI63" i="25"/>
  <c r="AI72" i="25"/>
  <c r="AI84" i="25"/>
  <c r="AI74" i="25"/>
  <c r="AI12" i="25"/>
  <c r="AI24" i="25"/>
  <c r="AI36" i="25"/>
  <c r="AI47" i="25"/>
  <c r="AI56" i="25"/>
  <c r="AI64" i="25"/>
  <c r="AI73" i="25"/>
  <c r="AI85" i="25"/>
  <c r="AI76" i="25"/>
  <c r="AI13" i="25"/>
  <c r="AI25" i="25"/>
  <c r="AI37" i="25"/>
  <c r="AI48" i="25"/>
  <c r="AI57" i="25"/>
  <c r="AI65" i="25"/>
  <c r="AI75" i="25"/>
  <c r="AI86" i="25"/>
  <c r="AI79" i="25"/>
  <c r="AI15" i="25"/>
  <c r="AI27" i="25"/>
  <c r="AI39" i="25"/>
  <c r="AI49" i="25"/>
  <c r="AI58" i="25"/>
  <c r="AI66" i="25"/>
  <c r="AI77" i="25"/>
  <c r="AI87" i="25"/>
  <c r="V197" i="25" l="1"/>
  <c r="W198" i="25"/>
  <c r="AB194" i="25"/>
  <c r="AB200" i="25" s="1"/>
  <c r="AB201" i="25" s="1"/>
  <c r="T194" i="25"/>
  <c r="T200" i="25" s="1"/>
  <c r="T201" i="25" s="1"/>
  <c r="S194" i="25"/>
  <c r="S200" i="25" s="1"/>
  <c r="S201" i="25" s="1"/>
  <c r="U194" i="25"/>
  <c r="U200" i="25" s="1"/>
  <c r="U201" i="25" s="1"/>
  <c r="AA194" i="25"/>
  <c r="AA200" i="25" s="1"/>
  <c r="AA201" i="25" s="1"/>
  <c r="Z194" i="25"/>
  <c r="Z200" i="25" s="1"/>
  <c r="Z201" i="25" s="1"/>
  <c r="Y194" i="25"/>
  <c r="Y200" i="25" s="1"/>
  <c r="Y201" i="25" s="1"/>
  <c r="X194" i="25"/>
  <c r="X200" i="25" s="1"/>
  <c r="X201" i="25" s="1"/>
  <c r="W194" i="25"/>
  <c r="W200" i="25" s="1"/>
  <c r="W201" i="25" s="1"/>
  <c r="V194" i="25"/>
  <c r="V200" i="25" s="1"/>
  <c r="V201" i="25" s="1"/>
  <c r="H175" i="25"/>
  <c r="H181" i="25" s="1"/>
  <c r="H182" i="25" s="1"/>
  <c r="H194" i="25"/>
  <c r="K197" i="25"/>
  <c r="L198" i="25"/>
  <c r="P194" i="25"/>
  <c r="R194" i="25"/>
  <c r="J194" i="25"/>
  <c r="O194" i="25"/>
  <c r="D194" i="25"/>
  <c r="N194" i="25"/>
  <c r="L194" i="25"/>
  <c r="K194" i="25"/>
  <c r="M194" i="25"/>
  <c r="G193" i="25"/>
  <c r="Q194" i="25"/>
  <c r="I194" i="25"/>
  <c r="R175" i="25"/>
  <c r="Q175" i="25"/>
  <c r="N175" i="25"/>
  <c r="M175" i="25"/>
  <c r="L175" i="25"/>
  <c r="P175" i="25"/>
  <c r="O175" i="25"/>
  <c r="O179" i="25"/>
  <c r="N178" i="25"/>
  <c r="K179" i="25"/>
  <c r="K178" i="25" s="1"/>
  <c r="G174" i="25"/>
  <c r="K175" i="25"/>
  <c r="J175" i="25"/>
  <c r="D175" i="25"/>
  <c r="I175" i="25"/>
  <c r="J156" i="25"/>
  <c r="G155" i="25"/>
  <c r="K156" i="25"/>
  <c r="D156" i="25"/>
  <c r="J159" i="25"/>
  <c r="K160" i="25"/>
  <c r="H137" i="25"/>
  <c r="H143" i="25" s="1"/>
  <c r="H144" i="25" s="1"/>
  <c r="H156" i="25"/>
  <c r="I162" i="25"/>
  <c r="I163" i="25" s="1"/>
  <c r="I137" i="25"/>
  <c r="B144" i="25"/>
  <c r="J137" i="25"/>
  <c r="K137" i="25"/>
  <c r="G136" i="25"/>
  <c r="D137" i="25"/>
  <c r="K140" i="25"/>
  <c r="I118" i="25"/>
  <c r="H118" i="25"/>
  <c r="K118" i="25"/>
  <c r="J118" i="25"/>
  <c r="D118" i="25"/>
  <c r="G117" i="25"/>
  <c r="I81" i="25"/>
  <c r="H81" i="25"/>
  <c r="G80" i="25"/>
  <c r="J81" i="25"/>
  <c r="I99" i="25"/>
  <c r="H99" i="25"/>
  <c r="G98" i="25"/>
  <c r="J99" i="25"/>
  <c r="D99" i="25"/>
  <c r="D81" i="25"/>
  <c r="J61" i="25"/>
  <c r="D61" i="25"/>
  <c r="I61" i="25"/>
  <c r="H61" i="25"/>
  <c r="I42" i="25"/>
  <c r="H42" i="25"/>
  <c r="H48" i="25" s="1"/>
  <c r="G41" i="25"/>
  <c r="D42" i="25"/>
  <c r="G23" i="25"/>
  <c r="W197" i="25" l="1"/>
  <c r="X198" i="25"/>
  <c r="J200" i="25"/>
  <c r="J201" i="25" s="1"/>
  <c r="K200" i="25"/>
  <c r="K201" i="25" s="1"/>
  <c r="L197" i="25"/>
  <c r="L200" i="25" s="1"/>
  <c r="L201" i="25" s="1"/>
  <c r="M198" i="25"/>
  <c r="H200" i="25"/>
  <c r="H201" i="25" s="1"/>
  <c r="I200" i="25"/>
  <c r="I201" i="25" s="1"/>
  <c r="Q181" i="25"/>
  <c r="Q182" i="25" s="1"/>
  <c r="O181" i="25"/>
  <c r="O182" i="25" s="1"/>
  <c r="P181" i="25"/>
  <c r="P182" i="25" s="1"/>
  <c r="L181" i="25"/>
  <c r="L182" i="25" s="1"/>
  <c r="M181" i="25"/>
  <c r="M182" i="25" s="1"/>
  <c r="N181" i="25"/>
  <c r="N182" i="25" s="1"/>
  <c r="R181" i="25"/>
  <c r="R182" i="25" s="1"/>
  <c r="P179" i="25"/>
  <c r="O178" i="25"/>
  <c r="J181" i="25"/>
  <c r="J182" i="25" s="1"/>
  <c r="K181" i="25"/>
  <c r="K182" i="25" s="1"/>
  <c r="I181" i="25"/>
  <c r="I182" i="25" s="1"/>
  <c r="J162" i="25"/>
  <c r="J163" i="25" s="1"/>
  <c r="H162" i="25"/>
  <c r="H163" i="25" s="1"/>
  <c r="K159" i="25"/>
  <c r="K162" i="25" s="1"/>
  <c r="K163" i="25" s="1"/>
  <c r="I143" i="25"/>
  <c r="I144" i="25" s="1"/>
  <c r="J143" i="25"/>
  <c r="J144" i="25" s="1"/>
  <c r="K124" i="25"/>
  <c r="K125" i="25" s="1"/>
  <c r="I124" i="25"/>
  <c r="I125" i="25" s="1"/>
  <c r="J124" i="25"/>
  <c r="J125" i="25" s="1"/>
  <c r="H124" i="25"/>
  <c r="H125" i="25" s="1"/>
  <c r="J105" i="25"/>
  <c r="J106" i="25" s="1"/>
  <c r="I105" i="25"/>
  <c r="I106" i="25" s="1"/>
  <c r="H105" i="25"/>
  <c r="H106" i="25" s="1"/>
  <c r="I87" i="25"/>
  <c r="I88" i="25" s="1"/>
  <c r="J87" i="25"/>
  <c r="J88" i="25" s="1"/>
  <c r="H87" i="25"/>
  <c r="H88" i="25" s="1"/>
  <c r="K143" i="25"/>
  <c r="K144" i="25" s="1"/>
  <c r="J67" i="25"/>
  <c r="J68" i="25" s="1"/>
  <c r="I67" i="25"/>
  <c r="I68" i="25" s="1"/>
  <c r="H67" i="25"/>
  <c r="H68" i="25" s="1"/>
  <c r="H73" i="25"/>
  <c r="I48" i="25"/>
  <c r="I49" i="25" s="1"/>
  <c r="Y198" i="25" l="1"/>
  <c r="X197" i="25"/>
  <c r="N198" i="25"/>
  <c r="M197" i="25"/>
  <c r="M200" i="25" s="1"/>
  <c r="M201" i="25" s="1"/>
  <c r="D174" i="25"/>
  <c r="D181" i="25" s="1"/>
  <c r="G187" i="25" s="1"/>
  <c r="Q179" i="25"/>
  <c r="P178" i="25"/>
  <c r="D155" i="25"/>
  <c r="D162" i="25" s="1"/>
  <c r="G168" i="25" s="1"/>
  <c r="D98" i="25"/>
  <c r="D105" i="25" s="1"/>
  <c r="G111" i="25" s="1"/>
  <c r="D136" i="25"/>
  <c r="D143" i="25" s="1"/>
  <c r="G149" i="25" s="1"/>
  <c r="D117" i="25"/>
  <c r="D124" i="25" s="1"/>
  <c r="G130" i="25" s="1"/>
  <c r="D80" i="25"/>
  <c r="D87" i="25" s="1"/>
  <c r="G93" i="25" s="1"/>
  <c r="D60" i="25"/>
  <c r="D67" i="25" s="1"/>
  <c r="Z198" i="25" l="1"/>
  <c r="Y197" i="25"/>
  <c r="N197" i="25"/>
  <c r="N200" i="25" s="1"/>
  <c r="N201" i="25" s="1"/>
  <c r="O198" i="25"/>
  <c r="R179" i="25"/>
  <c r="R178" i="25" s="1"/>
  <c r="Q178" i="25"/>
  <c r="G73" i="25"/>
  <c r="AA198" i="25" l="1"/>
  <c r="Z197" i="25"/>
  <c r="O197" i="25"/>
  <c r="O200" i="25" s="1"/>
  <c r="O201" i="25" s="1"/>
  <c r="P198" i="25"/>
  <c r="K10" i="25"/>
  <c r="J9" i="25"/>
  <c r="I9" i="25"/>
  <c r="H9" i="25"/>
  <c r="AI45" i="25"/>
  <c r="AI43" i="25"/>
  <c r="AI38" i="25"/>
  <c r="AI28" i="25"/>
  <c r="AI21" i="25"/>
  <c r="AI19" i="25"/>
  <c r="AI16" i="25"/>
  <c r="AI14" i="25"/>
  <c r="AI4" i="25"/>
  <c r="AE200" i="25" s="1"/>
  <c r="AE201" i="25" s="1"/>
  <c r="AE202" i="25" s="1"/>
  <c r="AE203" i="25" s="1"/>
  <c r="AE204" i="25" s="1"/>
  <c r="AE205" i="25" s="1"/>
  <c r="AE206" i="25" s="1"/>
  <c r="AE207" i="25" s="1"/>
  <c r="AE208" i="25" s="1"/>
  <c r="AE209" i="25" s="1"/>
  <c r="AE210" i="25" s="1"/>
  <c r="AE211" i="25" s="1"/>
  <c r="AE212" i="25" s="1"/>
  <c r="AE213" i="25" s="1"/>
  <c r="AE214" i="25" s="1"/>
  <c r="AE215" i="25" s="1"/>
  <c r="AE216" i="25" s="1"/>
  <c r="AE217" i="25" s="1"/>
  <c r="AE218" i="25" s="1"/>
  <c r="AE219" i="25" s="1"/>
  <c r="AE220" i="25" s="1"/>
  <c r="AE221" i="25" s="1"/>
  <c r="AE222" i="25" s="1"/>
  <c r="AE223" i="25" s="1"/>
  <c r="AE224" i="25" s="1"/>
  <c r="AE225" i="25" s="1"/>
  <c r="AE226" i="25" s="1"/>
  <c r="AE227" i="25" s="1"/>
  <c r="AE228" i="25" s="1"/>
  <c r="AE229" i="25" s="1"/>
  <c r="AE230" i="25" s="1"/>
  <c r="AE231" i="25" s="1"/>
  <c r="AE232" i="25" s="1"/>
  <c r="AE233" i="25" s="1"/>
  <c r="AE234" i="25" s="1"/>
  <c r="AE235" i="25" s="1"/>
  <c r="AE236" i="25" s="1"/>
  <c r="AE237" i="25" s="1"/>
  <c r="AE238" i="25" s="1"/>
  <c r="AE239" i="25" s="1"/>
  <c r="AE240" i="25" s="1"/>
  <c r="AE241" i="25" s="1"/>
  <c r="AE242" i="25" s="1"/>
  <c r="AE243" i="25" s="1"/>
  <c r="AE244" i="25" s="1"/>
  <c r="AE245" i="25" s="1"/>
  <c r="AE246" i="25" s="1"/>
  <c r="AE247" i="25" s="1"/>
  <c r="AE248" i="25" s="1"/>
  <c r="AE249" i="25" s="1"/>
  <c r="AE250" i="25" s="1"/>
  <c r="AE251" i="25" s="1"/>
  <c r="AE252" i="25" s="1"/>
  <c r="AE253" i="25" s="1"/>
  <c r="AE254" i="25" s="1"/>
  <c r="AE255" i="25" s="1"/>
  <c r="AE256" i="25" s="1"/>
  <c r="AE257" i="25" s="1"/>
  <c r="AE258" i="25" s="1"/>
  <c r="AE259" i="25" s="1"/>
  <c r="AE260" i="25" s="1"/>
  <c r="AE261" i="25" s="1"/>
  <c r="AE262" i="25" s="1"/>
  <c r="AE263" i="25" s="1"/>
  <c r="AE264" i="25" s="1"/>
  <c r="AE265" i="25" s="1"/>
  <c r="AE266" i="25" s="1"/>
  <c r="AE267" i="25" s="1"/>
  <c r="AE268" i="25" s="1"/>
  <c r="AE269" i="25" s="1"/>
  <c r="AE270" i="25" s="1"/>
  <c r="AE271" i="25" s="1"/>
  <c r="AE272" i="25" s="1"/>
  <c r="AE273" i="25" s="1"/>
  <c r="AE274" i="25" s="1"/>
  <c r="AE275" i="25" s="1"/>
  <c r="AE276" i="25" s="1"/>
  <c r="AE277" i="25" s="1"/>
  <c r="AE278" i="25" s="1"/>
  <c r="AE279" i="25" s="1"/>
  <c r="AE280" i="25" s="1"/>
  <c r="AE281" i="25" s="1"/>
  <c r="AE282" i="25" s="1"/>
  <c r="AE283" i="25" s="1"/>
  <c r="AE284" i="25" s="1"/>
  <c r="AE285" i="25" s="1"/>
  <c r="AE286" i="25" s="1"/>
  <c r="AE287" i="25" s="1"/>
  <c r="AE288" i="25" s="1"/>
  <c r="AE289" i="25" s="1"/>
  <c r="AE290" i="25" s="1"/>
  <c r="AE291" i="25" s="1"/>
  <c r="AD200" i="25"/>
  <c r="B11" i="25"/>
  <c r="E15" i="23"/>
  <c r="E28" i="23"/>
  <c r="E41" i="23"/>
  <c r="F19" i="24"/>
  <c r="E54" i="23"/>
  <c r="F6" i="24"/>
  <c r="B9" i="23" s="1"/>
  <c r="F4" i="24"/>
  <c r="B11" i="23" s="1"/>
  <c r="B47" i="23"/>
  <c r="B34" i="23"/>
  <c r="B21" i="23"/>
  <c r="B8" i="23"/>
  <c r="N17" i="23"/>
  <c r="O17" i="23" s="1"/>
  <c r="N16" i="23"/>
  <c r="O16" i="23" s="1"/>
  <c r="N15" i="23"/>
  <c r="O15" i="23" s="1"/>
  <c r="N14" i="23"/>
  <c r="O14" i="23" s="1"/>
  <c r="N13" i="23"/>
  <c r="O13" i="23" s="1"/>
  <c r="N12" i="23"/>
  <c r="O12" i="23" s="1"/>
  <c r="N11" i="23"/>
  <c r="O11" i="23" s="1"/>
  <c r="N10" i="23"/>
  <c r="O10" i="23" s="1"/>
  <c r="N9" i="23"/>
  <c r="O9" i="23" s="1"/>
  <c r="N8" i="23"/>
  <c r="O8" i="23" s="1"/>
  <c r="N7" i="23"/>
  <c r="O7" i="23" s="1"/>
  <c r="N6" i="23"/>
  <c r="O6" i="23" s="1"/>
  <c r="N5" i="23"/>
  <c r="O5" i="23" s="1"/>
  <c r="N4" i="23"/>
  <c r="O4" i="23" s="1"/>
  <c r="K200" i="23" s="1"/>
  <c r="K201" i="23" s="1"/>
  <c r="K202" i="23" s="1"/>
  <c r="B15" i="23"/>
  <c r="J532" i="23"/>
  <c r="J533" i="23" s="1"/>
  <c r="J534" i="23" s="1"/>
  <c r="J535" i="23" s="1"/>
  <c r="J536" i="23" s="1"/>
  <c r="J537" i="23" s="1"/>
  <c r="J538" i="23" s="1"/>
  <c r="J539" i="23" s="1"/>
  <c r="J540" i="23" s="1"/>
  <c r="J541" i="23" s="1"/>
  <c r="J542" i="23" s="1"/>
  <c r="J543" i="23" s="1"/>
  <c r="J544" i="23" s="1"/>
  <c r="J545" i="23" s="1"/>
  <c r="J546" i="23" s="1"/>
  <c r="J547" i="23" s="1"/>
  <c r="J548" i="23" s="1"/>
  <c r="J549" i="23" s="1"/>
  <c r="J550" i="23" s="1"/>
  <c r="J551" i="23" s="1"/>
  <c r="J552" i="23" s="1"/>
  <c r="J553" i="23" s="1"/>
  <c r="J554" i="23" s="1"/>
  <c r="J555" i="23" s="1"/>
  <c r="J556" i="23" s="1"/>
  <c r="J557" i="23" s="1"/>
  <c r="J558" i="23" s="1"/>
  <c r="J559" i="23" s="1"/>
  <c r="J560" i="23" s="1"/>
  <c r="J561" i="23" s="1"/>
  <c r="J562" i="23" s="1"/>
  <c r="J563" i="23" s="1"/>
  <c r="J564" i="23" s="1"/>
  <c r="J565" i="23" s="1"/>
  <c r="J566" i="23" s="1"/>
  <c r="J200" i="23"/>
  <c r="J201" i="23" s="1"/>
  <c r="J202" i="23" s="1"/>
  <c r="J203" i="23" s="1"/>
  <c r="J204" i="23" s="1"/>
  <c r="J205" i="23" s="1"/>
  <c r="J206" i="23" s="1"/>
  <c r="J207" i="23" s="1"/>
  <c r="J208" i="23" s="1"/>
  <c r="J209" i="23" s="1"/>
  <c r="J210" i="23" s="1"/>
  <c r="J211" i="23" s="1"/>
  <c r="J212" i="23" s="1"/>
  <c r="J213" i="23" s="1"/>
  <c r="J214" i="23" s="1"/>
  <c r="J215" i="23" s="1"/>
  <c r="J216" i="23" s="1"/>
  <c r="J217" i="23" s="1"/>
  <c r="J218" i="23" s="1"/>
  <c r="J219" i="23" s="1"/>
  <c r="J220" i="23" s="1"/>
  <c r="J221" i="23" s="1"/>
  <c r="J222" i="23" s="1"/>
  <c r="J223" i="23" s="1"/>
  <c r="J224" i="23" s="1"/>
  <c r="J225" i="23" s="1"/>
  <c r="J226" i="23" s="1"/>
  <c r="J227" i="23" s="1"/>
  <c r="J228" i="23" s="1"/>
  <c r="J229" i="23" s="1"/>
  <c r="J230" i="23" s="1"/>
  <c r="J231" i="23" s="1"/>
  <c r="J232" i="23" s="1"/>
  <c r="J233" i="23" s="1"/>
  <c r="J234" i="23" s="1"/>
  <c r="J235" i="23" s="1"/>
  <c r="J236" i="23" s="1"/>
  <c r="J237" i="23" s="1"/>
  <c r="J238" i="23" s="1"/>
  <c r="J239" i="23" s="1"/>
  <c r="J240" i="23" s="1"/>
  <c r="J241" i="23" s="1"/>
  <c r="J242" i="23" s="1"/>
  <c r="J243" i="23" s="1"/>
  <c r="J244" i="23" s="1"/>
  <c r="J245" i="23" s="1"/>
  <c r="J246" i="23" s="1"/>
  <c r="J247" i="23" s="1"/>
  <c r="J248" i="23" s="1"/>
  <c r="J249" i="23" s="1"/>
  <c r="J250" i="23" s="1"/>
  <c r="J251" i="23" s="1"/>
  <c r="J252" i="23" s="1"/>
  <c r="J253" i="23" s="1"/>
  <c r="J254" i="23" s="1"/>
  <c r="J255" i="23" s="1"/>
  <c r="J256" i="23" s="1"/>
  <c r="J257" i="23" s="1"/>
  <c r="J258" i="23" s="1"/>
  <c r="J259" i="23" s="1"/>
  <c r="J260" i="23" s="1"/>
  <c r="J261" i="23" s="1"/>
  <c r="J262" i="23" s="1"/>
  <c r="J263" i="23" s="1"/>
  <c r="J264" i="23" s="1"/>
  <c r="J265" i="23" s="1"/>
  <c r="J266" i="23" s="1"/>
  <c r="J267" i="23" s="1"/>
  <c r="J268" i="23" s="1"/>
  <c r="J269" i="23" s="1"/>
  <c r="J270" i="23" s="1"/>
  <c r="J271" i="23" s="1"/>
  <c r="J272" i="23" s="1"/>
  <c r="J273" i="23" s="1"/>
  <c r="J274" i="23" s="1"/>
  <c r="J275" i="23" s="1"/>
  <c r="J276" i="23" s="1"/>
  <c r="J277" i="23" s="1"/>
  <c r="J278" i="23" s="1"/>
  <c r="J279" i="23" s="1"/>
  <c r="J280" i="23" s="1"/>
  <c r="J281" i="23" s="1"/>
  <c r="J282" i="23" s="1"/>
  <c r="J283" i="23" s="1"/>
  <c r="J284" i="23" s="1"/>
  <c r="J285" i="23" s="1"/>
  <c r="J286" i="23" s="1"/>
  <c r="J287" i="23" s="1"/>
  <c r="J288" i="23" s="1"/>
  <c r="J289" i="23" s="1"/>
  <c r="J290" i="23" s="1"/>
  <c r="J291" i="23" s="1"/>
  <c r="J292" i="23" s="1"/>
  <c r="J293" i="23" s="1"/>
  <c r="J294" i="23" s="1"/>
  <c r="J295" i="23" s="1"/>
  <c r="J296" i="23" s="1"/>
  <c r="J297" i="23" s="1"/>
  <c r="J298" i="23" s="1"/>
  <c r="J299" i="23" s="1"/>
  <c r="J300" i="23" s="1"/>
  <c r="J301" i="23" s="1"/>
  <c r="J302" i="23" s="1"/>
  <c r="J303" i="23" s="1"/>
  <c r="J304" i="23" s="1"/>
  <c r="J305" i="23" s="1"/>
  <c r="J306" i="23" s="1"/>
  <c r="J307" i="23" s="1"/>
  <c r="J308" i="23" s="1"/>
  <c r="J309" i="23" s="1"/>
  <c r="J310" i="23" s="1"/>
  <c r="J311" i="23" s="1"/>
  <c r="J312" i="23" s="1"/>
  <c r="J313" i="23" s="1"/>
  <c r="J314" i="23" s="1"/>
  <c r="J315" i="23" s="1"/>
  <c r="J316" i="23" s="1"/>
  <c r="J317" i="23" s="1"/>
  <c r="J318" i="23" s="1"/>
  <c r="J319" i="23" s="1"/>
  <c r="J320" i="23" s="1"/>
  <c r="J321" i="23" s="1"/>
  <c r="J322" i="23" s="1"/>
  <c r="J323" i="23" s="1"/>
  <c r="J324" i="23" s="1"/>
  <c r="J325" i="23" s="1"/>
  <c r="J326" i="23" s="1"/>
  <c r="J327" i="23" s="1"/>
  <c r="J328" i="23" s="1"/>
  <c r="J329" i="23" s="1"/>
  <c r="J330" i="23" s="1"/>
  <c r="J331" i="23" s="1"/>
  <c r="J332" i="23" s="1"/>
  <c r="J333" i="23" s="1"/>
  <c r="J334" i="23" s="1"/>
  <c r="J335" i="23" s="1"/>
  <c r="J336" i="23" s="1"/>
  <c r="J337" i="23" s="1"/>
  <c r="J338" i="23" s="1"/>
  <c r="J339" i="23" s="1"/>
  <c r="J340" i="23" s="1"/>
  <c r="J341" i="23" s="1"/>
  <c r="J342" i="23" s="1"/>
  <c r="J343" i="23" s="1"/>
  <c r="J344" i="23" s="1"/>
  <c r="J345" i="23" s="1"/>
  <c r="J346" i="23" s="1"/>
  <c r="J347" i="23" s="1"/>
  <c r="J348" i="23" s="1"/>
  <c r="J349" i="23" s="1"/>
  <c r="J350" i="23" s="1"/>
  <c r="J351" i="23" s="1"/>
  <c r="J352" i="23" s="1"/>
  <c r="J353" i="23" s="1"/>
  <c r="J354" i="23" s="1"/>
  <c r="J355" i="23" s="1"/>
  <c r="J356" i="23" s="1"/>
  <c r="J357" i="23" s="1"/>
  <c r="J358" i="23" s="1"/>
  <c r="J359" i="23" s="1"/>
  <c r="J360" i="23" s="1"/>
  <c r="J361" i="23" s="1"/>
  <c r="J362" i="23" s="1"/>
  <c r="J363" i="23" s="1"/>
  <c r="J364" i="23" s="1"/>
  <c r="J365" i="23" s="1"/>
  <c r="J366" i="23" s="1"/>
  <c r="J367" i="23" s="1"/>
  <c r="J368" i="23" s="1"/>
  <c r="J369" i="23" s="1"/>
  <c r="J370" i="23" s="1"/>
  <c r="J371" i="23" s="1"/>
  <c r="J372" i="23" s="1"/>
  <c r="J373" i="23" s="1"/>
  <c r="J374" i="23" s="1"/>
  <c r="J375" i="23" s="1"/>
  <c r="J376" i="23" s="1"/>
  <c r="J377" i="23" s="1"/>
  <c r="J378" i="23" s="1"/>
  <c r="J379" i="23" s="1"/>
  <c r="J380" i="23" s="1"/>
  <c r="J381" i="23" s="1"/>
  <c r="J382" i="23" s="1"/>
  <c r="J383" i="23" s="1"/>
  <c r="J384" i="23" s="1"/>
  <c r="J385" i="23" s="1"/>
  <c r="J386" i="23" s="1"/>
  <c r="J387" i="23" s="1"/>
  <c r="J388" i="23" s="1"/>
  <c r="J389" i="23" s="1"/>
  <c r="J390" i="23" s="1"/>
  <c r="J391" i="23" s="1"/>
  <c r="J392" i="23" s="1"/>
  <c r="J393" i="23" s="1"/>
  <c r="J394" i="23" s="1"/>
  <c r="J395" i="23" s="1"/>
  <c r="J396" i="23" s="1"/>
  <c r="J397" i="23" s="1"/>
  <c r="J398" i="23" s="1"/>
  <c r="J399" i="23" s="1"/>
  <c r="J400" i="23" s="1"/>
  <c r="J401" i="23" s="1"/>
  <c r="J402" i="23" s="1"/>
  <c r="J403" i="23" s="1"/>
  <c r="J404" i="23" s="1"/>
  <c r="J405" i="23" s="1"/>
  <c r="J406" i="23" s="1"/>
  <c r="J407" i="23" s="1"/>
  <c r="J408" i="23" s="1"/>
  <c r="J409" i="23" s="1"/>
  <c r="J410" i="23" s="1"/>
  <c r="J411" i="23" s="1"/>
  <c r="J412" i="23" s="1"/>
  <c r="J413" i="23" s="1"/>
  <c r="J414" i="23" s="1"/>
  <c r="J415" i="23" s="1"/>
  <c r="J416" i="23" s="1"/>
  <c r="J417" i="23" s="1"/>
  <c r="J418" i="23" s="1"/>
  <c r="J419" i="23" s="1"/>
  <c r="J420" i="23" s="1"/>
  <c r="J421" i="23" s="1"/>
  <c r="J422" i="23" s="1"/>
  <c r="J423" i="23" s="1"/>
  <c r="J424" i="23" s="1"/>
  <c r="J425" i="23" s="1"/>
  <c r="J426" i="23" s="1"/>
  <c r="J427" i="23" s="1"/>
  <c r="J428" i="23" s="1"/>
  <c r="J429" i="23" s="1"/>
  <c r="J430" i="23" s="1"/>
  <c r="J431" i="23" s="1"/>
  <c r="J432" i="23" s="1"/>
  <c r="J433" i="23" s="1"/>
  <c r="J434" i="23" s="1"/>
  <c r="J435" i="23" s="1"/>
  <c r="J436" i="23" s="1"/>
  <c r="J437" i="23" s="1"/>
  <c r="J438" i="23" s="1"/>
  <c r="J439" i="23" s="1"/>
  <c r="J440" i="23" s="1"/>
  <c r="J441" i="23" s="1"/>
  <c r="J442" i="23" s="1"/>
  <c r="J443" i="23" s="1"/>
  <c r="J444" i="23" s="1"/>
  <c r="J445" i="23" s="1"/>
  <c r="J446" i="23" s="1"/>
  <c r="J447" i="23" s="1"/>
  <c r="J448" i="23" s="1"/>
  <c r="J449" i="23" s="1"/>
  <c r="J450" i="23" s="1"/>
  <c r="J451" i="23" s="1"/>
  <c r="J452" i="23" s="1"/>
  <c r="J453" i="23" s="1"/>
  <c r="J454" i="23" s="1"/>
  <c r="J455" i="23" s="1"/>
  <c r="J456" i="23" s="1"/>
  <c r="J457" i="23" s="1"/>
  <c r="J458" i="23" s="1"/>
  <c r="J459" i="23" s="1"/>
  <c r="J460" i="23" s="1"/>
  <c r="J461" i="23" s="1"/>
  <c r="J462" i="23" s="1"/>
  <c r="J463" i="23" s="1"/>
  <c r="J464" i="23" s="1"/>
  <c r="J465" i="23" s="1"/>
  <c r="J466" i="23" s="1"/>
  <c r="J467" i="23" s="1"/>
  <c r="J468" i="23" s="1"/>
  <c r="J469" i="23" s="1"/>
  <c r="J470" i="23" s="1"/>
  <c r="J471" i="23" s="1"/>
  <c r="J472" i="23" s="1"/>
  <c r="J473" i="23" s="1"/>
  <c r="J474" i="23" s="1"/>
  <c r="J475" i="23" s="1"/>
  <c r="J476" i="23" s="1"/>
  <c r="J477" i="23" s="1"/>
  <c r="J478" i="23" s="1"/>
  <c r="J479" i="23" s="1"/>
  <c r="J480" i="23" s="1"/>
  <c r="J481" i="23" s="1"/>
  <c r="J482" i="23" s="1"/>
  <c r="J483" i="23" s="1"/>
  <c r="J484" i="23" s="1"/>
  <c r="J485" i="23" s="1"/>
  <c r="J486" i="23" s="1"/>
  <c r="J487" i="23" s="1"/>
  <c r="J488" i="23" s="1"/>
  <c r="J489" i="23" s="1"/>
  <c r="J490" i="23" s="1"/>
  <c r="J491" i="23" s="1"/>
  <c r="J492" i="23" s="1"/>
  <c r="J493" i="23" s="1"/>
  <c r="J494" i="23" s="1"/>
  <c r="J495" i="23" s="1"/>
  <c r="J496" i="23" s="1"/>
  <c r="J497" i="23" s="1"/>
  <c r="J498" i="23" s="1"/>
  <c r="J499" i="23" s="1"/>
  <c r="J500" i="23" s="1"/>
  <c r="J501" i="23" s="1"/>
  <c r="J502" i="23" s="1"/>
  <c r="J503" i="23" s="1"/>
  <c r="J504" i="23" s="1"/>
  <c r="J505" i="23" s="1"/>
  <c r="J506" i="23" s="1"/>
  <c r="J507" i="23" s="1"/>
  <c r="J508" i="23" s="1"/>
  <c r="J509" i="23" s="1"/>
  <c r="J510" i="23" s="1"/>
  <c r="J511" i="23" s="1"/>
  <c r="J512" i="23" s="1"/>
  <c r="J513" i="23" s="1"/>
  <c r="J514" i="23" s="1"/>
  <c r="J515" i="23" s="1"/>
  <c r="J516" i="23" s="1"/>
  <c r="J517" i="23" s="1"/>
  <c r="J518" i="23" s="1"/>
  <c r="J519" i="23" s="1"/>
  <c r="J520" i="23" s="1"/>
  <c r="J521" i="23" s="1"/>
  <c r="J522" i="23" s="1"/>
  <c r="J523" i="23" s="1"/>
  <c r="J524" i="23" s="1"/>
  <c r="J525" i="23" s="1"/>
  <c r="J526" i="23" s="1"/>
  <c r="J527" i="23" s="1"/>
  <c r="J528" i="23" s="1"/>
  <c r="J529" i="23" s="1"/>
  <c r="J530" i="23" s="1"/>
  <c r="J531" i="23" s="1"/>
  <c r="AB198" i="25" l="1"/>
  <c r="AB197" i="25" s="1"/>
  <c r="AA197" i="25"/>
  <c r="Q198" i="25"/>
  <c r="P197" i="25"/>
  <c r="P200" i="25" s="1"/>
  <c r="P201" i="25" s="1"/>
  <c r="B13" i="25"/>
  <c r="AD201" i="25"/>
  <c r="L10" i="25"/>
  <c r="M10" i="25"/>
  <c r="L9" i="25"/>
  <c r="K9" i="25"/>
  <c r="AI7" i="25"/>
  <c r="AE292" i="25" s="1"/>
  <c r="AE293" i="25" s="1"/>
  <c r="AE294" i="25" s="1"/>
  <c r="AE295" i="25" s="1"/>
  <c r="AE296" i="25" s="1"/>
  <c r="AE297" i="25" s="1"/>
  <c r="AE298" i="25" s="1"/>
  <c r="AE299" i="25" s="1"/>
  <c r="AE300" i="25" s="1"/>
  <c r="AE301" i="25" s="1"/>
  <c r="AE302" i="25" s="1"/>
  <c r="AE303" i="25" s="1"/>
  <c r="AE304" i="25" s="1"/>
  <c r="AI31" i="25"/>
  <c r="AI9" i="25"/>
  <c r="AI33" i="25"/>
  <c r="AI26" i="25"/>
  <c r="B35" i="23"/>
  <c r="B48" i="23"/>
  <c r="B22" i="23"/>
  <c r="F17" i="24"/>
  <c r="E14" i="23" s="1"/>
  <c r="E16" i="23" s="1"/>
  <c r="E17" i="23" s="1"/>
  <c r="G22" i="24" s="1"/>
  <c r="I22" i="24" s="1"/>
  <c r="B50" i="23"/>
  <c r="B37" i="23"/>
  <c r="B24" i="23"/>
  <c r="B14" i="23"/>
  <c r="B16" i="23" s="1"/>
  <c r="K203" i="23"/>
  <c r="K204" i="23" s="1"/>
  <c r="K205" i="23" s="1"/>
  <c r="K206" i="23" s="1"/>
  <c r="K207" i="23" s="1"/>
  <c r="K208" i="23" s="1"/>
  <c r="K209" i="23" s="1"/>
  <c r="K210" i="23" s="1"/>
  <c r="K211" i="23" s="1"/>
  <c r="K212" i="23" s="1"/>
  <c r="K213" i="23" s="1"/>
  <c r="K214" i="23" s="1"/>
  <c r="K215" i="23" s="1"/>
  <c r="K216" i="23" s="1"/>
  <c r="K217" i="23" s="1"/>
  <c r="K218" i="23" s="1"/>
  <c r="K219" i="23" s="1"/>
  <c r="K220" i="23" s="1"/>
  <c r="K221" i="23" s="1"/>
  <c r="K222" i="23" s="1"/>
  <c r="K223" i="23" s="1"/>
  <c r="K224" i="23" s="1"/>
  <c r="K225" i="23" s="1"/>
  <c r="K226" i="23" s="1"/>
  <c r="K227" i="23" s="1"/>
  <c r="K228" i="23" s="1"/>
  <c r="K229" i="23" s="1"/>
  <c r="K230" i="23" s="1"/>
  <c r="K231" i="23" s="1"/>
  <c r="K232" i="23" s="1"/>
  <c r="K233" i="23" s="1"/>
  <c r="K234" i="23" s="1"/>
  <c r="K235" i="23" s="1"/>
  <c r="K236" i="23" s="1"/>
  <c r="K237" i="23" s="1"/>
  <c r="K238" i="23" s="1"/>
  <c r="K239" i="23" s="1"/>
  <c r="K240" i="23" s="1"/>
  <c r="K241" i="23" s="1"/>
  <c r="K242" i="23" s="1"/>
  <c r="K243" i="23" s="1"/>
  <c r="K244" i="23" s="1"/>
  <c r="K245" i="23" s="1"/>
  <c r="K246" i="23" s="1"/>
  <c r="K247" i="23" s="1"/>
  <c r="K248" i="23" s="1"/>
  <c r="K249" i="23" s="1"/>
  <c r="K250" i="23" s="1"/>
  <c r="B17" i="23"/>
  <c r="H8" i="23" s="1"/>
  <c r="AD202" i="25" l="1"/>
  <c r="Q197" i="25"/>
  <c r="Q200" i="25" s="1"/>
  <c r="Q201" i="25" s="1"/>
  <c r="R198" i="25"/>
  <c r="AE305" i="25"/>
  <c r="AE306" i="25" s="1"/>
  <c r="AE307" i="25" s="1"/>
  <c r="AE308" i="25" s="1"/>
  <c r="AE309" i="25" s="1"/>
  <c r="AE310" i="25" s="1"/>
  <c r="AE311" i="25" s="1"/>
  <c r="AE312" i="25" s="1"/>
  <c r="AE313" i="25" s="1"/>
  <c r="AE314" i="25" s="1"/>
  <c r="AE315" i="25" s="1"/>
  <c r="AE316" i="25" s="1"/>
  <c r="AE317" i="25" s="1"/>
  <c r="AE318" i="25" s="1"/>
  <c r="AE319" i="25" s="1"/>
  <c r="AE320" i="25" s="1"/>
  <c r="AE321" i="25" s="1"/>
  <c r="AE322" i="25" s="1"/>
  <c r="AE323" i="25" s="1"/>
  <c r="AE324" i="25" s="1"/>
  <c r="AE325" i="25" s="1"/>
  <c r="AE326" i="25" s="1"/>
  <c r="AE327" i="25" s="1"/>
  <c r="AE328" i="25" s="1"/>
  <c r="AE329" i="25" s="1"/>
  <c r="AE330" i="25" s="1"/>
  <c r="AE331" i="25" s="1"/>
  <c r="AE332" i="25" s="1"/>
  <c r="AE333" i="25" s="1"/>
  <c r="AE334" i="25" s="1"/>
  <c r="AE335" i="25" s="1"/>
  <c r="AE336" i="25" s="1"/>
  <c r="AE337" i="25" s="1"/>
  <c r="AE338" i="25" s="1"/>
  <c r="AE339" i="25" s="1"/>
  <c r="AE340" i="25" s="1"/>
  <c r="AE341" i="25" s="1"/>
  <c r="AE342" i="25" s="1"/>
  <c r="AE343" i="25" s="1"/>
  <c r="AE344" i="25" s="1"/>
  <c r="AE345" i="25" s="1"/>
  <c r="AE346" i="25" s="1"/>
  <c r="AE347" i="25" s="1"/>
  <c r="AE348" i="25" s="1"/>
  <c r="AE349" i="25" s="1"/>
  <c r="AE350" i="25" s="1"/>
  <c r="AE351" i="25" s="1"/>
  <c r="AE352" i="25" s="1"/>
  <c r="AE353" i="25" s="1"/>
  <c r="AE354" i="25" s="1"/>
  <c r="AE355" i="25" s="1"/>
  <c r="AE356" i="25" s="1"/>
  <c r="AE357" i="25" s="1"/>
  <c r="AE358" i="25" s="1"/>
  <c r="AE359" i="25" s="1"/>
  <c r="AE360" i="25" s="1"/>
  <c r="AE361" i="25" s="1"/>
  <c r="AE362" i="25" s="1"/>
  <c r="AE363" i="25" s="1"/>
  <c r="AE364" i="25" s="1"/>
  <c r="AE365" i="25" s="1"/>
  <c r="AE366" i="25" s="1"/>
  <c r="AE367" i="25" s="1"/>
  <c r="AE368" i="25" s="1"/>
  <c r="AE369" i="25" s="1"/>
  <c r="AE370" i="25" s="1"/>
  <c r="AE371" i="25" s="1"/>
  <c r="AE372" i="25" s="1"/>
  <c r="AE373" i="25" s="1"/>
  <c r="AE374" i="25" s="1"/>
  <c r="AE375" i="25" s="1"/>
  <c r="AE376" i="25" s="1"/>
  <c r="AE377" i="25" s="1"/>
  <c r="AE378" i="25" s="1"/>
  <c r="AE379" i="25" s="1"/>
  <c r="AE380" i="25" s="1"/>
  <c r="AE381" i="25" s="1"/>
  <c r="AE382" i="25" s="1"/>
  <c r="AE383" i="25" s="1"/>
  <c r="AE384" i="25" s="1"/>
  <c r="AE385" i="25" s="1"/>
  <c r="AE386" i="25" s="1"/>
  <c r="AE387" i="25" s="1"/>
  <c r="AE388" i="25" s="1"/>
  <c r="AE389" i="25" s="1"/>
  <c r="AE390" i="25" s="1"/>
  <c r="AE391" i="25" s="1"/>
  <c r="AE392" i="25" s="1"/>
  <c r="AE393" i="25" s="1"/>
  <c r="AE394" i="25" s="1"/>
  <c r="AE395" i="25" s="1"/>
  <c r="AE396" i="25" s="1"/>
  <c r="AE397" i="25" s="1"/>
  <c r="AE398" i="25" s="1"/>
  <c r="AE399" i="25" s="1"/>
  <c r="AE400" i="25" s="1"/>
  <c r="AE401" i="25" s="1"/>
  <c r="AE402" i="25" s="1"/>
  <c r="AE403" i="25" s="1"/>
  <c r="AE404" i="25" s="1"/>
  <c r="AE405" i="25" s="1"/>
  <c r="AE406" i="25" s="1"/>
  <c r="AE407" i="25" s="1"/>
  <c r="AE408" i="25" s="1"/>
  <c r="AE409" i="25" s="1"/>
  <c r="AE410" i="25" s="1"/>
  <c r="AE411" i="25" s="1"/>
  <c r="AE412" i="25" s="1"/>
  <c r="AE413" i="25" s="1"/>
  <c r="AE414" i="25" s="1"/>
  <c r="AE415" i="25" s="1"/>
  <c r="AE416" i="25" s="1"/>
  <c r="AE417" i="25" s="1"/>
  <c r="AE418" i="25" s="1"/>
  <c r="AE419" i="25" s="1"/>
  <c r="AE420" i="25" s="1"/>
  <c r="AE421" i="25" s="1"/>
  <c r="AE422" i="25" s="1"/>
  <c r="AE423" i="25" s="1"/>
  <c r="AE424" i="25" s="1"/>
  <c r="AE425" i="25" s="1"/>
  <c r="AE426" i="25" s="1"/>
  <c r="AE427" i="25" s="1"/>
  <c r="AE428" i="25" s="1"/>
  <c r="AE429" i="25" s="1"/>
  <c r="AE430" i="25" s="1"/>
  <c r="AE431" i="25" s="1"/>
  <c r="AE432" i="25" s="1"/>
  <c r="AE433" i="25" s="1"/>
  <c r="AE434" i="25" s="1"/>
  <c r="AE435" i="25" s="1"/>
  <c r="AE436" i="25" s="1"/>
  <c r="AE437" i="25" s="1"/>
  <c r="AE438" i="25" s="1"/>
  <c r="AE439" i="25" s="1"/>
  <c r="AE440" i="25" s="1"/>
  <c r="AE441" i="25" s="1"/>
  <c r="AE442" i="25" s="1"/>
  <c r="AE443" i="25" s="1"/>
  <c r="AE444" i="25" s="1"/>
  <c r="AE445" i="25" s="1"/>
  <c r="AE446" i="25" s="1"/>
  <c r="AE447" i="25" s="1"/>
  <c r="AE448" i="25" s="1"/>
  <c r="AE449" i="25" s="1"/>
  <c r="AE450" i="25" s="1"/>
  <c r="AE451" i="25" s="1"/>
  <c r="AE452" i="25" s="1"/>
  <c r="AE453" i="25" s="1"/>
  <c r="AE454" i="25" s="1"/>
  <c r="AE455" i="25" s="1"/>
  <c r="AE456" i="25" s="1"/>
  <c r="AE457" i="25" s="1"/>
  <c r="AE458" i="25" s="1"/>
  <c r="AE459" i="25" s="1"/>
  <c r="AE460" i="25" s="1"/>
  <c r="AE461" i="25" s="1"/>
  <c r="AE462" i="25" s="1"/>
  <c r="AE463" i="25" s="1"/>
  <c r="AE464" i="25" s="1"/>
  <c r="AE465" i="25" s="1"/>
  <c r="AE466" i="25" s="1"/>
  <c r="AE467" i="25" s="1"/>
  <c r="AE468" i="25" s="1"/>
  <c r="AE469" i="25" s="1"/>
  <c r="AE470" i="25" s="1"/>
  <c r="AE471" i="25" s="1"/>
  <c r="AE472" i="25" s="1"/>
  <c r="AE473" i="25" s="1"/>
  <c r="AE474" i="25" s="1"/>
  <c r="AE475" i="25" s="1"/>
  <c r="AE476" i="25" s="1"/>
  <c r="AE477" i="25" s="1"/>
  <c r="AE478" i="25" s="1"/>
  <c r="AE479" i="25" s="1"/>
  <c r="AE480" i="25" s="1"/>
  <c r="AE481" i="25" s="1"/>
  <c r="AE482" i="25" s="1"/>
  <c r="AE483" i="25" s="1"/>
  <c r="AE484" i="25" s="1"/>
  <c r="AE485" i="25" s="1"/>
  <c r="AE486" i="25" s="1"/>
  <c r="N10" i="25"/>
  <c r="M9" i="25"/>
  <c r="E40" i="23"/>
  <c r="E42" i="23" s="1"/>
  <c r="E43" i="23" s="1"/>
  <c r="G24" i="24" s="1"/>
  <c r="I24" i="24" s="1"/>
  <c r="E27" i="23"/>
  <c r="E29" i="23" s="1"/>
  <c r="E30" i="23" s="1"/>
  <c r="G23" i="24" s="1"/>
  <c r="I23" i="24" s="1"/>
  <c r="E53" i="23"/>
  <c r="E8" i="23"/>
  <c r="J10" i="24" s="1"/>
  <c r="B53" i="23"/>
  <c r="B55" i="23" s="1"/>
  <c r="B40" i="23"/>
  <c r="B42" i="23" s="1"/>
  <c r="B27" i="23"/>
  <c r="B29" i="23" s="1"/>
  <c r="H10" i="23"/>
  <c r="N10" i="24"/>
  <c r="K251" i="23"/>
  <c r="K252" i="23" s="1"/>
  <c r="K253" i="23" s="1"/>
  <c r="K254" i="23" s="1"/>
  <c r="K255" i="23" s="1"/>
  <c r="K256" i="23" s="1"/>
  <c r="K257" i="23" s="1"/>
  <c r="K258" i="23" s="1"/>
  <c r="K259" i="23" s="1"/>
  <c r="K260" i="23" s="1"/>
  <c r="K261" i="23" s="1"/>
  <c r="K262" i="23" s="1"/>
  <c r="K263" i="23" s="1"/>
  <c r="K264" i="23" s="1"/>
  <c r="K265" i="23" s="1"/>
  <c r="K266" i="23" s="1"/>
  <c r="K267" i="23" s="1"/>
  <c r="K268" i="23" s="1"/>
  <c r="K269" i="23" s="1"/>
  <c r="K270" i="23" s="1"/>
  <c r="K271" i="23" s="1"/>
  <c r="K272" i="23" s="1"/>
  <c r="K273" i="23" s="1"/>
  <c r="K274" i="23" s="1"/>
  <c r="K275" i="23" s="1"/>
  <c r="K276" i="23" s="1"/>
  <c r="K277" i="23" s="1"/>
  <c r="K278" i="23" s="1"/>
  <c r="K279" i="23" s="1"/>
  <c r="K280" i="23" s="1"/>
  <c r="B28" i="23"/>
  <c r="B30" i="23" s="1"/>
  <c r="H21" i="23" s="1"/>
  <c r="N11" i="24" s="1"/>
  <c r="H9" i="23"/>
  <c r="AD203" i="25" l="1"/>
  <c r="R197" i="25"/>
  <c r="R200" i="25" s="1"/>
  <c r="R201" i="25" s="1"/>
  <c r="D193" i="25" s="1"/>
  <c r="AE487" i="25"/>
  <c r="AE488" i="25" s="1"/>
  <c r="AE489" i="25" s="1"/>
  <c r="AE490" i="25" s="1"/>
  <c r="AE491" i="25" s="1"/>
  <c r="AE492" i="25" s="1"/>
  <c r="AE493" i="25" s="1"/>
  <c r="AE494" i="25" s="1"/>
  <c r="AE495" i="25" s="1"/>
  <c r="AE496" i="25" s="1"/>
  <c r="AE497" i="25" s="1"/>
  <c r="AE498" i="25" s="1"/>
  <c r="AE499" i="25" s="1"/>
  <c r="AE500" i="25" s="1"/>
  <c r="AE501" i="25" s="1"/>
  <c r="AE502" i="25" s="1"/>
  <c r="AE503" i="25" s="1"/>
  <c r="AE504" i="25" s="1"/>
  <c r="AE505" i="25" s="1"/>
  <c r="AE506" i="25" s="1"/>
  <c r="AE507" i="25" s="1"/>
  <c r="AE508" i="25" s="1"/>
  <c r="AE509" i="25" s="1"/>
  <c r="AE510" i="25" s="1"/>
  <c r="AE511" i="25" s="1"/>
  <c r="AE512" i="25" s="1"/>
  <c r="AE513" i="25" s="1"/>
  <c r="AE514" i="25" s="1"/>
  <c r="AE515" i="25" s="1"/>
  <c r="AE516" i="25" s="1"/>
  <c r="AE517" i="25" s="1"/>
  <c r="AE518" i="25" s="1"/>
  <c r="AE519" i="25" s="1"/>
  <c r="AE520" i="25" s="1"/>
  <c r="AE521" i="25" s="1"/>
  <c r="N9" i="25"/>
  <c r="E55" i="23"/>
  <c r="E56" i="23" s="1"/>
  <c r="G25" i="24" s="1"/>
  <c r="I25" i="24" s="1"/>
  <c r="E10" i="23"/>
  <c r="G10" i="24" s="1"/>
  <c r="E9" i="23"/>
  <c r="H10" i="24" s="1"/>
  <c r="E47" i="23"/>
  <c r="E34" i="23"/>
  <c r="E21" i="23"/>
  <c r="E22" i="23" s="1"/>
  <c r="E24" i="23" s="1"/>
  <c r="I11" i="24" s="1"/>
  <c r="K10" i="24"/>
  <c r="H11" i="23"/>
  <c r="L10" i="24"/>
  <c r="K281" i="23"/>
  <c r="K282" i="23" s="1"/>
  <c r="K283" i="23" s="1"/>
  <c r="K284" i="23" s="1"/>
  <c r="K285" i="23" s="1"/>
  <c r="K286" i="23" s="1"/>
  <c r="K287" i="23" s="1"/>
  <c r="K288" i="23" s="1"/>
  <c r="K289" i="23" s="1"/>
  <c r="K290" i="23" s="1"/>
  <c r="K291" i="23" s="1"/>
  <c r="K292" i="23" s="1"/>
  <c r="K293" i="23" s="1"/>
  <c r="K294" i="23" s="1"/>
  <c r="K295" i="23" s="1"/>
  <c r="K296" i="23" s="1"/>
  <c r="K297" i="23" s="1"/>
  <c r="K298" i="23" s="1"/>
  <c r="K299" i="23" s="1"/>
  <c r="K300" i="23" s="1"/>
  <c r="K301" i="23" s="1"/>
  <c r="K302" i="23" s="1"/>
  <c r="K303" i="23" s="1"/>
  <c r="K304" i="23" s="1"/>
  <c r="K305" i="23" s="1"/>
  <c r="K306" i="23" s="1"/>
  <c r="K307" i="23" s="1"/>
  <c r="K308" i="23" s="1"/>
  <c r="K309" i="23" s="1"/>
  <c r="K310" i="23" s="1"/>
  <c r="K311" i="23" s="1"/>
  <c r="K312" i="23" s="1"/>
  <c r="K313" i="23" s="1"/>
  <c r="K314" i="23" s="1"/>
  <c r="K315" i="23" s="1"/>
  <c r="B41" i="23"/>
  <c r="B43" i="23" s="1"/>
  <c r="H34" i="23" s="1"/>
  <c r="N12" i="24" s="1"/>
  <c r="H22" i="23"/>
  <c r="H23" i="23"/>
  <c r="K11" i="24" s="1"/>
  <c r="AD204" i="25" l="1"/>
  <c r="D200" i="25"/>
  <c r="G206" i="25" s="1"/>
  <c r="AE522" i="25"/>
  <c r="AE523" i="25" s="1"/>
  <c r="AE524" i="25" s="1"/>
  <c r="AE525" i="25" s="1"/>
  <c r="AE526" i="25" s="1"/>
  <c r="AE527" i="25" s="1"/>
  <c r="AE528" i="25" s="1"/>
  <c r="AE529" i="25" s="1"/>
  <c r="AE530" i="25" s="1"/>
  <c r="AE531" i="25" s="1"/>
  <c r="AE532" i="25" s="1"/>
  <c r="AE533" i="25" s="1"/>
  <c r="AE534" i="25" s="1"/>
  <c r="AE535" i="25" s="1"/>
  <c r="AE536" i="25" s="1"/>
  <c r="AE537" i="25" s="1"/>
  <c r="AE538" i="25" s="1"/>
  <c r="AE539" i="25" s="1"/>
  <c r="AE540" i="25" s="1"/>
  <c r="AE541" i="25" s="1"/>
  <c r="AE542" i="25" s="1"/>
  <c r="AE543" i="25" s="1"/>
  <c r="AE544" i="25" s="1"/>
  <c r="AE545" i="25" s="1"/>
  <c r="AE546" i="25" s="1"/>
  <c r="AE547" i="25" s="1"/>
  <c r="AE548" i="25" s="1"/>
  <c r="AE549" i="25" s="1"/>
  <c r="AE550" i="25" s="1"/>
  <c r="AE551" i="25" s="1"/>
  <c r="AE552" i="25" s="1"/>
  <c r="AE553" i="25" s="1"/>
  <c r="AE554" i="25" s="1"/>
  <c r="AE555" i="25" s="1"/>
  <c r="AE556" i="25" s="1"/>
  <c r="AE557" i="25" s="1"/>
  <c r="AE558" i="25" s="1"/>
  <c r="AE559" i="25" s="1"/>
  <c r="AE560" i="25" s="1"/>
  <c r="AE561" i="25" s="1"/>
  <c r="AE562" i="25" s="1"/>
  <c r="AE563" i="25" s="1"/>
  <c r="AE564" i="25" s="1"/>
  <c r="E11" i="23"/>
  <c r="I10" i="24" s="1"/>
  <c r="E48" i="23"/>
  <c r="E49" i="23"/>
  <c r="G13" i="24" s="1"/>
  <c r="J13" i="24"/>
  <c r="E35" i="23"/>
  <c r="E36" i="23"/>
  <c r="G12" i="24" s="1"/>
  <c r="J12" i="24"/>
  <c r="J11" i="24"/>
  <c r="E23" i="23"/>
  <c r="G11" i="24" s="1"/>
  <c r="H11" i="24"/>
  <c r="H24" i="23"/>
  <c r="M11" i="24" s="1"/>
  <c r="L11" i="24"/>
  <c r="M10" i="24"/>
  <c r="H36" i="23"/>
  <c r="K12" i="24" s="1"/>
  <c r="H35" i="23"/>
  <c r="K316" i="23"/>
  <c r="K317" i="23" s="1"/>
  <c r="K318" i="23" s="1"/>
  <c r="K319" i="23" s="1"/>
  <c r="K320" i="23" s="1"/>
  <c r="K321" i="23" s="1"/>
  <c r="K322" i="23" s="1"/>
  <c r="K323" i="23" s="1"/>
  <c r="K324" i="23" s="1"/>
  <c r="K325" i="23" s="1"/>
  <c r="K326" i="23" s="1"/>
  <c r="K327" i="23" s="1"/>
  <c r="K328" i="23" s="1"/>
  <c r="K329" i="23" s="1"/>
  <c r="K330" i="23" s="1"/>
  <c r="K331" i="23" s="1"/>
  <c r="K332" i="23" s="1"/>
  <c r="K333" i="23" s="1"/>
  <c r="K334" i="23" s="1"/>
  <c r="K335" i="23" s="1"/>
  <c r="K336" i="23" s="1"/>
  <c r="K337" i="23" s="1"/>
  <c r="K338" i="23" s="1"/>
  <c r="K339" i="23" s="1"/>
  <c r="K340" i="23" s="1"/>
  <c r="K341" i="23" s="1"/>
  <c r="K342" i="23" s="1"/>
  <c r="K343" i="23" s="1"/>
  <c r="K344" i="23" s="1"/>
  <c r="K345" i="23" s="1"/>
  <c r="K346" i="23" s="1"/>
  <c r="K347" i="23" s="1"/>
  <c r="K348" i="23" s="1"/>
  <c r="K349" i="23" s="1"/>
  <c r="K350" i="23" s="1"/>
  <c r="K351" i="23" s="1"/>
  <c r="K352" i="23" s="1"/>
  <c r="K353" i="23" s="1"/>
  <c r="K354" i="23" s="1"/>
  <c r="K355" i="23" s="1"/>
  <c r="K356" i="23" s="1"/>
  <c r="K357" i="23" s="1"/>
  <c r="K358" i="23" s="1"/>
  <c r="K359" i="23" s="1"/>
  <c r="K360" i="23" s="1"/>
  <c r="K361" i="23" s="1"/>
  <c r="K362" i="23" s="1"/>
  <c r="K363" i="23" s="1"/>
  <c r="K364" i="23" s="1"/>
  <c r="K365" i="23" s="1"/>
  <c r="K366" i="23" s="1"/>
  <c r="K367" i="23" s="1"/>
  <c r="K368" i="23" s="1"/>
  <c r="K369" i="23" s="1"/>
  <c r="K370" i="23" s="1"/>
  <c r="K371" i="23" s="1"/>
  <c r="K372" i="23" s="1"/>
  <c r="K373" i="23" s="1"/>
  <c r="K374" i="23" s="1"/>
  <c r="K375" i="23" s="1"/>
  <c r="K376" i="23" s="1"/>
  <c r="K377" i="23" s="1"/>
  <c r="K378" i="23" s="1"/>
  <c r="K379" i="23" s="1"/>
  <c r="K380" i="23" s="1"/>
  <c r="K381" i="23" s="1"/>
  <c r="K382" i="23" s="1"/>
  <c r="K383" i="23" s="1"/>
  <c r="K384" i="23" s="1"/>
  <c r="K385" i="23" s="1"/>
  <c r="K386" i="23" s="1"/>
  <c r="K387" i="23" s="1"/>
  <c r="K388" i="23" s="1"/>
  <c r="K389" i="23" s="1"/>
  <c r="K390" i="23" s="1"/>
  <c r="K391" i="23" s="1"/>
  <c r="K392" i="23" s="1"/>
  <c r="K393" i="23" s="1"/>
  <c r="K394" i="23" s="1"/>
  <c r="K395" i="23" s="1"/>
  <c r="K396" i="23" s="1"/>
  <c r="K397" i="23" s="1"/>
  <c r="K398" i="23" s="1"/>
  <c r="K399" i="23" s="1"/>
  <c r="K400" i="23" s="1"/>
  <c r="K401" i="23" s="1"/>
  <c r="K402" i="23" s="1"/>
  <c r="K403" i="23" s="1"/>
  <c r="K404" i="23" s="1"/>
  <c r="K405" i="23" s="1"/>
  <c r="K406" i="23" s="1"/>
  <c r="K407" i="23" s="1"/>
  <c r="K408" i="23" s="1"/>
  <c r="K409" i="23" s="1"/>
  <c r="K410" i="23" s="1"/>
  <c r="K411" i="23" s="1"/>
  <c r="K412" i="23" s="1"/>
  <c r="K413" i="23" s="1"/>
  <c r="K414" i="23" s="1"/>
  <c r="K415" i="23" s="1"/>
  <c r="K416" i="23" s="1"/>
  <c r="K417" i="23" s="1"/>
  <c r="K418" i="23" s="1"/>
  <c r="K419" i="23" s="1"/>
  <c r="K420" i="23" s="1"/>
  <c r="K421" i="23" s="1"/>
  <c r="K422" i="23" s="1"/>
  <c r="K423" i="23" s="1"/>
  <c r="K424" i="23" s="1"/>
  <c r="K425" i="23" s="1"/>
  <c r="K426" i="23" s="1"/>
  <c r="K427" i="23" s="1"/>
  <c r="K428" i="23" s="1"/>
  <c r="K429" i="23" s="1"/>
  <c r="K430" i="23" s="1"/>
  <c r="K431" i="23" s="1"/>
  <c r="K432" i="23" s="1"/>
  <c r="K433" i="23" s="1"/>
  <c r="K434" i="23" s="1"/>
  <c r="K435" i="23" s="1"/>
  <c r="K436" i="23" s="1"/>
  <c r="K437" i="23" s="1"/>
  <c r="K438" i="23" s="1"/>
  <c r="K439" i="23" s="1"/>
  <c r="K440" i="23" s="1"/>
  <c r="K441" i="23" s="1"/>
  <c r="K442" i="23" s="1"/>
  <c r="K443" i="23" s="1"/>
  <c r="K444" i="23" s="1"/>
  <c r="K445" i="23" s="1"/>
  <c r="K446" i="23" s="1"/>
  <c r="K447" i="23" s="1"/>
  <c r="K448" i="23" s="1"/>
  <c r="K449" i="23" s="1"/>
  <c r="K450" i="23" s="1"/>
  <c r="K451" i="23" s="1"/>
  <c r="K452" i="23" s="1"/>
  <c r="K453" i="23" s="1"/>
  <c r="K454" i="23" s="1"/>
  <c r="K455" i="23" s="1"/>
  <c r="K456" i="23" s="1"/>
  <c r="K457" i="23" s="1"/>
  <c r="K458" i="23" s="1"/>
  <c r="K459" i="23" s="1"/>
  <c r="K460" i="23" s="1"/>
  <c r="K461" i="23" s="1"/>
  <c r="K462" i="23" s="1"/>
  <c r="K463" i="23" s="1"/>
  <c r="K464" i="23" s="1"/>
  <c r="K465" i="23" s="1"/>
  <c r="K466" i="23" s="1"/>
  <c r="K467" i="23" s="1"/>
  <c r="K468" i="23" s="1"/>
  <c r="K469" i="23" s="1"/>
  <c r="K470" i="23" s="1"/>
  <c r="K471" i="23" s="1"/>
  <c r="K472" i="23" s="1"/>
  <c r="K473" i="23" s="1"/>
  <c r="K474" i="23" s="1"/>
  <c r="K475" i="23" s="1"/>
  <c r="K476" i="23" s="1"/>
  <c r="K477" i="23" s="1"/>
  <c r="K478" i="23" s="1"/>
  <c r="K479" i="23" s="1"/>
  <c r="K480" i="23" s="1"/>
  <c r="K481" i="23" s="1"/>
  <c r="K482" i="23" s="1"/>
  <c r="K483" i="23" s="1"/>
  <c r="K484" i="23" s="1"/>
  <c r="K485" i="23" s="1"/>
  <c r="K486" i="23" s="1"/>
  <c r="K487" i="23" s="1"/>
  <c r="K488" i="23" s="1"/>
  <c r="K489" i="23" s="1"/>
  <c r="K490" i="23" s="1"/>
  <c r="K491" i="23" s="1"/>
  <c r="K492" i="23" s="1"/>
  <c r="K493" i="23" s="1"/>
  <c r="K494" i="23" s="1"/>
  <c r="K495" i="23" s="1"/>
  <c r="K496" i="23" s="1"/>
  <c r="K497" i="23" s="1"/>
  <c r="K498" i="23" s="1"/>
  <c r="K499" i="23" s="1"/>
  <c r="K500" i="23" s="1"/>
  <c r="K501" i="23" s="1"/>
  <c r="K502" i="23" s="1"/>
  <c r="K503" i="23" s="1"/>
  <c r="K504" i="23" s="1"/>
  <c r="K505" i="23" s="1"/>
  <c r="K506" i="23" s="1"/>
  <c r="K507" i="23" s="1"/>
  <c r="K508" i="23" s="1"/>
  <c r="K509" i="23" s="1"/>
  <c r="K510" i="23" s="1"/>
  <c r="K511" i="23" s="1"/>
  <c r="K512" i="23" s="1"/>
  <c r="K513" i="23" s="1"/>
  <c r="K514" i="23" s="1"/>
  <c r="K515" i="23" s="1"/>
  <c r="K516" i="23" s="1"/>
  <c r="K517" i="23" s="1"/>
  <c r="K518" i="23" s="1"/>
  <c r="K519" i="23" s="1"/>
  <c r="K520" i="23" s="1"/>
  <c r="K521" i="23" s="1"/>
  <c r="K522" i="23" s="1"/>
  <c r="K523" i="23" s="1"/>
  <c r="K524" i="23" s="1"/>
  <c r="K525" i="23" s="1"/>
  <c r="K526" i="23" s="1"/>
  <c r="K527" i="23" s="1"/>
  <c r="K528" i="23" s="1"/>
  <c r="K529" i="23" s="1"/>
  <c r="K530" i="23" s="1"/>
  <c r="K531" i="23" s="1"/>
  <c r="K532" i="23" s="1"/>
  <c r="K533" i="23" s="1"/>
  <c r="K534" i="23" s="1"/>
  <c r="K535" i="23" s="1"/>
  <c r="K536" i="23" s="1"/>
  <c r="K537" i="23" s="1"/>
  <c r="K538" i="23" s="1"/>
  <c r="K539" i="23" s="1"/>
  <c r="K540" i="23" s="1"/>
  <c r="K541" i="23" s="1"/>
  <c r="K542" i="23" s="1"/>
  <c r="K543" i="23" s="1"/>
  <c r="K544" i="23" s="1"/>
  <c r="K545" i="23" s="1"/>
  <c r="K546" i="23" s="1"/>
  <c r="K547" i="23" s="1"/>
  <c r="K548" i="23" s="1"/>
  <c r="K549" i="23" s="1"/>
  <c r="K550" i="23" s="1"/>
  <c r="K551" i="23" s="1"/>
  <c r="K552" i="23" s="1"/>
  <c r="K553" i="23" s="1"/>
  <c r="K554" i="23" s="1"/>
  <c r="K555" i="23" s="1"/>
  <c r="K556" i="23" s="1"/>
  <c r="K557" i="23" s="1"/>
  <c r="K558" i="23" s="1"/>
  <c r="K559" i="23" s="1"/>
  <c r="K560" i="23" s="1"/>
  <c r="K561" i="23" s="1"/>
  <c r="K562" i="23" s="1"/>
  <c r="K563" i="23" s="1"/>
  <c r="K564" i="23" s="1"/>
  <c r="K565" i="23" s="1"/>
  <c r="K566" i="23" s="1"/>
  <c r="B54" i="23"/>
  <c r="B56" i="23" s="1"/>
  <c r="H47" i="23" s="1"/>
  <c r="N13" i="24" s="1"/>
  <c r="AD205" i="25" l="1"/>
  <c r="AE565" i="25"/>
  <c r="AE566" i="25" s="1"/>
  <c r="AE567" i="25" s="1"/>
  <c r="AE568" i="25" s="1"/>
  <c r="AE569" i="25" s="1"/>
  <c r="AE570" i="25" s="1"/>
  <c r="AE571" i="25" s="1"/>
  <c r="AE572" i="25" s="1"/>
  <c r="AE573" i="25" s="1"/>
  <c r="AE574" i="25" s="1"/>
  <c r="AE575" i="25" s="1"/>
  <c r="AE576" i="25" s="1"/>
  <c r="AE577" i="25" s="1"/>
  <c r="AE578" i="25" s="1"/>
  <c r="AE579" i="25" s="1"/>
  <c r="AE580" i="25" s="1"/>
  <c r="AE581" i="25" s="1"/>
  <c r="AE582" i="25" s="1"/>
  <c r="AE583" i="25" s="1"/>
  <c r="H13" i="24"/>
  <c r="E50" i="23"/>
  <c r="I13" i="24" s="1"/>
  <c r="E37" i="23"/>
  <c r="I12" i="24" s="1"/>
  <c r="H12" i="24"/>
  <c r="H37" i="23"/>
  <c r="M12" i="24" s="1"/>
  <c r="L12" i="24"/>
  <c r="H48" i="23"/>
  <c r="H49" i="23"/>
  <c r="K13" i="24" s="1"/>
  <c r="AD206" i="25" l="1"/>
  <c r="AE584" i="25"/>
  <c r="AE585" i="25" s="1"/>
  <c r="AE586" i="25" s="1"/>
  <c r="AE587" i="25" s="1"/>
  <c r="AE588" i="25" s="1"/>
  <c r="AE589" i="25" s="1"/>
  <c r="AE590" i="25" s="1"/>
  <c r="AE591" i="25" s="1"/>
  <c r="AE592" i="25" s="1"/>
  <c r="AE593" i="25" s="1"/>
  <c r="AE594" i="25" s="1"/>
  <c r="AE595" i="25" s="1"/>
  <c r="AE596" i="25" s="1"/>
  <c r="AE597" i="25" s="1"/>
  <c r="AE598" i="25" s="1"/>
  <c r="AE599" i="25" s="1"/>
  <c r="AE600" i="25" s="1"/>
  <c r="AE601" i="25" s="1"/>
  <c r="AE602" i="25" s="1"/>
  <c r="AE603" i="25" s="1"/>
  <c r="AE604" i="25" s="1"/>
  <c r="AE605" i="25" s="1"/>
  <c r="AE606" i="25" s="1"/>
  <c r="AE607" i="25" s="1"/>
  <c r="AE608" i="25" s="1"/>
  <c r="AE609" i="25" s="1"/>
  <c r="AE610" i="25" s="1"/>
  <c r="AE611" i="25" s="1"/>
  <c r="AE612" i="25" s="1"/>
  <c r="AE613" i="25" s="1"/>
  <c r="AE614" i="25" s="1"/>
  <c r="AE615" i="25" s="1"/>
  <c r="AE616" i="25" s="1"/>
  <c r="AE617" i="25" s="1"/>
  <c r="AE618" i="25" s="1"/>
  <c r="AE619" i="25" s="1"/>
  <c r="AE620" i="25" s="1"/>
  <c r="AE621" i="25" s="1"/>
  <c r="AE622" i="25" s="1"/>
  <c r="AE623" i="25" s="1"/>
  <c r="AE624" i="25" s="1"/>
  <c r="AE625" i="25" s="1"/>
  <c r="AE626" i="25" s="1"/>
  <c r="AE627" i="25" s="1"/>
  <c r="AE628" i="25" s="1"/>
  <c r="AE629" i="25" s="1"/>
  <c r="AE630" i="25" s="1"/>
  <c r="AE631" i="25" s="1"/>
  <c r="AE632" i="25" s="1"/>
  <c r="AE633" i="25" s="1"/>
  <c r="AE634" i="25" s="1"/>
  <c r="AE635" i="25" s="1"/>
  <c r="AE636" i="25" s="1"/>
  <c r="AE637" i="25" s="1"/>
  <c r="AE638" i="25" s="1"/>
  <c r="AE639" i="25" s="1"/>
  <c r="AE640" i="25" s="1"/>
  <c r="AE641" i="25" s="1"/>
  <c r="AE642" i="25" s="1"/>
  <c r="AE643" i="25" s="1"/>
  <c r="AE644" i="25" s="1"/>
  <c r="H50" i="23"/>
  <c r="M13" i="24" s="1"/>
  <c r="L13" i="24"/>
  <c r="AD207" i="25" l="1"/>
  <c r="AE645" i="25"/>
  <c r="AE646" i="25" s="1"/>
  <c r="AE647" i="25" s="1"/>
  <c r="AE648" i="25" s="1"/>
  <c r="AE649" i="25" s="1"/>
  <c r="AE650" i="25" s="1"/>
  <c r="AE651" i="25" s="1"/>
  <c r="AE652" i="25" s="1"/>
  <c r="AE653" i="25" s="1"/>
  <c r="AE654" i="25" s="1"/>
  <c r="AE655" i="25" s="1"/>
  <c r="AE656" i="25" s="1"/>
  <c r="AE657" i="25" s="1"/>
  <c r="AD208" i="25" l="1"/>
  <c r="AE658" i="25"/>
  <c r="AE659" i="25" s="1"/>
  <c r="AE660" i="25" s="1"/>
  <c r="AE661" i="25" s="1"/>
  <c r="AE662" i="25" s="1"/>
  <c r="AE663" i="25" s="1"/>
  <c r="AE664" i="25" s="1"/>
  <c r="AE665" i="25" s="1"/>
  <c r="AE666" i="25" s="1"/>
  <c r="AE667" i="25" s="1"/>
  <c r="AE668" i="25" s="1"/>
  <c r="AE669" i="25" s="1"/>
  <c r="AE670" i="25" s="1"/>
  <c r="AD209" i="25" l="1"/>
  <c r="AE671" i="25"/>
  <c r="AE672" i="25" s="1"/>
  <c r="AE673" i="25" s="1"/>
  <c r="AE674" i="25" s="1"/>
  <c r="AE675" i="25" s="1"/>
  <c r="AE676" i="25" s="1"/>
  <c r="AE677" i="25" s="1"/>
  <c r="AE678" i="25" s="1"/>
  <c r="AE679" i="25" s="1"/>
  <c r="AE680" i="25" s="1"/>
  <c r="AE681" i="25" s="1"/>
  <c r="AE682" i="25" s="1"/>
  <c r="AE683" i="25" s="1"/>
  <c r="AE684" i="25" s="1"/>
  <c r="AE685" i="25" s="1"/>
  <c r="AE686" i="25" s="1"/>
  <c r="AE687" i="25" s="1"/>
  <c r="AE688" i="25" s="1"/>
  <c r="AE689" i="25" s="1"/>
  <c r="AE690" i="25" s="1"/>
  <c r="AE691" i="25" s="1"/>
  <c r="AE692" i="25" s="1"/>
  <c r="AE693" i="25" s="1"/>
  <c r="AE694" i="25" s="1"/>
  <c r="AE695" i="25" s="1"/>
  <c r="AE696" i="25" s="1"/>
  <c r="AE697" i="25" s="1"/>
  <c r="AE698" i="25" s="1"/>
  <c r="AE699" i="25" s="1"/>
  <c r="AE700" i="25" s="1"/>
  <c r="AE701" i="25" s="1"/>
  <c r="AE702" i="25" s="1"/>
  <c r="AE703" i="25" s="1"/>
  <c r="AE704" i="25" s="1"/>
  <c r="AD210" i="25" l="1"/>
  <c r="AE705" i="25"/>
  <c r="AE706" i="25" s="1"/>
  <c r="AE707" i="25" s="1"/>
  <c r="AE708" i="25" s="1"/>
  <c r="AE709" i="25" s="1"/>
  <c r="AE710" i="25" s="1"/>
  <c r="AE711" i="25" s="1"/>
  <c r="AE712" i="25" s="1"/>
  <c r="AE713" i="25" s="1"/>
  <c r="AE714" i="25" s="1"/>
  <c r="AE715" i="25" s="1"/>
  <c r="AE716" i="25" s="1"/>
  <c r="AE717" i="25" s="1"/>
  <c r="AE718" i="25" s="1"/>
  <c r="AE719" i="25" s="1"/>
  <c r="AE720" i="25" s="1"/>
  <c r="AE721" i="25" s="1"/>
  <c r="AE722" i="25" s="1"/>
  <c r="AE723" i="25" s="1"/>
  <c r="AE724" i="25" s="1"/>
  <c r="AE725" i="25" s="1"/>
  <c r="AE726" i="25" s="1"/>
  <c r="AE727" i="25" s="1"/>
  <c r="AE728" i="25" s="1"/>
  <c r="AE729" i="25" s="1"/>
  <c r="AE730" i="25" s="1"/>
  <c r="AE731" i="25" s="1"/>
  <c r="AE732" i="25" s="1"/>
  <c r="AE733" i="25" s="1"/>
  <c r="AE734" i="25" s="1"/>
  <c r="AE735" i="25" s="1"/>
  <c r="AE736" i="25" s="1"/>
  <c r="AE737" i="25" s="1"/>
  <c r="AE738" i="25" s="1"/>
  <c r="AE739" i="25" s="1"/>
  <c r="AE740" i="25" s="1"/>
  <c r="AE741" i="25" s="1"/>
  <c r="AE742" i="25" s="1"/>
  <c r="AE743" i="25" s="1"/>
  <c r="AE744" i="25" s="1"/>
  <c r="AE745" i="25" s="1"/>
  <c r="AE746" i="25" s="1"/>
  <c r="AE747" i="25" s="1"/>
  <c r="AE748" i="25" s="1"/>
  <c r="AE749" i="25" s="1"/>
  <c r="AE750" i="25" s="1"/>
  <c r="AE751" i="25" s="1"/>
  <c r="AE752" i="25" s="1"/>
  <c r="AE753" i="25" s="1"/>
  <c r="AE754" i="25" s="1"/>
  <c r="AE755" i="25" s="1"/>
  <c r="AE756" i="25" s="1"/>
  <c r="AE757" i="25" s="1"/>
  <c r="AE758" i="25" s="1"/>
  <c r="AE759" i="25" s="1"/>
  <c r="AE760" i="25" s="1"/>
  <c r="AE761" i="25" s="1"/>
  <c r="AE762" i="25" s="1"/>
  <c r="AE763" i="25" s="1"/>
  <c r="AE764" i="25" s="1"/>
  <c r="AE765" i="25" s="1"/>
  <c r="AE766" i="25" s="1"/>
  <c r="AE767" i="25" s="1"/>
  <c r="H81" i="22"/>
  <c r="B77" i="22"/>
  <c r="G75" i="22" s="1"/>
  <c r="H76" i="22"/>
  <c r="I76" i="22" s="1"/>
  <c r="J76" i="22" s="1"/>
  <c r="K76" i="22" s="1"/>
  <c r="L76" i="22" s="1"/>
  <c r="H75" i="22"/>
  <c r="B74" i="22"/>
  <c r="B73" i="22"/>
  <c r="B70" i="22"/>
  <c r="H77" i="22" s="1"/>
  <c r="H65" i="22"/>
  <c r="B61" i="22"/>
  <c r="H60" i="22"/>
  <c r="I60" i="22" s="1"/>
  <c r="J60" i="22" s="1"/>
  <c r="K60" i="22" s="1"/>
  <c r="L60" i="22" s="1"/>
  <c r="H59" i="22"/>
  <c r="B58" i="22"/>
  <c r="B57" i="22"/>
  <c r="B54" i="22"/>
  <c r="H66" i="22" s="1"/>
  <c r="H48" i="22"/>
  <c r="B44" i="22"/>
  <c r="G42" i="22" s="1"/>
  <c r="K43" i="22"/>
  <c r="L43" i="22" s="1"/>
  <c r="J43" i="22"/>
  <c r="H43" i="22"/>
  <c r="I43" i="22" s="1"/>
  <c r="H42" i="22"/>
  <c r="B41" i="22"/>
  <c r="B40" i="22"/>
  <c r="B37" i="22"/>
  <c r="H32" i="22"/>
  <c r="B28" i="22"/>
  <c r="H27" i="22"/>
  <c r="I27" i="22" s="1"/>
  <c r="J27" i="22" s="1"/>
  <c r="K27" i="22" s="1"/>
  <c r="L27" i="22" s="1"/>
  <c r="H26" i="22"/>
  <c r="B25" i="22"/>
  <c r="B24" i="22"/>
  <c r="B21" i="22"/>
  <c r="H15" i="22"/>
  <c r="B11" i="22"/>
  <c r="G9" i="22" s="1"/>
  <c r="I10" i="22"/>
  <c r="J10" i="22" s="1"/>
  <c r="K10" i="22" s="1"/>
  <c r="L10" i="22" s="1"/>
  <c r="H10" i="22"/>
  <c r="H9" i="22"/>
  <c r="B8" i="22"/>
  <c r="B7" i="22"/>
  <c r="B4" i="22"/>
  <c r="AD211" i="25" l="1"/>
  <c r="AE768" i="25"/>
  <c r="AE769" i="25" s="1"/>
  <c r="AE770" i="25" s="1"/>
  <c r="AE771" i="25" s="1"/>
  <c r="AE772" i="25" s="1"/>
  <c r="AE773" i="25" s="1"/>
  <c r="AE774" i="25" s="1"/>
  <c r="AE775" i="25" s="1"/>
  <c r="AE776" i="25" s="1"/>
  <c r="AE777" i="25" s="1"/>
  <c r="AE778" i="25" s="1"/>
  <c r="AE779" i="25" s="1"/>
  <c r="AE780" i="25" s="1"/>
  <c r="AE781" i="25" s="1"/>
  <c r="AE782" i="25" s="1"/>
  <c r="AE783" i="25" s="1"/>
  <c r="AE784" i="25" s="1"/>
  <c r="AE785" i="25" s="1"/>
  <c r="AE786" i="25" s="1"/>
  <c r="AE787" i="25" s="1"/>
  <c r="AE788" i="25" s="1"/>
  <c r="AE789" i="25" s="1"/>
  <c r="AE790" i="25" s="1"/>
  <c r="AE791" i="25" s="1"/>
  <c r="AE792" i="25" s="1"/>
  <c r="AE793" i="25" s="1"/>
  <c r="AE794" i="25" s="1"/>
  <c r="AE795" i="25" s="1"/>
  <c r="AE796" i="25" s="1"/>
  <c r="AE797" i="25" s="1"/>
  <c r="AE798" i="25" s="1"/>
  <c r="AE799" i="25" s="1"/>
  <c r="AE800" i="25" s="1"/>
  <c r="AE801" i="25" s="1"/>
  <c r="AE802" i="25" s="1"/>
  <c r="AE803" i="25" s="1"/>
  <c r="AE804" i="25" s="1"/>
  <c r="AE805" i="25" s="1"/>
  <c r="AE806" i="25" s="1"/>
  <c r="AE807" i="25" s="1"/>
  <c r="AE808" i="25" s="1"/>
  <c r="AE809" i="25" s="1"/>
  <c r="AE810" i="25" s="1"/>
  <c r="AE811" i="25" s="1"/>
  <c r="AE812" i="25" s="1"/>
  <c r="AE813" i="25" s="1"/>
  <c r="AE814" i="25" s="1"/>
  <c r="AE815" i="25" s="1"/>
  <c r="AE816" i="25" s="1"/>
  <c r="AE817" i="25" s="1"/>
  <c r="AE818" i="25" s="1"/>
  <c r="AE819" i="25" s="1"/>
  <c r="AE820" i="25" s="1"/>
  <c r="AE821" i="25" s="1"/>
  <c r="AE822" i="25" s="1"/>
  <c r="AE823" i="25" s="1"/>
  <c r="AE824" i="25" s="1"/>
  <c r="AE825" i="25" s="1"/>
  <c r="AE826" i="25" s="1"/>
  <c r="AE827" i="25" s="1"/>
  <c r="AE828" i="25" s="1"/>
  <c r="AE829" i="25" s="1"/>
  <c r="AE830" i="25" s="1"/>
  <c r="AE831" i="25" s="1"/>
  <c r="AE832" i="25" s="1"/>
  <c r="AE833" i="25" s="1"/>
  <c r="AE834" i="25" s="1"/>
  <c r="AE835" i="25" s="1"/>
  <c r="AE836" i="25" s="1"/>
  <c r="AE837" i="25" s="1"/>
  <c r="AE838" i="25" s="1"/>
  <c r="AE839" i="25" s="1"/>
  <c r="H82" i="22"/>
  <c r="H16" i="22"/>
  <c r="L7" i="22"/>
  <c r="M10" i="22"/>
  <c r="M27" i="22"/>
  <c r="L24" i="22"/>
  <c r="H28" i="22"/>
  <c r="H33" i="22"/>
  <c r="H11" i="22"/>
  <c r="G26" i="22"/>
  <c r="M43" i="22"/>
  <c r="L40" i="22"/>
  <c r="M60" i="22"/>
  <c r="L57" i="22"/>
  <c r="B59" i="22" s="1"/>
  <c r="L73" i="22"/>
  <c r="B75" i="22" s="1"/>
  <c r="M76" i="22"/>
  <c r="H49" i="22"/>
  <c r="H44" i="22"/>
  <c r="H61" i="22"/>
  <c r="H80" i="22"/>
  <c r="G59" i="22"/>
  <c r="AD212" i="25" l="1"/>
  <c r="AE840" i="25"/>
  <c r="AE841" i="25" s="1"/>
  <c r="AE842" i="25" s="1"/>
  <c r="AE843" i="25" s="1"/>
  <c r="AE844" i="25" s="1"/>
  <c r="AE845" i="25" s="1"/>
  <c r="AE846" i="25" s="1"/>
  <c r="AE847" i="25" s="1"/>
  <c r="AE848" i="25" s="1"/>
  <c r="AE849" i="25" s="1"/>
  <c r="AE850" i="25" s="1"/>
  <c r="AE851" i="25" s="1"/>
  <c r="H47" i="22"/>
  <c r="N43" i="22"/>
  <c r="M40" i="22"/>
  <c r="H31" i="22"/>
  <c r="H64" i="22"/>
  <c r="M73" i="22"/>
  <c r="N76" i="22"/>
  <c r="M24" i="22"/>
  <c r="N27" i="22"/>
  <c r="M7" i="22"/>
  <c r="N10" i="22"/>
  <c r="N60" i="22"/>
  <c r="M57" i="22"/>
  <c r="H14" i="22"/>
  <c r="AD213" i="25" l="1"/>
  <c r="AE852" i="25"/>
  <c r="AE853" i="25" s="1"/>
  <c r="AE854" i="25" s="1"/>
  <c r="AE855" i="25" s="1"/>
  <c r="AE856" i="25" s="1"/>
  <c r="AE857" i="25" s="1"/>
  <c r="AE858" i="25" s="1"/>
  <c r="AE859" i="25" s="1"/>
  <c r="AE860" i="25" s="1"/>
  <c r="AE861" i="25" s="1"/>
  <c r="AE862" i="25" s="1"/>
  <c r="AE863" i="25" s="1"/>
  <c r="AE864" i="25" s="1"/>
  <c r="AE865" i="25" s="1"/>
  <c r="AE866" i="25" s="1"/>
  <c r="AE867" i="25" s="1"/>
  <c r="AE868" i="25" s="1"/>
  <c r="AE869" i="25" s="1"/>
  <c r="AE870" i="25" s="1"/>
  <c r="AE871" i="25" s="1"/>
  <c r="AE872" i="25" s="1"/>
  <c r="AE873" i="25" s="1"/>
  <c r="AE874" i="25" s="1"/>
  <c r="AE875" i="25" s="1"/>
  <c r="AE876" i="25" s="1"/>
  <c r="AE877" i="25" s="1"/>
  <c r="AE878" i="25" s="1"/>
  <c r="AE879" i="25" s="1"/>
  <c r="AE880" i="25" s="1"/>
  <c r="AE881" i="25" s="1"/>
  <c r="AE882" i="25" s="1"/>
  <c r="AE883" i="25" s="1"/>
  <c r="AE884" i="25" s="1"/>
  <c r="AE885" i="25" s="1"/>
  <c r="AE886" i="25" s="1"/>
  <c r="AE887" i="25" s="1"/>
  <c r="AE888" i="25" s="1"/>
  <c r="AE889" i="25" s="1"/>
  <c r="AE890" i="25" s="1"/>
  <c r="AE891" i="25" s="1"/>
  <c r="AE892" i="25" s="1"/>
  <c r="AE893" i="25" s="1"/>
  <c r="AE894" i="25" s="1"/>
  <c r="AE895" i="25" s="1"/>
  <c r="AE896" i="25" s="1"/>
  <c r="AE897" i="25" s="1"/>
  <c r="AE898" i="25" s="1"/>
  <c r="AE899" i="25" s="1"/>
  <c r="AE900" i="25" s="1"/>
  <c r="AE901" i="25" s="1"/>
  <c r="AE902" i="25" s="1"/>
  <c r="AE903" i="25" s="1"/>
  <c r="AE904" i="25" s="1"/>
  <c r="AE905" i="25" s="1"/>
  <c r="AE906" i="25" s="1"/>
  <c r="AE907" i="25" s="1"/>
  <c r="AE908" i="25" s="1"/>
  <c r="AE909" i="25" s="1"/>
  <c r="AE910" i="25" s="1"/>
  <c r="AE911" i="25" s="1"/>
  <c r="AE912" i="25" s="1"/>
  <c r="AE913" i="25" s="1"/>
  <c r="AE914" i="25" s="1"/>
  <c r="AE915" i="25" s="1"/>
  <c r="AE916" i="25" s="1"/>
  <c r="AE917" i="25" s="1"/>
  <c r="AE918" i="25" s="1"/>
  <c r="AE919" i="25" s="1"/>
  <c r="AE920" i="25" s="1"/>
  <c r="AE921" i="25" s="1"/>
  <c r="AE922" i="25" s="1"/>
  <c r="AE923" i="25" s="1"/>
  <c r="AE924" i="25" s="1"/>
  <c r="AE925" i="25" s="1"/>
  <c r="AE926" i="25" s="1"/>
  <c r="AE927" i="25" s="1"/>
  <c r="AE928" i="25" s="1"/>
  <c r="AE929" i="25" s="1"/>
  <c r="AE930" i="25" s="1"/>
  <c r="AE931" i="25" s="1"/>
  <c r="AE932" i="25" s="1"/>
  <c r="AE933" i="25" s="1"/>
  <c r="AE934" i="25" s="1"/>
  <c r="AE935" i="25" s="1"/>
  <c r="AE936" i="25" s="1"/>
  <c r="AE937" i="25" s="1"/>
  <c r="AE938" i="25" s="1"/>
  <c r="AE939" i="25" s="1"/>
  <c r="AE940" i="25" s="1"/>
  <c r="AE941" i="25" s="1"/>
  <c r="AE942" i="25" s="1"/>
  <c r="AE943" i="25" s="1"/>
  <c r="AE944" i="25" s="1"/>
  <c r="AE945" i="25" s="1"/>
  <c r="AE946" i="25" s="1"/>
  <c r="AE947" i="25" s="1"/>
  <c r="AE948" i="25" s="1"/>
  <c r="AE949" i="25" s="1"/>
  <c r="AE950" i="25" s="1"/>
  <c r="AE951" i="25" s="1"/>
  <c r="AE952" i="25" s="1"/>
  <c r="AE953" i="25" s="1"/>
  <c r="AE954" i="25" s="1"/>
  <c r="AE955" i="25" s="1"/>
  <c r="AE956" i="25" s="1"/>
  <c r="AE957" i="25" s="1"/>
  <c r="AE958" i="25" s="1"/>
  <c r="AE959" i="25" s="1"/>
  <c r="AE960" i="25" s="1"/>
  <c r="AE961" i="25" s="1"/>
  <c r="AE962" i="25" s="1"/>
  <c r="AE963" i="25" s="1"/>
  <c r="AE964" i="25" s="1"/>
  <c r="AE965" i="25" s="1"/>
  <c r="AE966" i="25" s="1"/>
  <c r="AE967" i="25" s="1"/>
  <c r="AE968" i="25" s="1"/>
  <c r="AE969" i="25" s="1"/>
  <c r="AE970" i="25" s="1"/>
  <c r="AE971" i="25" s="1"/>
  <c r="AE972" i="25" s="1"/>
  <c r="AE973" i="25" s="1"/>
  <c r="AE974" i="25" s="1"/>
  <c r="AE975" i="25" s="1"/>
  <c r="AE976" i="25" s="1"/>
  <c r="AE977" i="25" s="1"/>
  <c r="AE978" i="25" s="1"/>
  <c r="AE979" i="25" s="1"/>
  <c r="AE980" i="25" s="1"/>
  <c r="AE981" i="25" s="1"/>
  <c r="AE982" i="25" s="1"/>
  <c r="AE983" i="25" s="1"/>
  <c r="AE984" i="25" s="1"/>
  <c r="AE985" i="25" s="1"/>
  <c r="AE986" i="25" s="1"/>
  <c r="AE987" i="25" s="1"/>
  <c r="AE988" i="25" s="1"/>
  <c r="AE989" i="25" s="1"/>
  <c r="AE990" i="25" s="1"/>
  <c r="AE991" i="25" s="1"/>
  <c r="AE992" i="25" s="1"/>
  <c r="AE993" i="25" s="1"/>
  <c r="AE994" i="25" s="1"/>
  <c r="AE995" i="25" s="1"/>
  <c r="AE996" i="25" s="1"/>
  <c r="AE997" i="25" s="1"/>
  <c r="AE998" i="25" s="1"/>
  <c r="AE999" i="25" s="1"/>
  <c r="AE1000" i="25" s="1"/>
  <c r="AE1001" i="25" s="1"/>
  <c r="AE1002" i="25" s="1"/>
  <c r="AE1003" i="25" s="1"/>
  <c r="AE1004" i="25" s="1"/>
  <c r="AE1005" i="25" s="1"/>
  <c r="AE1006" i="25" s="1"/>
  <c r="AE1007" i="25" s="1"/>
  <c r="AE1008" i="25" s="1"/>
  <c r="AE1009" i="25" s="1"/>
  <c r="AE1010" i="25" s="1"/>
  <c r="AE1011" i="25" s="1"/>
  <c r="AE1012" i="25" s="1"/>
  <c r="AE1013" i="25" s="1"/>
  <c r="AE1014" i="25" s="1"/>
  <c r="AE1015" i="25" s="1"/>
  <c r="AE1016" i="25" s="1"/>
  <c r="AE1017" i="25" s="1"/>
  <c r="AE1018" i="25" s="1"/>
  <c r="AE1019" i="25" s="1"/>
  <c r="AE1020" i="25" s="1"/>
  <c r="AE1021" i="25" s="1"/>
  <c r="AE1022" i="25" s="1"/>
  <c r="AE1023" i="25" s="1"/>
  <c r="AE1024" i="25" s="1"/>
  <c r="AE1025" i="25" s="1"/>
  <c r="AE1026" i="25" s="1"/>
  <c r="AE1027" i="25" s="1"/>
  <c r="AE1028" i="25" s="1"/>
  <c r="AE1029" i="25" s="1"/>
  <c r="AE1030" i="25" s="1"/>
  <c r="AE1031" i="25" s="1"/>
  <c r="AE1032" i="25" s="1"/>
  <c r="AE1033" i="25" s="1"/>
  <c r="AE1034" i="25" s="1"/>
  <c r="AE1035" i="25" s="1"/>
  <c r="O43" i="22"/>
  <c r="N40" i="22"/>
  <c r="N24" i="22"/>
  <c r="O27" i="22"/>
  <c r="O76" i="22"/>
  <c r="N73" i="22"/>
  <c r="O60" i="22"/>
  <c r="N57" i="22"/>
  <c r="O10" i="22"/>
  <c r="N7" i="22"/>
  <c r="AD214" i="25" l="1"/>
  <c r="AE1036" i="25"/>
  <c r="AE1037" i="25" s="1"/>
  <c r="AE1038" i="25" s="1"/>
  <c r="AE1039" i="25" s="1"/>
  <c r="AE1040" i="25" s="1"/>
  <c r="AE1041" i="25" s="1"/>
  <c r="AE1042" i="25" s="1"/>
  <c r="AE1043" i="25" s="1"/>
  <c r="AE1044" i="25" s="1"/>
  <c r="AE1045" i="25" s="1"/>
  <c r="AE1046" i="25" s="1"/>
  <c r="AE1047" i="25" s="1"/>
  <c r="AE1048" i="25" s="1"/>
  <c r="AE1049" i="25" s="1"/>
  <c r="AE1050" i="25" s="1"/>
  <c r="AE1051" i="25" s="1"/>
  <c r="AE1052" i="25" s="1"/>
  <c r="AE1053" i="25" s="1"/>
  <c r="AE1054" i="25" s="1"/>
  <c r="AE1055" i="25" s="1"/>
  <c r="AE1056" i="25" s="1"/>
  <c r="AE1057" i="25" s="1"/>
  <c r="AE1058" i="25" s="1"/>
  <c r="AE1059" i="25" s="1"/>
  <c r="AE1060" i="25" s="1"/>
  <c r="AE1061" i="25" s="1"/>
  <c r="AE1062" i="25" s="1"/>
  <c r="AE1063" i="25" s="1"/>
  <c r="AE1064" i="25" s="1"/>
  <c r="AE1065" i="25" s="1"/>
  <c r="AE1066" i="25" s="1"/>
  <c r="AE1067" i="25" s="1"/>
  <c r="AE1068" i="25" s="1"/>
  <c r="AE1069" i="25" s="1"/>
  <c r="AE1070" i="25" s="1"/>
  <c r="AE1071" i="25" s="1"/>
  <c r="AE1072" i="25" s="1"/>
  <c r="AE1073" i="25" s="1"/>
  <c r="AE1074" i="25" s="1"/>
  <c r="AE1075" i="25" s="1"/>
  <c r="AE1076" i="25" s="1"/>
  <c r="AE1077" i="25" s="1"/>
  <c r="AE1078" i="25" s="1"/>
  <c r="AE1079" i="25" s="1"/>
  <c r="AE1080" i="25" s="1"/>
  <c r="AE1081" i="25" s="1"/>
  <c r="AE1082" i="25" s="1"/>
  <c r="AE1083" i="25" s="1"/>
  <c r="AE1084" i="25" s="1"/>
  <c r="AE1085" i="25" s="1"/>
  <c r="AE1086" i="25" s="1"/>
  <c r="AE1087" i="25" s="1"/>
  <c r="AE1088" i="25" s="1"/>
  <c r="AE1089" i="25" s="1"/>
  <c r="AE1090" i="25" s="1"/>
  <c r="AE1091" i="25" s="1"/>
  <c r="AE1092" i="25" s="1"/>
  <c r="AE1093" i="25" s="1"/>
  <c r="AE1094" i="25" s="1"/>
  <c r="AE1095" i="25" s="1"/>
  <c r="AE1096" i="25" s="1"/>
  <c r="AE1097" i="25" s="1"/>
  <c r="AE1098" i="25" s="1"/>
  <c r="AE1099" i="25" s="1"/>
  <c r="AE1100" i="25" s="1"/>
  <c r="AE1101" i="25" s="1"/>
  <c r="AE1102" i="25" s="1"/>
  <c r="AE1103" i="25" s="1"/>
  <c r="AE1104" i="25" s="1"/>
  <c r="AE1105" i="25" s="1"/>
  <c r="AE1106" i="25" s="1"/>
  <c r="AE1107" i="25" s="1"/>
  <c r="AE1108" i="25" s="1"/>
  <c r="AE1109" i="25" s="1"/>
  <c r="AE1110" i="25" s="1"/>
  <c r="AE1111" i="25" s="1"/>
  <c r="AE1112" i="25" s="1"/>
  <c r="AE1113" i="25" s="1"/>
  <c r="AE1114" i="25" s="1"/>
  <c r="AE1115" i="25" s="1"/>
  <c r="AE1116" i="25" s="1"/>
  <c r="AE1117" i="25" s="1"/>
  <c r="AE1118" i="25" s="1"/>
  <c r="AE1119" i="25" s="1"/>
  <c r="AE1120" i="25" s="1"/>
  <c r="AE1121" i="25" s="1"/>
  <c r="AE1122" i="25" s="1"/>
  <c r="AE1123" i="25" s="1"/>
  <c r="AE1124" i="25" s="1"/>
  <c r="AE1125" i="25" s="1"/>
  <c r="AE1126" i="25" s="1"/>
  <c r="AE1127" i="25" s="1"/>
  <c r="AE1128" i="25" s="1"/>
  <c r="AE1129" i="25" s="1"/>
  <c r="AE1130" i="25" s="1"/>
  <c r="AE1131" i="25" s="1"/>
  <c r="AE1132" i="25" s="1"/>
  <c r="AE1133" i="25" s="1"/>
  <c r="AE1134" i="25" s="1"/>
  <c r="AE1135" i="25" s="1"/>
  <c r="AE1136" i="25" s="1"/>
  <c r="AE1137" i="25" s="1"/>
  <c r="AE1138" i="25" s="1"/>
  <c r="AE1139" i="25" s="1"/>
  <c r="AE1140" i="25" s="1"/>
  <c r="AE1141" i="25" s="1"/>
  <c r="AE1142" i="25" s="1"/>
  <c r="AE1143" i="25" s="1"/>
  <c r="AE1144" i="25" s="1"/>
  <c r="AE1145" i="25" s="1"/>
  <c r="AE1146" i="25" s="1"/>
  <c r="AE1147" i="25" s="1"/>
  <c r="AE1148" i="25" s="1"/>
  <c r="AE1149" i="25" s="1"/>
  <c r="AE1150" i="25" s="1"/>
  <c r="AE1151" i="25" s="1"/>
  <c r="AE1152" i="25" s="1"/>
  <c r="AE1153" i="25" s="1"/>
  <c r="AE1154" i="25" s="1"/>
  <c r="AE1155" i="25" s="1"/>
  <c r="AE1156" i="25" s="1"/>
  <c r="AE1157" i="25" s="1"/>
  <c r="AE1158" i="25" s="1"/>
  <c r="AE1159" i="25" s="1"/>
  <c r="AE1160" i="25" s="1"/>
  <c r="AE1161" i="25" s="1"/>
  <c r="AE1162" i="25" s="1"/>
  <c r="AE1163" i="25" s="1"/>
  <c r="AE1164" i="25" s="1"/>
  <c r="AE1165" i="25" s="1"/>
  <c r="AE1166" i="25" s="1"/>
  <c r="AE1167" i="25" s="1"/>
  <c r="AE1168" i="25" s="1"/>
  <c r="AE1169" i="25" s="1"/>
  <c r="AE1170" i="25" s="1"/>
  <c r="AE1171" i="25" s="1"/>
  <c r="AE1172" i="25" s="1"/>
  <c r="AE1173" i="25" s="1"/>
  <c r="AE1174" i="25" s="1"/>
  <c r="AE1175" i="25" s="1"/>
  <c r="AE1176" i="25" s="1"/>
  <c r="AE1177" i="25" s="1"/>
  <c r="AE1178" i="25" s="1"/>
  <c r="AE1179" i="25" s="1"/>
  <c r="AE1180" i="25" s="1"/>
  <c r="AE1181" i="25" s="1"/>
  <c r="AE1182" i="25" s="1"/>
  <c r="AE1183" i="25" s="1"/>
  <c r="AE1184" i="25" s="1"/>
  <c r="AE1185" i="25" s="1"/>
  <c r="AE1186" i="25" s="1"/>
  <c r="AE1187" i="25" s="1"/>
  <c r="AE1188" i="25" s="1"/>
  <c r="AE1189" i="25" s="1"/>
  <c r="AE1190" i="25" s="1"/>
  <c r="AE1191" i="25" s="1"/>
  <c r="AE1192" i="25" s="1"/>
  <c r="AE1193" i="25" s="1"/>
  <c r="AE1194" i="25" s="1"/>
  <c r="AE1195" i="25" s="1"/>
  <c r="AE1196" i="25" s="1"/>
  <c r="AE1197" i="25" s="1"/>
  <c r="AE1198" i="25" s="1"/>
  <c r="AE1199" i="25" s="1"/>
  <c r="AE1200" i="25" s="1"/>
  <c r="AE1201" i="25" s="1"/>
  <c r="AE1202" i="25" s="1"/>
  <c r="AE1203" i="25" s="1"/>
  <c r="AE1204" i="25" s="1"/>
  <c r="AE1205" i="25" s="1"/>
  <c r="AE1206" i="25" s="1"/>
  <c r="AE1207" i="25" s="1"/>
  <c r="AE1208" i="25" s="1"/>
  <c r="AE1209" i="25" s="1"/>
  <c r="AE1210" i="25" s="1"/>
  <c r="AE1211" i="25" s="1"/>
  <c r="AE1212" i="25" s="1"/>
  <c r="AE1213" i="25" s="1"/>
  <c r="AE1214" i="25" s="1"/>
  <c r="AE1215" i="25" s="1"/>
  <c r="AE1216" i="25" s="1"/>
  <c r="O24" i="22"/>
  <c r="P27" i="22"/>
  <c r="P10" i="22"/>
  <c r="O7" i="22"/>
  <c r="O57" i="22"/>
  <c r="P60" i="22"/>
  <c r="O40" i="22"/>
  <c r="P43" i="22"/>
  <c r="O73" i="22"/>
  <c r="P76" i="22"/>
  <c r="AD215" i="25" l="1"/>
  <c r="AE1217" i="25"/>
  <c r="AE1218" i="25" s="1"/>
  <c r="AE1219" i="25" s="1"/>
  <c r="AE1220" i="25" s="1"/>
  <c r="AE1221" i="25" s="1"/>
  <c r="AE1222" i="25" s="1"/>
  <c r="AE1223" i="25" s="1"/>
  <c r="AE1224" i="25" s="1"/>
  <c r="AE1225" i="25" s="1"/>
  <c r="AE1226" i="25" s="1"/>
  <c r="AE1227" i="25" s="1"/>
  <c r="AE1228" i="25" s="1"/>
  <c r="AE1229" i="25" s="1"/>
  <c r="AE1230" i="25" s="1"/>
  <c r="AE1231" i="25" s="1"/>
  <c r="AE1232" i="25" s="1"/>
  <c r="AE1233" i="25" s="1"/>
  <c r="AE1234" i="25" s="1"/>
  <c r="AE1235" i="25" s="1"/>
  <c r="AE1236" i="25" s="1"/>
  <c r="AE1237" i="25" s="1"/>
  <c r="AE1238" i="25" s="1"/>
  <c r="AE1239" i="25" s="1"/>
  <c r="AE1240" i="25" s="1"/>
  <c r="AE1241" i="25" s="1"/>
  <c r="AE1242" i="25" s="1"/>
  <c r="AE1243" i="25" s="1"/>
  <c r="AE1244" i="25" s="1"/>
  <c r="AE1245" i="25" s="1"/>
  <c r="AE1246" i="25" s="1"/>
  <c r="AE1247" i="25" s="1"/>
  <c r="AE1248" i="25" s="1"/>
  <c r="AE1249" i="25" s="1"/>
  <c r="AE1250" i="25" s="1"/>
  <c r="AE1251" i="25" s="1"/>
  <c r="AE1252" i="25" s="1"/>
  <c r="AE1253" i="25" s="1"/>
  <c r="AE1254" i="25" s="1"/>
  <c r="AE1255" i="25" s="1"/>
  <c r="AE1256" i="25" s="1"/>
  <c r="AE1257" i="25" s="1"/>
  <c r="AE1258" i="25" s="1"/>
  <c r="AE1259" i="25" s="1"/>
  <c r="AE1260" i="25" s="1"/>
  <c r="AE1261" i="25" s="1"/>
  <c r="AE1262" i="25" s="1"/>
  <c r="AE1263" i="25" s="1"/>
  <c r="AE1264" i="25" s="1"/>
  <c r="AE1265" i="25" s="1"/>
  <c r="AE1266" i="25" s="1"/>
  <c r="AE1267" i="25" s="1"/>
  <c r="AE1268" i="25" s="1"/>
  <c r="AE1269" i="25" s="1"/>
  <c r="AE1270" i="25" s="1"/>
  <c r="AE1271" i="25" s="1"/>
  <c r="AE1272" i="25" s="1"/>
  <c r="AE1273" i="25" s="1"/>
  <c r="AE1274" i="25" s="1"/>
  <c r="AE1275" i="25" s="1"/>
  <c r="AE1276" i="25" s="1"/>
  <c r="AE1277" i="25" s="1"/>
  <c r="AE1278" i="25" s="1"/>
  <c r="AE1279" i="25" s="1"/>
  <c r="AE1280" i="25" s="1"/>
  <c r="AE1281" i="25" s="1"/>
  <c r="AE1282" i="25" s="1"/>
  <c r="AE1283" i="25" s="1"/>
  <c r="AE1284" i="25" s="1"/>
  <c r="AE1285" i="25" s="1"/>
  <c r="AE1286" i="25" s="1"/>
  <c r="AE1287" i="25" s="1"/>
  <c r="AE1288" i="25" s="1"/>
  <c r="AE1289" i="25" s="1"/>
  <c r="AE1290" i="25" s="1"/>
  <c r="AE1291" i="25" s="1"/>
  <c r="AE1292" i="25" s="1"/>
  <c r="AE1293" i="25" s="1"/>
  <c r="AE1294" i="25" s="1"/>
  <c r="AE1295" i="25" s="1"/>
  <c r="AE1296" i="25" s="1"/>
  <c r="AE1297" i="25" s="1"/>
  <c r="AE1298" i="25" s="1"/>
  <c r="AE1299" i="25" s="1"/>
  <c r="AE1300" i="25" s="1"/>
  <c r="AE1301" i="25" s="1"/>
  <c r="AE1302" i="25" s="1"/>
  <c r="AE1303" i="25" s="1"/>
  <c r="AE1304" i="25" s="1"/>
  <c r="AE1305" i="25" s="1"/>
  <c r="AE1306" i="25" s="1"/>
  <c r="AE1307" i="25" s="1"/>
  <c r="AE1308" i="25" s="1"/>
  <c r="AE1309" i="25" s="1"/>
  <c r="AE1310" i="25" s="1"/>
  <c r="AE1311" i="25" s="1"/>
  <c r="AE1312" i="25" s="1"/>
  <c r="AE1313" i="25" s="1"/>
  <c r="AE1314" i="25" s="1"/>
  <c r="AE1315" i="25" s="1"/>
  <c r="AE1316" i="25" s="1"/>
  <c r="AE1317" i="25" s="1"/>
  <c r="AE1318" i="25" s="1"/>
  <c r="AE1319" i="25" s="1"/>
  <c r="AE1320" i="25" s="1"/>
  <c r="AE1321" i="25" s="1"/>
  <c r="AE1322" i="25" s="1"/>
  <c r="AE1323" i="25" s="1"/>
  <c r="AE1324" i="25" s="1"/>
  <c r="AE1325" i="25" s="1"/>
  <c r="AE1326" i="25" s="1"/>
  <c r="AE1327" i="25" s="1"/>
  <c r="AE1328" i="25" s="1"/>
  <c r="AE1329" i="25" s="1"/>
  <c r="AE1330" i="25" s="1"/>
  <c r="AE1331" i="25" s="1"/>
  <c r="AE1332" i="25" s="1"/>
  <c r="AE1333" i="25" s="1"/>
  <c r="AE1334" i="25" s="1"/>
  <c r="AE1335" i="25" s="1"/>
  <c r="AE1336" i="25" s="1"/>
  <c r="AE1337" i="25" s="1"/>
  <c r="AE1338" i="25" s="1"/>
  <c r="AE1339" i="25" s="1"/>
  <c r="AE1340" i="25" s="1"/>
  <c r="AE1341" i="25" s="1"/>
  <c r="AE1342" i="25" s="1"/>
  <c r="AE1343" i="25" s="1"/>
  <c r="AE1344" i="25" s="1"/>
  <c r="AE1345" i="25" s="1"/>
  <c r="AE1346" i="25" s="1"/>
  <c r="AE1347" i="25" s="1"/>
  <c r="AE1348" i="25" s="1"/>
  <c r="AE1349" i="25" s="1"/>
  <c r="AE1350" i="25" s="1"/>
  <c r="AE1351" i="25" s="1"/>
  <c r="AE1352" i="25" s="1"/>
  <c r="AE1353" i="25" s="1"/>
  <c r="AE1354" i="25" s="1"/>
  <c r="AE1355" i="25" s="1"/>
  <c r="AE1356" i="25" s="1"/>
  <c r="AE1357" i="25" s="1"/>
  <c r="AE1358" i="25" s="1"/>
  <c r="AE1359" i="25" s="1"/>
  <c r="AE1360" i="25" s="1"/>
  <c r="AE1361" i="25" s="1"/>
  <c r="AE1362" i="25" s="1"/>
  <c r="AE1363" i="25" s="1"/>
  <c r="AE1364" i="25" s="1"/>
  <c r="AE1365" i="25" s="1"/>
  <c r="AE1366" i="25" s="1"/>
  <c r="AE1367" i="25" s="1"/>
  <c r="AE1368" i="25" s="1"/>
  <c r="AE1369" i="25" s="1"/>
  <c r="AE1370" i="25" s="1"/>
  <c r="AE1371" i="25" s="1"/>
  <c r="AE1372" i="25" s="1"/>
  <c r="AE1373" i="25" s="1"/>
  <c r="AE1374" i="25" s="1"/>
  <c r="AE1375" i="25" s="1"/>
  <c r="AE1376" i="25" s="1"/>
  <c r="AE1377" i="25" s="1"/>
  <c r="AE1378" i="25" s="1"/>
  <c r="AE1379" i="25" s="1"/>
  <c r="AE1380" i="25" s="1"/>
  <c r="AE1381" i="25" s="1"/>
  <c r="AE1382" i="25" s="1"/>
  <c r="AE1383" i="25" s="1"/>
  <c r="AE1384" i="25" s="1"/>
  <c r="AE1385" i="25" s="1"/>
  <c r="AE1386" i="25" s="1"/>
  <c r="AE1387" i="25" s="1"/>
  <c r="AE1388" i="25" s="1"/>
  <c r="AE1389" i="25" s="1"/>
  <c r="AE1390" i="25" s="1"/>
  <c r="AE1391" i="25" s="1"/>
  <c r="AE1392" i="25" s="1"/>
  <c r="AE1393" i="25" s="1"/>
  <c r="AE1394" i="25" s="1"/>
  <c r="AE1395" i="25" s="1"/>
  <c r="AE1396" i="25" s="1"/>
  <c r="AE1397" i="25" s="1"/>
  <c r="AE1398" i="25" s="1"/>
  <c r="AE1399" i="25" s="1"/>
  <c r="AE1400" i="25" s="1"/>
  <c r="Q27" i="22"/>
  <c r="P24" i="22"/>
  <c r="Q43" i="22"/>
  <c r="P40" i="22"/>
  <c r="P73" i="22"/>
  <c r="Q76" i="22"/>
  <c r="Q60" i="22"/>
  <c r="P57" i="22"/>
  <c r="P7" i="22"/>
  <c r="Q10" i="22"/>
  <c r="AD216" i="25" l="1"/>
  <c r="AE1401" i="25"/>
  <c r="AE1402" i="25" s="1"/>
  <c r="AE1403" i="25" s="1"/>
  <c r="AE1404" i="25" s="1"/>
  <c r="AE1405" i="25" s="1"/>
  <c r="AE1406" i="25" s="1"/>
  <c r="AE1407" i="25" s="1"/>
  <c r="AE1408" i="25" s="1"/>
  <c r="AE1409" i="25" s="1"/>
  <c r="AE1410" i="25" s="1"/>
  <c r="AE1411" i="25" s="1"/>
  <c r="AE1412" i="25" s="1"/>
  <c r="AE1413" i="25" s="1"/>
  <c r="AE1414" i="25" s="1"/>
  <c r="AE1415" i="25" s="1"/>
  <c r="AE1416" i="25" s="1"/>
  <c r="AE1417" i="25" s="1"/>
  <c r="AE1418" i="25" s="1"/>
  <c r="AE1419" i="25" s="1"/>
  <c r="AE1420" i="25" s="1"/>
  <c r="AE1421" i="25" s="1"/>
  <c r="AE1422" i="25" s="1"/>
  <c r="AE1423" i="25" s="1"/>
  <c r="AE1424" i="25" s="1"/>
  <c r="AE1425" i="25" s="1"/>
  <c r="AE1426" i="25" s="1"/>
  <c r="AE1427" i="25" s="1"/>
  <c r="AE1428" i="25" s="1"/>
  <c r="AE1429" i="25" s="1"/>
  <c r="AE1430" i="25" s="1"/>
  <c r="AE1431" i="25" s="1"/>
  <c r="AE1432" i="25" s="1"/>
  <c r="AE1433" i="25" s="1"/>
  <c r="AE1434" i="25" s="1"/>
  <c r="AE1435" i="25" s="1"/>
  <c r="AE1436" i="25" s="1"/>
  <c r="AE1437" i="25" s="1"/>
  <c r="AE1438" i="25" s="1"/>
  <c r="AE1439" i="25" s="1"/>
  <c r="AE1440" i="25" s="1"/>
  <c r="AE1441" i="25" s="1"/>
  <c r="AE1442" i="25" s="1"/>
  <c r="AE1443" i="25" s="1"/>
  <c r="AE1444" i="25" s="1"/>
  <c r="AE1445" i="25" s="1"/>
  <c r="AE1446" i="25" s="1"/>
  <c r="AE1447" i="25" s="1"/>
  <c r="AE1448" i="25" s="1"/>
  <c r="AE1449" i="25" s="1"/>
  <c r="AE1450" i="25" s="1"/>
  <c r="AE1451" i="25" s="1"/>
  <c r="AE1452" i="25" s="1"/>
  <c r="AE1453" i="25" s="1"/>
  <c r="AE1454" i="25" s="1"/>
  <c r="AE1455" i="25" s="1"/>
  <c r="AE1456" i="25" s="1"/>
  <c r="AE1457" i="25" s="1"/>
  <c r="AE1458" i="25" s="1"/>
  <c r="AE1459" i="25" s="1"/>
  <c r="AE1460" i="25" s="1"/>
  <c r="AE1461" i="25" s="1"/>
  <c r="AE1462" i="25" s="1"/>
  <c r="AE1463" i="25" s="1"/>
  <c r="AE1464" i="25" s="1"/>
  <c r="AE1465" i="25" s="1"/>
  <c r="AE1466" i="25" s="1"/>
  <c r="AE1467" i="25" s="1"/>
  <c r="AE1468" i="25" s="1"/>
  <c r="AE1469" i="25" s="1"/>
  <c r="AE1470" i="25" s="1"/>
  <c r="AE1471" i="25" s="1"/>
  <c r="AE1472" i="25" s="1"/>
  <c r="AE1473" i="25" s="1"/>
  <c r="AE1474" i="25" s="1"/>
  <c r="AE1475" i="25" s="1"/>
  <c r="AE1476" i="25" s="1"/>
  <c r="AE1477" i="25" s="1"/>
  <c r="AE1478" i="25" s="1"/>
  <c r="AE1479" i="25" s="1"/>
  <c r="AE1480" i="25" s="1"/>
  <c r="AE1481" i="25" s="1"/>
  <c r="AE1482" i="25" s="1"/>
  <c r="AE1483" i="25" s="1"/>
  <c r="AE1484" i="25" s="1"/>
  <c r="AE1485" i="25" s="1"/>
  <c r="AE1486" i="25" s="1"/>
  <c r="AE1487" i="25" s="1"/>
  <c r="AE1488" i="25" s="1"/>
  <c r="AE1489" i="25" s="1"/>
  <c r="AE1490" i="25" s="1"/>
  <c r="AE1491" i="25" s="1"/>
  <c r="AE1492" i="25" s="1"/>
  <c r="AE1493" i="25" s="1"/>
  <c r="AE1494" i="25" s="1"/>
  <c r="AE1495" i="25" s="1"/>
  <c r="AE1496" i="25" s="1"/>
  <c r="AE1497" i="25" s="1"/>
  <c r="AE1498" i="25" s="1"/>
  <c r="AE1499" i="25" s="1"/>
  <c r="AE1500" i="25" s="1"/>
  <c r="AE1501" i="25" s="1"/>
  <c r="AE1502" i="25" s="1"/>
  <c r="AE1503" i="25" s="1"/>
  <c r="AE1504" i="25" s="1"/>
  <c r="AE1505" i="25" s="1"/>
  <c r="AE1506" i="25" s="1"/>
  <c r="AE1507" i="25" s="1"/>
  <c r="AE1508" i="25" s="1"/>
  <c r="AE1509" i="25" s="1"/>
  <c r="AE1510" i="25" s="1"/>
  <c r="AE1511" i="25" s="1"/>
  <c r="AE1512" i="25" s="1"/>
  <c r="AE1513" i="25" s="1"/>
  <c r="AE1514" i="25" s="1"/>
  <c r="AE1515" i="25" s="1"/>
  <c r="AE1516" i="25" s="1"/>
  <c r="AE1517" i="25" s="1"/>
  <c r="AE1518" i="25" s="1"/>
  <c r="AE1519" i="25" s="1"/>
  <c r="AE1520" i="25" s="1"/>
  <c r="AE1521" i="25" s="1"/>
  <c r="AE1522" i="25" s="1"/>
  <c r="AE1523" i="25" s="1"/>
  <c r="AE1524" i="25" s="1"/>
  <c r="AE1525" i="25" s="1"/>
  <c r="AE1526" i="25" s="1"/>
  <c r="AE1527" i="25" s="1"/>
  <c r="AE1528" i="25" s="1"/>
  <c r="AE1529" i="25" s="1"/>
  <c r="AE1530" i="25" s="1"/>
  <c r="AE1531" i="25" s="1"/>
  <c r="AE1532" i="25" s="1"/>
  <c r="AE1533" i="25" s="1"/>
  <c r="AE1534" i="25" s="1"/>
  <c r="AE1535" i="25" s="1"/>
  <c r="AE1536" i="25" s="1"/>
  <c r="AE1537" i="25" s="1"/>
  <c r="AE1538" i="25" s="1"/>
  <c r="AE1539" i="25" s="1"/>
  <c r="AE1540" i="25" s="1"/>
  <c r="AE1541" i="25" s="1"/>
  <c r="AE1542" i="25" s="1"/>
  <c r="AE1543" i="25" s="1"/>
  <c r="AE1544" i="25" s="1"/>
  <c r="AE1545" i="25" s="1"/>
  <c r="AE1546" i="25" s="1"/>
  <c r="AE1547" i="25" s="1"/>
  <c r="AE1548" i="25" s="1"/>
  <c r="AE1549" i="25" s="1"/>
  <c r="AE1550" i="25" s="1"/>
  <c r="AE1551" i="25" s="1"/>
  <c r="AE1552" i="25" s="1"/>
  <c r="AE1553" i="25" s="1"/>
  <c r="AE1554" i="25" s="1"/>
  <c r="AE1555" i="25" s="1"/>
  <c r="AE1556" i="25" s="1"/>
  <c r="AE1557" i="25" s="1"/>
  <c r="AE1558" i="25" s="1"/>
  <c r="AE1559" i="25" s="1"/>
  <c r="AE1560" i="25" s="1"/>
  <c r="AE1561" i="25" s="1"/>
  <c r="AE1562" i="25" s="1"/>
  <c r="AE1563" i="25" s="1"/>
  <c r="AE1564" i="25" s="1"/>
  <c r="AE1565" i="25" s="1"/>
  <c r="AE1566" i="25" s="1"/>
  <c r="AE1567" i="25" s="1"/>
  <c r="AE1568" i="25" s="1"/>
  <c r="AE1569" i="25" s="1"/>
  <c r="AE1570" i="25" s="1"/>
  <c r="AE1571" i="25" s="1"/>
  <c r="AE1572" i="25" s="1"/>
  <c r="AE1573" i="25" s="1"/>
  <c r="AE1574" i="25" s="1"/>
  <c r="AE1575" i="25" s="1"/>
  <c r="AE1576" i="25" s="1"/>
  <c r="AE1577" i="25" s="1"/>
  <c r="AE1578" i="25" s="1"/>
  <c r="AE1579" i="25" s="1"/>
  <c r="AE1580" i="25" s="1"/>
  <c r="AE1581" i="25" s="1"/>
  <c r="AE1582" i="25" s="1"/>
  <c r="AE1583" i="25" s="1"/>
  <c r="AE1584" i="25" s="1"/>
  <c r="AE1585" i="25" s="1"/>
  <c r="AE1586" i="25" s="1"/>
  <c r="AE1587" i="25" s="1"/>
  <c r="AE1588" i="25" s="1"/>
  <c r="AE1589" i="25" s="1"/>
  <c r="AE1590" i="25" s="1"/>
  <c r="AE1591" i="25" s="1"/>
  <c r="AE1592" i="25" s="1"/>
  <c r="AE1593" i="25" s="1"/>
  <c r="AE1594" i="25" s="1"/>
  <c r="AE1595" i="25" s="1"/>
  <c r="AE1596" i="25" s="1"/>
  <c r="AE1597" i="25" s="1"/>
  <c r="AE1598" i="25" s="1"/>
  <c r="AE1599" i="25" s="1"/>
  <c r="AE1600" i="25" s="1"/>
  <c r="AE1601" i="25" s="1"/>
  <c r="AE1602" i="25" s="1"/>
  <c r="AE1603" i="25" s="1"/>
  <c r="AE1604" i="25" s="1"/>
  <c r="AE1605" i="25" s="1"/>
  <c r="AE1606" i="25" s="1"/>
  <c r="AE1607" i="25" s="1"/>
  <c r="AE1608" i="25" s="1"/>
  <c r="AE1609" i="25" s="1"/>
  <c r="AE1610" i="25" s="1"/>
  <c r="AE1611" i="25" s="1"/>
  <c r="AE1612" i="25" s="1"/>
  <c r="AE1613" i="25" s="1"/>
  <c r="AE1614" i="25" s="1"/>
  <c r="AE1615" i="25" s="1"/>
  <c r="AE1616" i="25" s="1"/>
  <c r="AE1617" i="25" s="1"/>
  <c r="AE1618" i="25" s="1"/>
  <c r="AE1619" i="25" s="1"/>
  <c r="AE1620" i="25" s="1"/>
  <c r="AE1621" i="25" s="1"/>
  <c r="AE1622" i="25" s="1"/>
  <c r="AE1623" i="25" s="1"/>
  <c r="AE1624" i="25" s="1"/>
  <c r="AE1625" i="25" s="1"/>
  <c r="AE1626" i="25" s="1"/>
  <c r="AE1627" i="25" s="1"/>
  <c r="AE1628" i="25" s="1"/>
  <c r="AE1629" i="25" s="1"/>
  <c r="AE1630" i="25" s="1"/>
  <c r="AE1631" i="25" s="1"/>
  <c r="AE1632" i="25" s="1"/>
  <c r="AE1633" i="25" s="1"/>
  <c r="AE1634" i="25" s="1"/>
  <c r="AE1635" i="25" s="1"/>
  <c r="AE1636" i="25" s="1"/>
  <c r="AE1637" i="25" s="1"/>
  <c r="AE1638" i="25" s="1"/>
  <c r="AE1639" i="25" s="1"/>
  <c r="AE1640" i="25" s="1"/>
  <c r="AE1641" i="25" s="1"/>
  <c r="AE1642" i="25" s="1"/>
  <c r="AE1643" i="25" s="1"/>
  <c r="AE1644" i="25" s="1"/>
  <c r="AE1645" i="25" s="1"/>
  <c r="AE1646" i="25" s="1"/>
  <c r="AE1647" i="25" s="1"/>
  <c r="AE1648" i="25" s="1"/>
  <c r="AE1649" i="25" s="1"/>
  <c r="AE1650" i="25" s="1"/>
  <c r="AE1651" i="25" s="1"/>
  <c r="AE1652" i="25" s="1"/>
  <c r="AE1653" i="25" s="1"/>
  <c r="AE1654" i="25" s="1"/>
  <c r="AE1655" i="25" s="1"/>
  <c r="AE1656" i="25" s="1"/>
  <c r="AE1657" i="25" s="1"/>
  <c r="AE1658" i="25" s="1"/>
  <c r="AE1659" i="25" s="1"/>
  <c r="AE1660" i="25" s="1"/>
  <c r="AE1661" i="25" s="1"/>
  <c r="AE1662" i="25" s="1"/>
  <c r="AE1663" i="25" s="1"/>
  <c r="AE1664" i="25" s="1"/>
  <c r="AE1665" i="25" s="1"/>
  <c r="AE1666" i="25" s="1"/>
  <c r="AE1667" i="25" s="1"/>
  <c r="AE1668" i="25" s="1"/>
  <c r="AE1669" i="25" s="1"/>
  <c r="AE1670" i="25" s="1"/>
  <c r="AE1671" i="25" s="1"/>
  <c r="AE1672" i="25" s="1"/>
  <c r="AE1673" i="25" s="1"/>
  <c r="AE1674" i="25" s="1"/>
  <c r="AE1675" i="25" s="1"/>
  <c r="AE1676" i="25" s="1"/>
  <c r="AE1677" i="25" s="1"/>
  <c r="AE1678" i="25" s="1"/>
  <c r="AE1679" i="25" s="1"/>
  <c r="AE1680" i="25" s="1"/>
  <c r="AE1681" i="25" s="1"/>
  <c r="AE1682" i="25" s="1"/>
  <c r="AE1683" i="25" s="1"/>
  <c r="AE1684" i="25" s="1"/>
  <c r="AE1685" i="25" s="1"/>
  <c r="AE1686" i="25" s="1"/>
  <c r="AE1687" i="25" s="1"/>
  <c r="AE1688" i="25" s="1"/>
  <c r="AE1689" i="25" s="1"/>
  <c r="AE1690" i="25" s="1"/>
  <c r="AE1691" i="25" s="1"/>
  <c r="AE1692" i="25" s="1"/>
  <c r="AE1693" i="25" s="1"/>
  <c r="AE1694" i="25" s="1"/>
  <c r="AE1695" i="25" s="1"/>
  <c r="AE1696" i="25" s="1"/>
  <c r="AE1697" i="25" s="1"/>
  <c r="AE1698" i="25" s="1"/>
  <c r="AE1699" i="25" s="1"/>
  <c r="AE1700" i="25" s="1"/>
  <c r="AE1701" i="25" s="1"/>
  <c r="AE1702" i="25" s="1"/>
  <c r="AE1703" i="25" s="1"/>
  <c r="AE1704" i="25" s="1"/>
  <c r="AE1705" i="25" s="1"/>
  <c r="AE1706" i="25" s="1"/>
  <c r="AE1707" i="25" s="1"/>
  <c r="AE1708" i="25" s="1"/>
  <c r="AE1709" i="25" s="1"/>
  <c r="AE1710" i="25" s="1"/>
  <c r="AE1711" i="25" s="1"/>
  <c r="AE1712" i="25" s="1"/>
  <c r="AE1713" i="25" s="1"/>
  <c r="AE1714" i="25" s="1"/>
  <c r="AE1715" i="25" s="1"/>
  <c r="AE1716" i="25" s="1"/>
  <c r="AE1717" i="25" s="1"/>
  <c r="AE1718" i="25" s="1"/>
  <c r="AE1719" i="25" s="1"/>
  <c r="AE1720" i="25" s="1"/>
  <c r="AE1721" i="25" s="1"/>
  <c r="AE1722" i="25" s="1"/>
  <c r="AE1723" i="25" s="1"/>
  <c r="AE1724" i="25" s="1"/>
  <c r="AE1725" i="25" s="1"/>
  <c r="AE1726" i="25" s="1"/>
  <c r="AE1727" i="25" s="1"/>
  <c r="AE1728" i="25" s="1"/>
  <c r="AE1729" i="25" s="1"/>
  <c r="AE1730" i="25" s="1"/>
  <c r="AE1731" i="25" s="1"/>
  <c r="AE1732" i="25" s="1"/>
  <c r="AE1733" i="25" s="1"/>
  <c r="AE1734" i="25" s="1"/>
  <c r="AE1735" i="25" s="1"/>
  <c r="AE1736" i="25" s="1"/>
  <c r="AE1737" i="25" s="1"/>
  <c r="AE1738" i="25" s="1"/>
  <c r="AE1739" i="25" s="1"/>
  <c r="AE1740" i="25" s="1"/>
  <c r="AE1741" i="25" s="1"/>
  <c r="AE1742" i="25" s="1"/>
  <c r="AE1743" i="25" s="1"/>
  <c r="AE1744" i="25" s="1"/>
  <c r="AE1745" i="25" s="1"/>
  <c r="AE1746" i="25" s="1"/>
  <c r="AE1747" i="25" s="1"/>
  <c r="AE1748" i="25" s="1"/>
  <c r="AE1749" i="25" s="1"/>
  <c r="AE1750" i="25" s="1"/>
  <c r="AE1751" i="25" s="1"/>
  <c r="AE1752" i="25" s="1"/>
  <c r="AE1753" i="25" s="1"/>
  <c r="AE1754" i="25" s="1"/>
  <c r="AE1755" i="25" s="1"/>
  <c r="AE1756" i="25" s="1"/>
  <c r="AE1757" i="25" s="1"/>
  <c r="AE1758" i="25" s="1"/>
  <c r="AE1759" i="25" s="1"/>
  <c r="AE1760" i="25" s="1"/>
  <c r="AE1761" i="25" s="1"/>
  <c r="AE1762" i="25" s="1"/>
  <c r="AE1763" i="25" s="1"/>
  <c r="AE1764" i="25" s="1"/>
  <c r="AE1765" i="25" s="1"/>
  <c r="AE1766" i="25" s="1"/>
  <c r="AE1767" i="25" s="1"/>
  <c r="AE1768" i="25" s="1"/>
  <c r="AE1769" i="25" s="1"/>
  <c r="AE1770" i="25" s="1"/>
  <c r="AE1771" i="25" s="1"/>
  <c r="AE1772" i="25" s="1"/>
  <c r="AE1773" i="25" s="1"/>
  <c r="AE1774" i="25" s="1"/>
  <c r="AE1775" i="25" s="1"/>
  <c r="AE1776" i="25" s="1"/>
  <c r="AE1777" i="25" s="1"/>
  <c r="AE1778" i="25" s="1"/>
  <c r="AE1779" i="25" s="1"/>
  <c r="AE1780" i="25" s="1"/>
  <c r="AE1781" i="25" s="1"/>
  <c r="AE1782" i="25" s="1"/>
  <c r="AE1783" i="25" s="1"/>
  <c r="AE1784" i="25" s="1"/>
  <c r="AE1785" i="25" s="1"/>
  <c r="AE1786" i="25" s="1"/>
  <c r="AE1787" i="25" s="1"/>
  <c r="AE1788" i="25" s="1"/>
  <c r="AE1789" i="25" s="1"/>
  <c r="AE1790" i="25" s="1"/>
  <c r="AE1791" i="25" s="1"/>
  <c r="AE1792" i="25" s="1"/>
  <c r="AE1793" i="25" s="1"/>
  <c r="AE1794" i="25" s="1"/>
  <c r="AE1795" i="25" s="1"/>
  <c r="AE1796" i="25" s="1"/>
  <c r="AE1797" i="25" s="1"/>
  <c r="AE1798" i="25" s="1"/>
  <c r="AE1799" i="25" s="1"/>
  <c r="AE1800" i="25" s="1"/>
  <c r="AE1801" i="25" s="1"/>
  <c r="AE1802" i="25" s="1"/>
  <c r="AE1803" i="25" s="1"/>
  <c r="AE1804" i="25" s="1"/>
  <c r="AE1805" i="25" s="1"/>
  <c r="AE1806" i="25" s="1"/>
  <c r="AE1807" i="25" s="1"/>
  <c r="AE1808" i="25" s="1"/>
  <c r="AE1809" i="25" s="1"/>
  <c r="AE1810" i="25" s="1"/>
  <c r="AE1811" i="25" s="1"/>
  <c r="AE1812" i="25" s="1"/>
  <c r="AE1813" i="25" s="1"/>
  <c r="AE1814" i="25" s="1"/>
  <c r="AE1815" i="25" s="1"/>
  <c r="AE1816" i="25" s="1"/>
  <c r="AE1817" i="25" s="1"/>
  <c r="AE1818" i="25" s="1"/>
  <c r="AE1819" i="25" s="1"/>
  <c r="AE1820" i="25" s="1"/>
  <c r="AE1821" i="25" s="1"/>
  <c r="AE1822" i="25" s="1"/>
  <c r="AE1823" i="25" s="1"/>
  <c r="AE1824" i="25" s="1"/>
  <c r="AE1825" i="25" s="1"/>
  <c r="AE1826" i="25" s="1"/>
  <c r="AE1827" i="25" s="1"/>
  <c r="AE1828" i="25" s="1"/>
  <c r="AE1829" i="25" s="1"/>
  <c r="AE1830" i="25" s="1"/>
  <c r="AE1831" i="25" s="1"/>
  <c r="AE1832" i="25" s="1"/>
  <c r="AE1833" i="25" s="1"/>
  <c r="AE1834" i="25" s="1"/>
  <c r="AE1835" i="25" s="1"/>
  <c r="AE1836" i="25" s="1"/>
  <c r="AE1837" i="25" s="1"/>
  <c r="AE1838" i="25" s="1"/>
  <c r="AE1839" i="25" s="1"/>
  <c r="AE1840" i="25" s="1"/>
  <c r="AE1841" i="25" s="1"/>
  <c r="AE1842" i="25" s="1"/>
  <c r="AE1843" i="25" s="1"/>
  <c r="AE1844" i="25" s="1"/>
  <c r="AE1845" i="25" s="1"/>
  <c r="AE1846" i="25" s="1"/>
  <c r="AE1847" i="25" s="1"/>
  <c r="AE1848" i="25" s="1"/>
  <c r="AE1849" i="25" s="1"/>
  <c r="AE1850" i="25" s="1"/>
  <c r="AE1851" i="25" s="1"/>
  <c r="AE1852" i="25" s="1"/>
  <c r="AE1853" i="25" s="1"/>
  <c r="AE1854" i="25" s="1"/>
  <c r="AE1855" i="25" s="1"/>
  <c r="AE1856" i="25" s="1"/>
  <c r="AE1857" i="25" s="1"/>
  <c r="AE1858" i="25" s="1"/>
  <c r="AE1859" i="25" s="1"/>
  <c r="AE1860" i="25" s="1"/>
  <c r="AE1861" i="25" s="1"/>
  <c r="AE1862" i="25" s="1"/>
  <c r="AE1863" i="25" s="1"/>
  <c r="AE1864" i="25" s="1"/>
  <c r="AE1865" i="25" s="1"/>
  <c r="AE1866" i="25" s="1"/>
  <c r="AE1867" i="25" s="1"/>
  <c r="AE1868" i="25" s="1"/>
  <c r="AE1869" i="25" s="1"/>
  <c r="AE1870" i="25" s="1"/>
  <c r="AE1871" i="25" s="1"/>
  <c r="AE1872" i="25" s="1"/>
  <c r="AE1873" i="25" s="1"/>
  <c r="AE1874" i="25" s="1"/>
  <c r="AE1875" i="25" s="1"/>
  <c r="AE1876" i="25" s="1"/>
  <c r="AE1877" i="25" s="1"/>
  <c r="AE1878" i="25" s="1"/>
  <c r="AE1879" i="25" s="1"/>
  <c r="AE1880" i="25" s="1"/>
  <c r="AE1881" i="25" s="1"/>
  <c r="AE1882" i="25" s="1"/>
  <c r="AE1883" i="25" s="1"/>
  <c r="AE1884" i="25" s="1"/>
  <c r="AE1885" i="25" s="1"/>
  <c r="AE1886" i="25" s="1"/>
  <c r="AE1887" i="25" s="1"/>
  <c r="AE1888" i="25" s="1"/>
  <c r="AE1889" i="25" s="1"/>
  <c r="AE1890" i="25" s="1"/>
  <c r="AE1891" i="25" s="1"/>
  <c r="AE1892" i="25" s="1"/>
  <c r="AE1893" i="25" s="1"/>
  <c r="AE1894" i="25" s="1"/>
  <c r="AE1895" i="25" s="1"/>
  <c r="AE1896" i="25" s="1"/>
  <c r="AE1897" i="25" s="1"/>
  <c r="AE1898" i="25" s="1"/>
  <c r="AE1899" i="25" s="1"/>
  <c r="AE1900" i="25" s="1"/>
  <c r="AE1901" i="25" s="1"/>
  <c r="AE1902" i="25" s="1"/>
  <c r="AE1903" i="25" s="1"/>
  <c r="AE1904" i="25" s="1"/>
  <c r="AE1905" i="25" s="1"/>
  <c r="AE1906" i="25" s="1"/>
  <c r="AE1907" i="25" s="1"/>
  <c r="AE1908" i="25" s="1"/>
  <c r="AE1909" i="25" s="1"/>
  <c r="AE1910" i="25" s="1"/>
  <c r="AE1911" i="25" s="1"/>
  <c r="AE1912" i="25" s="1"/>
  <c r="AE1913" i="25" s="1"/>
  <c r="AE1914" i="25" s="1"/>
  <c r="AE1915" i="25" s="1"/>
  <c r="AE1916" i="25" s="1"/>
  <c r="AE1917" i="25" s="1"/>
  <c r="AE1918" i="25" s="1"/>
  <c r="AE1919" i="25" s="1"/>
  <c r="AE1920" i="25" s="1"/>
  <c r="AE1921" i="25" s="1"/>
  <c r="AE1922" i="25" s="1"/>
  <c r="AE1923" i="25" s="1"/>
  <c r="AE1924" i="25" s="1"/>
  <c r="AE1925" i="25" s="1"/>
  <c r="AE1926" i="25" s="1"/>
  <c r="AE1927" i="25" s="1"/>
  <c r="AE1928" i="25" s="1"/>
  <c r="AE1929" i="25" s="1"/>
  <c r="AE1930" i="25" s="1"/>
  <c r="AE1931" i="25" s="1"/>
  <c r="AE1932" i="25" s="1"/>
  <c r="AE1933" i="25" s="1"/>
  <c r="AE1934" i="25" s="1"/>
  <c r="AE1935" i="25" s="1"/>
  <c r="AE1936" i="25" s="1"/>
  <c r="AE1937" i="25" s="1"/>
  <c r="AE1938" i="25" s="1"/>
  <c r="AE1939" i="25" s="1"/>
  <c r="AE1940" i="25" s="1"/>
  <c r="AE1941" i="25" s="1"/>
  <c r="AE1942" i="25" s="1"/>
  <c r="AE1943" i="25" s="1"/>
  <c r="AE1944" i="25" s="1"/>
  <c r="AE1945" i="25" s="1"/>
  <c r="AE1946" i="25" s="1"/>
  <c r="AE1947" i="25" s="1"/>
  <c r="AE1948" i="25" s="1"/>
  <c r="AE1949" i="25" s="1"/>
  <c r="AE1950" i="25" s="1"/>
  <c r="AE1951" i="25" s="1"/>
  <c r="AE1952" i="25" s="1"/>
  <c r="AE1953" i="25" s="1"/>
  <c r="AE1954" i="25" s="1"/>
  <c r="AE1955" i="25" s="1"/>
  <c r="AE1956" i="25" s="1"/>
  <c r="AE1957" i="25" s="1"/>
  <c r="AE1958" i="25" s="1"/>
  <c r="AE1959" i="25" s="1"/>
  <c r="AE1960" i="25" s="1"/>
  <c r="AE1961" i="25" s="1"/>
  <c r="AE1962" i="25" s="1"/>
  <c r="AE1963" i="25" s="1"/>
  <c r="AE1964" i="25" s="1"/>
  <c r="AE1965" i="25" s="1"/>
  <c r="AE1966" i="25" s="1"/>
  <c r="AE1967" i="25" s="1"/>
  <c r="AE1968" i="25" s="1"/>
  <c r="AE1969" i="25" s="1"/>
  <c r="AE1970" i="25" s="1"/>
  <c r="AE1971" i="25" s="1"/>
  <c r="AE1972" i="25" s="1"/>
  <c r="AE1973" i="25" s="1"/>
  <c r="AE1974" i="25" s="1"/>
  <c r="AE1975" i="25" s="1"/>
  <c r="AE1976" i="25" s="1"/>
  <c r="AE1977" i="25" s="1"/>
  <c r="AE1978" i="25" s="1"/>
  <c r="AE1979" i="25" s="1"/>
  <c r="AE1980" i="25" s="1"/>
  <c r="AE1981" i="25" s="1"/>
  <c r="AE1982" i="25" s="1"/>
  <c r="AE1983" i="25" s="1"/>
  <c r="AE1984" i="25" s="1"/>
  <c r="AE1985" i="25" s="1"/>
  <c r="AE1986" i="25" s="1"/>
  <c r="AE1987" i="25" s="1"/>
  <c r="AE1988" i="25" s="1"/>
  <c r="AE1989" i="25" s="1"/>
  <c r="AE1990" i="25" s="1"/>
  <c r="AE1991" i="25" s="1"/>
  <c r="AE1992" i="25" s="1"/>
  <c r="AE1993" i="25" s="1"/>
  <c r="AE1994" i="25" s="1"/>
  <c r="AE1995" i="25" s="1"/>
  <c r="AE1996" i="25" s="1"/>
  <c r="AE1997" i="25" s="1"/>
  <c r="AE1998" i="25" s="1"/>
  <c r="AE1999" i="25" s="1"/>
  <c r="AE2000" i="25" s="1"/>
  <c r="AE2001" i="25" s="1"/>
  <c r="AE2002" i="25" s="1"/>
  <c r="AE2003" i="25" s="1"/>
  <c r="AE2004" i="25" s="1"/>
  <c r="AE2005" i="25" s="1"/>
  <c r="AE2006" i="25" s="1"/>
  <c r="AE2007" i="25" s="1"/>
  <c r="AE2008" i="25" s="1"/>
  <c r="AE2009" i="25" s="1"/>
  <c r="AE2010" i="25" s="1"/>
  <c r="AE2011" i="25" s="1"/>
  <c r="AE2012" i="25" s="1"/>
  <c r="AE2013" i="25" s="1"/>
  <c r="AE2014" i="25" s="1"/>
  <c r="AE2015" i="25" s="1"/>
  <c r="AE2016" i="25" s="1"/>
  <c r="AE2017" i="25" s="1"/>
  <c r="AE2018" i="25" s="1"/>
  <c r="AE2019" i="25" s="1"/>
  <c r="AE2020" i="25" s="1"/>
  <c r="AE2021" i="25" s="1"/>
  <c r="AE2022" i="25" s="1"/>
  <c r="AE2023" i="25" s="1"/>
  <c r="AE2024" i="25" s="1"/>
  <c r="AE2025" i="25" s="1"/>
  <c r="AE2026" i="25" s="1"/>
  <c r="AE2027" i="25" s="1"/>
  <c r="AE2028" i="25" s="1"/>
  <c r="AE2029" i="25" s="1"/>
  <c r="AE2030" i="25" s="1"/>
  <c r="AE2031" i="25" s="1"/>
  <c r="AE2032" i="25" s="1"/>
  <c r="AE2033" i="25" s="1"/>
  <c r="AE2034" i="25" s="1"/>
  <c r="AE2035" i="25" s="1"/>
  <c r="AE2036" i="25" s="1"/>
  <c r="AE2037" i="25" s="1"/>
  <c r="AE2038" i="25" s="1"/>
  <c r="AE2039" i="25" s="1"/>
  <c r="AE2040" i="25" s="1"/>
  <c r="AE2041" i="25" s="1"/>
  <c r="AE2042" i="25" s="1"/>
  <c r="AE2043" i="25" s="1"/>
  <c r="AE2044" i="25" s="1"/>
  <c r="AE2045" i="25" s="1"/>
  <c r="AE2046" i="25" s="1"/>
  <c r="AE2047" i="25" s="1"/>
  <c r="AE2048" i="25" s="1"/>
  <c r="AE2049" i="25" s="1"/>
  <c r="AE2050" i="25" s="1"/>
  <c r="AE2051" i="25" s="1"/>
  <c r="AE2052" i="25" s="1"/>
  <c r="AE2053" i="25" s="1"/>
  <c r="AE2054" i="25" s="1"/>
  <c r="AE2055" i="25" s="1"/>
  <c r="AE2056" i="25" s="1"/>
  <c r="AE2057" i="25" s="1"/>
  <c r="AE2058" i="25" s="1"/>
  <c r="AE2059" i="25" s="1"/>
  <c r="AE2060" i="25" s="1"/>
  <c r="AE2061" i="25" s="1"/>
  <c r="AE2062" i="25" s="1"/>
  <c r="AE2063" i="25" s="1"/>
  <c r="AE2064" i="25" s="1"/>
  <c r="AE2065" i="25" s="1"/>
  <c r="AE2066" i="25" s="1"/>
  <c r="AE2067" i="25" s="1"/>
  <c r="AE2068" i="25" s="1"/>
  <c r="AE2069" i="25" s="1"/>
  <c r="AE2070" i="25" s="1"/>
  <c r="AE2071" i="25" s="1"/>
  <c r="AE2072" i="25" s="1"/>
  <c r="AE2073" i="25" s="1"/>
  <c r="AE2074" i="25" s="1"/>
  <c r="AE2075" i="25" s="1"/>
  <c r="AE2076" i="25" s="1"/>
  <c r="AE2077" i="25" s="1"/>
  <c r="AE2078" i="25" s="1"/>
  <c r="AE2079" i="25" s="1"/>
  <c r="AE2080" i="25" s="1"/>
  <c r="AE2081" i="25" s="1"/>
  <c r="AE2082" i="25" s="1"/>
  <c r="AE2083" i="25" s="1"/>
  <c r="AE2084" i="25" s="1"/>
  <c r="AE2085" i="25" s="1"/>
  <c r="AE2086" i="25" s="1"/>
  <c r="AE2087" i="25" s="1"/>
  <c r="AE2088" i="25" s="1"/>
  <c r="AE2089" i="25" s="1"/>
  <c r="AE2090" i="25" s="1"/>
  <c r="AE2091" i="25" s="1"/>
  <c r="AE2092" i="25" s="1"/>
  <c r="AE2093" i="25" s="1"/>
  <c r="AE2094" i="25" s="1"/>
  <c r="AE2095" i="25" s="1"/>
  <c r="AE2096" i="25" s="1"/>
  <c r="AE2097" i="25" s="1"/>
  <c r="AE2098" i="25" s="1"/>
  <c r="AE2099" i="25" s="1"/>
  <c r="AE2100" i="25" s="1"/>
  <c r="AE2101" i="25" s="1"/>
  <c r="AE2102" i="25" s="1"/>
  <c r="AE2103" i="25" s="1"/>
  <c r="AE2104" i="25" s="1"/>
  <c r="AE2105" i="25" s="1"/>
  <c r="AE2106" i="25" s="1"/>
  <c r="AE2107" i="25" s="1"/>
  <c r="AE2108" i="25" s="1"/>
  <c r="AE2109" i="25" s="1"/>
  <c r="AE2110" i="25" s="1"/>
  <c r="AE2111" i="25" s="1"/>
  <c r="AE2112" i="25" s="1"/>
  <c r="AE2113" i="25" s="1"/>
  <c r="AE2114" i="25" s="1"/>
  <c r="AE2115" i="25" s="1"/>
  <c r="AE2116" i="25" s="1"/>
  <c r="AE2117" i="25" s="1"/>
  <c r="AE2118" i="25" s="1"/>
  <c r="AE2119" i="25" s="1"/>
  <c r="AE2120" i="25" s="1"/>
  <c r="AE2121" i="25" s="1"/>
  <c r="AE2122" i="25" s="1"/>
  <c r="AE2123" i="25" s="1"/>
  <c r="AE2124" i="25" s="1"/>
  <c r="AE2125" i="25" s="1"/>
  <c r="AE2126" i="25" s="1"/>
  <c r="AE2127" i="25" s="1"/>
  <c r="AE2128" i="25" s="1"/>
  <c r="AE2129" i="25" s="1"/>
  <c r="AE2130" i="25" s="1"/>
  <c r="AE2131" i="25" s="1"/>
  <c r="AE2132" i="25" s="1"/>
  <c r="AE2133" i="25" s="1"/>
  <c r="AE2134" i="25" s="1"/>
  <c r="AE2135" i="25" s="1"/>
  <c r="AE2136" i="25" s="1"/>
  <c r="AE2137" i="25" s="1"/>
  <c r="AE2138" i="25" s="1"/>
  <c r="AE2139" i="25" s="1"/>
  <c r="AE2140" i="25" s="1"/>
  <c r="AE2141" i="25" s="1"/>
  <c r="AE2142" i="25" s="1"/>
  <c r="AE2143" i="25" s="1"/>
  <c r="AE2144" i="25" s="1"/>
  <c r="AE2145" i="25" s="1"/>
  <c r="AE2146" i="25" s="1"/>
  <c r="AE2147" i="25" s="1"/>
  <c r="AE2148" i="25" s="1"/>
  <c r="AE2149" i="25" s="1"/>
  <c r="AE2150" i="25" s="1"/>
  <c r="AE2151" i="25" s="1"/>
  <c r="AE2152" i="25" s="1"/>
  <c r="AE2153" i="25" s="1"/>
  <c r="AE2154" i="25" s="1"/>
  <c r="AE2155" i="25" s="1"/>
  <c r="AE2156" i="25" s="1"/>
  <c r="AE2157" i="25" s="1"/>
  <c r="AE2158" i="25" s="1"/>
  <c r="AE2159" i="25" s="1"/>
  <c r="AE2160" i="25" s="1"/>
  <c r="AE2161" i="25" s="1"/>
  <c r="AE2162" i="25" s="1"/>
  <c r="AE2163" i="25" s="1"/>
  <c r="AE2164" i="25" s="1"/>
  <c r="AE2165" i="25" s="1"/>
  <c r="AE2166" i="25" s="1"/>
  <c r="AE2167" i="25" s="1"/>
  <c r="AE2168" i="25" s="1"/>
  <c r="AE2169" i="25" s="1"/>
  <c r="AE2170" i="25" s="1"/>
  <c r="AE2171" i="25" s="1"/>
  <c r="AE2172" i="25" s="1"/>
  <c r="AE2173" i="25" s="1"/>
  <c r="AE2174" i="25" s="1"/>
  <c r="AE2175" i="25" s="1"/>
  <c r="AE2176" i="25" s="1"/>
  <c r="AE2177" i="25" s="1"/>
  <c r="AE2178" i="25" s="1"/>
  <c r="AE2179" i="25" s="1"/>
  <c r="AE2180" i="25" s="1"/>
  <c r="AE2181" i="25" s="1"/>
  <c r="AE2182" i="25" s="1"/>
  <c r="AE2183" i="25" s="1"/>
  <c r="AE2184" i="25" s="1"/>
  <c r="AE2185" i="25" s="1"/>
  <c r="AE2186" i="25" s="1"/>
  <c r="AE2187" i="25" s="1"/>
  <c r="AE2188" i="25" s="1"/>
  <c r="AE2189" i="25" s="1"/>
  <c r="AE2190" i="25" s="1"/>
  <c r="AE2191" i="25" s="1"/>
  <c r="AE2192" i="25" s="1"/>
  <c r="AE2193" i="25" s="1"/>
  <c r="AE2194" i="25" s="1"/>
  <c r="AE2195" i="25" s="1"/>
  <c r="AE2196" i="25" s="1"/>
  <c r="AE2197" i="25" s="1"/>
  <c r="AE2198" i="25" s="1"/>
  <c r="AE2199" i="25" s="1"/>
  <c r="AE2200" i="25" s="1"/>
  <c r="AE2201" i="25" s="1"/>
  <c r="AE2202" i="25" s="1"/>
  <c r="AE2203" i="25" s="1"/>
  <c r="AE2204" i="25" s="1"/>
  <c r="AE2205" i="25" s="1"/>
  <c r="AE2206" i="25" s="1"/>
  <c r="AE2207" i="25" s="1"/>
  <c r="AE2208" i="25" s="1"/>
  <c r="AE2209" i="25" s="1"/>
  <c r="AE2210" i="25" s="1"/>
  <c r="AE2211" i="25" s="1"/>
  <c r="AE2212" i="25" s="1"/>
  <c r="AE2213" i="25" s="1"/>
  <c r="AE2214" i="25" s="1"/>
  <c r="AE2215" i="25" s="1"/>
  <c r="AE2216" i="25" s="1"/>
  <c r="AE2217" i="25" s="1"/>
  <c r="AE2218" i="25" s="1"/>
  <c r="AE2219" i="25" s="1"/>
  <c r="AE2220" i="25" s="1"/>
  <c r="AE2221" i="25" s="1"/>
  <c r="AE2222" i="25" s="1"/>
  <c r="AE2223" i="25" s="1"/>
  <c r="AE2224" i="25" s="1"/>
  <c r="AE2225" i="25" s="1"/>
  <c r="AE2226" i="25" s="1"/>
  <c r="AE2227" i="25" s="1"/>
  <c r="AE2228" i="25" s="1"/>
  <c r="AE2229" i="25" s="1"/>
  <c r="AE2230" i="25" s="1"/>
  <c r="AE2231" i="25" s="1"/>
  <c r="AE2232" i="25" s="1"/>
  <c r="AE2233" i="25" s="1"/>
  <c r="AE2234" i="25" s="1"/>
  <c r="AE2235" i="25" s="1"/>
  <c r="AE2236" i="25" s="1"/>
  <c r="AE2237" i="25" s="1"/>
  <c r="AE2238" i="25" s="1"/>
  <c r="AE2239" i="25" s="1"/>
  <c r="AE2240" i="25" s="1"/>
  <c r="AE2241" i="25" s="1"/>
  <c r="AE2242" i="25" s="1"/>
  <c r="AE2243" i="25" s="1"/>
  <c r="AE2244" i="25" s="1"/>
  <c r="AE2245" i="25" s="1"/>
  <c r="AE2246" i="25" s="1"/>
  <c r="AE2247" i="25" s="1"/>
  <c r="AE2248" i="25" s="1"/>
  <c r="AE2249" i="25" s="1"/>
  <c r="AE2250" i="25" s="1"/>
  <c r="AE2251" i="25" s="1"/>
  <c r="AE2252" i="25" s="1"/>
  <c r="AE2253" i="25" s="1"/>
  <c r="AE2254" i="25" s="1"/>
  <c r="AE2255" i="25" s="1"/>
  <c r="AE2256" i="25" s="1"/>
  <c r="AE2257" i="25" s="1"/>
  <c r="AE2258" i="25" s="1"/>
  <c r="AE2259" i="25" s="1"/>
  <c r="AE2260" i="25" s="1"/>
  <c r="AE2261" i="25" s="1"/>
  <c r="AE2262" i="25" s="1"/>
  <c r="AE2263" i="25" s="1"/>
  <c r="AE2264" i="25" s="1"/>
  <c r="AE2265" i="25" s="1"/>
  <c r="AE2266" i="25" s="1"/>
  <c r="AE2267" i="25" s="1"/>
  <c r="AE2268" i="25" s="1"/>
  <c r="AE2269" i="25" s="1"/>
  <c r="AE2270" i="25" s="1"/>
  <c r="AE2271" i="25" s="1"/>
  <c r="AE2272" i="25" s="1"/>
  <c r="AE2273" i="25" s="1"/>
  <c r="AE2274" i="25" s="1"/>
  <c r="AE2275" i="25" s="1"/>
  <c r="AE2276" i="25" s="1"/>
  <c r="AE2277" i="25" s="1"/>
  <c r="AE2278" i="25" s="1"/>
  <c r="AE2279" i="25" s="1"/>
  <c r="AE2280" i="25" s="1"/>
  <c r="AE2281" i="25" s="1"/>
  <c r="AE2282" i="25" s="1"/>
  <c r="AE2283" i="25" s="1"/>
  <c r="AE2284" i="25" s="1"/>
  <c r="AE2285" i="25" s="1"/>
  <c r="AE2286" i="25" s="1"/>
  <c r="AE2287" i="25" s="1"/>
  <c r="AE2288" i="25" s="1"/>
  <c r="AE2289" i="25" s="1"/>
  <c r="AE2290" i="25" s="1"/>
  <c r="AE2291" i="25" s="1"/>
  <c r="AE2292" i="25" s="1"/>
  <c r="AE2293" i="25" s="1"/>
  <c r="AE2294" i="25" s="1"/>
  <c r="AE2295" i="25" s="1"/>
  <c r="AE2296" i="25" s="1"/>
  <c r="AE2297" i="25" s="1"/>
  <c r="AE2298" i="25" s="1"/>
  <c r="AE2299" i="25" s="1"/>
  <c r="AE2300" i="25" s="1"/>
  <c r="AE2301" i="25" s="1"/>
  <c r="AE2302" i="25" s="1"/>
  <c r="AE2303" i="25" s="1"/>
  <c r="AE2304" i="25" s="1"/>
  <c r="AE2305" i="25" s="1"/>
  <c r="AE2306" i="25" s="1"/>
  <c r="AE2307" i="25" s="1"/>
  <c r="AE2308" i="25" s="1"/>
  <c r="AE2309" i="25" s="1"/>
  <c r="AE2310" i="25" s="1"/>
  <c r="AE2311" i="25" s="1"/>
  <c r="AE2312" i="25" s="1"/>
  <c r="AE2313" i="25" s="1"/>
  <c r="AE2314" i="25" s="1"/>
  <c r="AE2315" i="25" s="1"/>
  <c r="AE2316" i="25" s="1"/>
  <c r="AE2317" i="25" s="1"/>
  <c r="AE2318" i="25" s="1"/>
  <c r="AE2319" i="25" s="1"/>
  <c r="AE2320" i="25" s="1"/>
  <c r="AE2321" i="25" s="1"/>
  <c r="AE2322" i="25" s="1"/>
  <c r="AE2323" i="25" s="1"/>
  <c r="AE2324" i="25" s="1"/>
  <c r="AE2325" i="25" s="1"/>
  <c r="AE2326" i="25" s="1"/>
  <c r="AE2327" i="25" s="1"/>
  <c r="AE2328" i="25" s="1"/>
  <c r="AE2329" i="25" s="1"/>
  <c r="AE2330" i="25" s="1"/>
  <c r="AE2331" i="25" s="1"/>
  <c r="AE2332" i="25" s="1"/>
  <c r="AE2333" i="25" s="1"/>
  <c r="AE2334" i="25" s="1"/>
  <c r="AE2335" i="25" s="1"/>
  <c r="AE2336" i="25" s="1"/>
  <c r="AE2337" i="25" s="1"/>
  <c r="AE2338" i="25" s="1"/>
  <c r="AE2339" i="25" s="1"/>
  <c r="AE2340" i="25" s="1"/>
  <c r="AE2341" i="25" s="1"/>
  <c r="AE2342" i="25" s="1"/>
  <c r="AE2343" i="25" s="1"/>
  <c r="AE2344" i="25" s="1"/>
  <c r="AE2345" i="25" s="1"/>
  <c r="AE2346" i="25" s="1"/>
  <c r="AE2347" i="25" s="1"/>
  <c r="AE2348" i="25" s="1"/>
  <c r="AE2349" i="25" s="1"/>
  <c r="AE2350" i="25" s="1"/>
  <c r="AE2351" i="25" s="1"/>
  <c r="AE2352" i="25" s="1"/>
  <c r="AE2353" i="25" s="1"/>
  <c r="AE2354" i="25" s="1"/>
  <c r="AE2355" i="25" s="1"/>
  <c r="AE2356" i="25" s="1"/>
  <c r="AE2357" i="25" s="1"/>
  <c r="AE2358" i="25" s="1"/>
  <c r="AE2359" i="25" s="1"/>
  <c r="AE2360" i="25" s="1"/>
  <c r="AE2361" i="25" s="1"/>
  <c r="AE2362" i="25" s="1"/>
  <c r="AE2363" i="25" s="1"/>
  <c r="AE2364" i="25" s="1"/>
  <c r="AE2365" i="25" s="1"/>
  <c r="AE2366" i="25" s="1"/>
  <c r="AE2367" i="25" s="1"/>
  <c r="AE2368" i="25" s="1"/>
  <c r="AE2369" i="25" s="1"/>
  <c r="AE2370" i="25" s="1"/>
  <c r="AE2371" i="25" s="1"/>
  <c r="AE2372" i="25" s="1"/>
  <c r="AE2373" i="25" s="1"/>
  <c r="AE2374" i="25" s="1"/>
  <c r="AE2375" i="25" s="1"/>
  <c r="AE2376" i="25" s="1"/>
  <c r="AE2377" i="25" s="1"/>
  <c r="AE2378" i="25" s="1"/>
  <c r="AE2379" i="25" s="1"/>
  <c r="AE2380" i="25" s="1"/>
  <c r="AE2381" i="25" s="1"/>
  <c r="AE2382" i="25" s="1"/>
  <c r="AE2383" i="25" s="1"/>
  <c r="AE2384" i="25" s="1"/>
  <c r="AE2385" i="25" s="1"/>
  <c r="AE2386" i="25" s="1"/>
  <c r="AE2387" i="25" s="1"/>
  <c r="AE2388" i="25" s="1"/>
  <c r="AE2389" i="25" s="1"/>
  <c r="AE2390" i="25" s="1"/>
  <c r="AE2391" i="25" s="1"/>
  <c r="AE2392" i="25" s="1"/>
  <c r="AE2393" i="25" s="1"/>
  <c r="AE2394" i="25" s="1"/>
  <c r="AE2395" i="25" s="1"/>
  <c r="AE2396" i="25" s="1"/>
  <c r="AE2397" i="25" s="1"/>
  <c r="AE2398" i="25" s="1"/>
  <c r="AE2399" i="25" s="1"/>
  <c r="AE2400" i="25" s="1"/>
  <c r="AE2401" i="25" s="1"/>
  <c r="AE2402" i="25" s="1"/>
  <c r="AE2403" i="25" s="1"/>
  <c r="AE2404" i="25" s="1"/>
  <c r="AE2405" i="25" s="1"/>
  <c r="AE2406" i="25" s="1"/>
  <c r="AE2407" i="25" s="1"/>
  <c r="AE2408" i="25" s="1"/>
  <c r="AE2409" i="25" s="1"/>
  <c r="AE2410" i="25" s="1"/>
  <c r="AE2411" i="25" s="1"/>
  <c r="AE2412" i="25" s="1"/>
  <c r="AE2413" i="25" s="1"/>
  <c r="AE2414" i="25" s="1"/>
  <c r="AE2415" i="25" s="1"/>
  <c r="AE2416" i="25" s="1"/>
  <c r="AE2417" i="25" s="1"/>
  <c r="AE2418" i="25" s="1"/>
  <c r="AE2419" i="25" s="1"/>
  <c r="AE2420" i="25" s="1"/>
  <c r="AE2421" i="25" s="1"/>
  <c r="AE2422" i="25" s="1"/>
  <c r="AE2423" i="25" s="1"/>
  <c r="AE2424" i="25" s="1"/>
  <c r="AE2425" i="25" s="1"/>
  <c r="AE2426" i="25" s="1"/>
  <c r="AE2427" i="25" s="1"/>
  <c r="AE2428" i="25" s="1"/>
  <c r="AE2429" i="25" s="1"/>
  <c r="AE2430" i="25" s="1"/>
  <c r="AE2431" i="25" s="1"/>
  <c r="AE2432" i="25" s="1"/>
  <c r="AE2433" i="25" s="1"/>
  <c r="AE2434" i="25" s="1"/>
  <c r="AE2435" i="25" s="1"/>
  <c r="AE2436" i="25" s="1"/>
  <c r="AE2437" i="25" s="1"/>
  <c r="AE2438" i="25" s="1"/>
  <c r="AE2439" i="25" s="1"/>
  <c r="AE2440" i="25" s="1"/>
  <c r="AE2441" i="25" s="1"/>
  <c r="AE2442" i="25" s="1"/>
  <c r="AE2443" i="25" s="1"/>
  <c r="AE2444" i="25" s="1"/>
  <c r="AE2445" i="25" s="1"/>
  <c r="AE2446" i="25" s="1"/>
  <c r="AE2447" i="25" s="1"/>
  <c r="AE2448" i="25" s="1"/>
  <c r="AE2449" i="25" s="1"/>
  <c r="AE2450" i="25" s="1"/>
  <c r="AE2451" i="25" s="1"/>
  <c r="AE2452" i="25" s="1"/>
  <c r="AE2453" i="25" s="1"/>
  <c r="AE2454" i="25" s="1"/>
  <c r="AE2455" i="25" s="1"/>
  <c r="AE2456" i="25" s="1"/>
  <c r="AE2457" i="25" s="1"/>
  <c r="AE2458" i="25" s="1"/>
  <c r="AE2459" i="25" s="1"/>
  <c r="AE2460" i="25" s="1"/>
  <c r="AE2461" i="25" s="1"/>
  <c r="AE2462" i="25" s="1"/>
  <c r="AE2463" i="25" s="1"/>
  <c r="AE2464" i="25" s="1"/>
  <c r="AE2465" i="25" s="1"/>
  <c r="AE2466" i="25" s="1"/>
  <c r="AE2467" i="25" s="1"/>
  <c r="AE2468" i="25" s="1"/>
  <c r="AE2469" i="25" s="1"/>
  <c r="AE2470" i="25" s="1"/>
  <c r="AE2471" i="25" s="1"/>
  <c r="AE2472" i="25" s="1"/>
  <c r="AE2473" i="25" s="1"/>
  <c r="AE2474" i="25" s="1"/>
  <c r="AE2475" i="25" s="1"/>
  <c r="AE2476" i="25" s="1"/>
  <c r="AE2477" i="25" s="1"/>
  <c r="AE2478" i="25" s="1"/>
  <c r="AE2479" i="25" s="1"/>
  <c r="AE2480" i="25" s="1"/>
  <c r="AE2481" i="25" s="1"/>
  <c r="AE2482" i="25" s="1"/>
  <c r="AE2483" i="25" s="1"/>
  <c r="AE2484" i="25" s="1"/>
  <c r="AE2485" i="25" s="1"/>
  <c r="AE2486" i="25" s="1"/>
  <c r="AE2487" i="25" s="1"/>
  <c r="AE2488" i="25" s="1"/>
  <c r="AE2489" i="25" s="1"/>
  <c r="AE2490" i="25" s="1"/>
  <c r="AE2491" i="25" s="1"/>
  <c r="AE2492" i="25" s="1"/>
  <c r="AE2493" i="25" s="1"/>
  <c r="AE2494" i="25" s="1"/>
  <c r="AE2495" i="25" s="1"/>
  <c r="AE2496" i="25" s="1"/>
  <c r="AE2497" i="25" s="1"/>
  <c r="AE2498" i="25" s="1"/>
  <c r="AE2499" i="25" s="1"/>
  <c r="AE2500" i="25" s="1"/>
  <c r="AE2501" i="25" s="1"/>
  <c r="AE2502" i="25" s="1"/>
  <c r="AE2503" i="25" s="1"/>
  <c r="AE2504" i="25" s="1"/>
  <c r="AE2505" i="25" s="1"/>
  <c r="AE2506" i="25" s="1"/>
  <c r="AE2507" i="25" s="1"/>
  <c r="AE2508" i="25" s="1"/>
  <c r="AE2509" i="25" s="1"/>
  <c r="AE2510" i="25" s="1"/>
  <c r="AE2511" i="25" s="1"/>
  <c r="AE2512" i="25" s="1"/>
  <c r="AE2513" i="25" s="1"/>
  <c r="AE2514" i="25" s="1"/>
  <c r="AE2515" i="25" s="1"/>
  <c r="AE2516" i="25" s="1"/>
  <c r="AE2517" i="25" s="1"/>
  <c r="AE2518" i="25" s="1"/>
  <c r="AE2519" i="25" s="1"/>
  <c r="AE2520" i="25" s="1"/>
  <c r="AE2521" i="25" s="1"/>
  <c r="AE2522" i="25" s="1"/>
  <c r="AE2523" i="25" s="1"/>
  <c r="AE2524" i="25" s="1"/>
  <c r="AE2525" i="25" s="1"/>
  <c r="AE2526" i="25" s="1"/>
  <c r="AE2527" i="25" s="1"/>
  <c r="AE2528" i="25" s="1"/>
  <c r="AE2529" i="25" s="1"/>
  <c r="AE2530" i="25" s="1"/>
  <c r="AE2531" i="25" s="1"/>
  <c r="AE2532" i="25" s="1"/>
  <c r="AE2533" i="25" s="1"/>
  <c r="AE2534" i="25" s="1"/>
  <c r="AE2535" i="25" s="1"/>
  <c r="AE2536" i="25" s="1"/>
  <c r="AE2537" i="25" s="1"/>
  <c r="AE2538" i="25" s="1"/>
  <c r="AE2539" i="25" s="1"/>
  <c r="AE2540" i="25" s="1"/>
  <c r="AE2541" i="25" s="1"/>
  <c r="AE2542" i="25" s="1"/>
  <c r="AE2543" i="25" s="1"/>
  <c r="AE2544" i="25" s="1"/>
  <c r="AE2545" i="25" s="1"/>
  <c r="AE2546" i="25" s="1"/>
  <c r="AE2547" i="25" s="1"/>
  <c r="AE2548" i="25" s="1"/>
  <c r="AE2549" i="25" s="1"/>
  <c r="AE2550" i="25" s="1"/>
  <c r="AE2551" i="25" s="1"/>
  <c r="AE2552" i="25" s="1"/>
  <c r="AE2553" i="25" s="1"/>
  <c r="AE2554" i="25" s="1"/>
  <c r="AE2555" i="25" s="1"/>
  <c r="AE2556" i="25" s="1"/>
  <c r="AE2557" i="25" s="1"/>
  <c r="AE2558" i="25" s="1"/>
  <c r="AE2559" i="25" s="1"/>
  <c r="AE2560" i="25" s="1"/>
  <c r="AE2561" i="25" s="1"/>
  <c r="AE2562" i="25" s="1"/>
  <c r="AE2563" i="25" s="1"/>
  <c r="AE2564" i="25" s="1"/>
  <c r="AE2565" i="25" s="1"/>
  <c r="AE2566" i="25" s="1"/>
  <c r="AE2567" i="25" s="1"/>
  <c r="AE2568" i="25" s="1"/>
  <c r="AE2569" i="25" s="1"/>
  <c r="AE2570" i="25" s="1"/>
  <c r="AE2571" i="25" s="1"/>
  <c r="AE2572" i="25" s="1"/>
  <c r="AE2573" i="25" s="1"/>
  <c r="AE2574" i="25" s="1"/>
  <c r="AE2575" i="25" s="1"/>
  <c r="AE2576" i="25" s="1"/>
  <c r="AE2577" i="25" s="1"/>
  <c r="AE2578" i="25" s="1"/>
  <c r="AE2579" i="25" s="1"/>
  <c r="AE2580" i="25" s="1"/>
  <c r="AE2581" i="25" s="1"/>
  <c r="AE2582" i="25" s="1"/>
  <c r="AE2583" i="25" s="1"/>
  <c r="AE2584" i="25" s="1"/>
  <c r="AE2585" i="25" s="1"/>
  <c r="AE2586" i="25" s="1"/>
  <c r="AE2587" i="25" s="1"/>
  <c r="AE2588" i="25" s="1"/>
  <c r="AE2589" i="25" s="1"/>
  <c r="AE2590" i="25" s="1"/>
  <c r="AE2591" i="25" s="1"/>
  <c r="AE2592" i="25" s="1"/>
  <c r="AE2593" i="25" s="1"/>
  <c r="AE2594" i="25" s="1"/>
  <c r="AE2595" i="25" s="1"/>
  <c r="AE2596" i="25" s="1"/>
  <c r="AE2597" i="25" s="1"/>
  <c r="AE2598" i="25" s="1"/>
  <c r="AE2599" i="25" s="1"/>
  <c r="AE2600" i="25" s="1"/>
  <c r="AE2601" i="25" s="1"/>
  <c r="AE2602" i="25" s="1"/>
  <c r="AE2603" i="25" s="1"/>
  <c r="AE2604" i="25" s="1"/>
  <c r="AE2605" i="25" s="1"/>
  <c r="AE2606" i="25" s="1"/>
  <c r="AE2607" i="25" s="1"/>
  <c r="AE2608" i="25" s="1"/>
  <c r="AE2609" i="25" s="1"/>
  <c r="AE2610" i="25" s="1"/>
  <c r="AE2611" i="25" s="1"/>
  <c r="AE2612" i="25" s="1"/>
  <c r="AE2613" i="25" s="1"/>
  <c r="AE2614" i="25" s="1"/>
  <c r="AE2615" i="25" s="1"/>
  <c r="AE2616" i="25" s="1"/>
  <c r="AE2617" i="25" s="1"/>
  <c r="AE2618" i="25" s="1"/>
  <c r="AE2619" i="25" s="1"/>
  <c r="AE2620" i="25" s="1"/>
  <c r="AE2621" i="25" s="1"/>
  <c r="AE2622" i="25" s="1"/>
  <c r="AE2623" i="25" s="1"/>
  <c r="AE2624" i="25" s="1"/>
  <c r="AE2625" i="25" s="1"/>
  <c r="AE2626" i="25" s="1"/>
  <c r="AE2627" i="25" s="1"/>
  <c r="AE2628" i="25" s="1"/>
  <c r="AE2629" i="25" s="1"/>
  <c r="AE2630" i="25" s="1"/>
  <c r="AE2631" i="25" s="1"/>
  <c r="AE2632" i="25" s="1"/>
  <c r="AE2633" i="25" s="1"/>
  <c r="AE2634" i="25" s="1"/>
  <c r="AE2635" i="25" s="1"/>
  <c r="AE2636" i="25" s="1"/>
  <c r="AE2637" i="25" s="1"/>
  <c r="AE2638" i="25" s="1"/>
  <c r="AE2639" i="25" s="1"/>
  <c r="AE2640" i="25" s="1"/>
  <c r="AE2641" i="25" s="1"/>
  <c r="AE2642" i="25" s="1"/>
  <c r="AE2643" i="25" s="1"/>
  <c r="AE2644" i="25" s="1"/>
  <c r="AE2645" i="25" s="1"/>
  <c r="AE2646" i="25" s="1"/>
  <c r="AE2647" i="25" s="1"/>
  <c r="AE2648" i="25" s="1"/>
  <c r="AE2649" i="25" s="1"/>
  <c r="AE2650" i="25" s="1"/>
  <c r="AE2651" i="25" s="1"/>
  <c r="AE2652" i="25" s="1"/>
  <c r="AE2653" i="25" s="1"/>
  <c r="AE2654" i="25" s="1"/>
  <c r="AE2655" i="25" s="1"/>
  <c r="AE2656" i="25" s="1"/>
  <c r="AE2657" i="25" s="1"/>
  <c r="AE2658" i="25" s="1"/>
  <c r="AE2659" i="25" s="1"/>
  <c r="AE2660" i="25" s="1"/>
  <c r="AE2661" i="25" s="1"/>
  <c r="AE2662" i="25" s="1"/>
  <c r="AE2663" i="25" s="1"/>
  <c r="AE2664" i="25" s="1"/>
  <c r="AE2665" i="25" s="1"/>
  <c r="AE2666" i="25" s="1"/>
  <c r="AE2667" i="25" s="1"/>
  <c r="AE2668" i="25" s="1"/>
  <c r="AE2669" i="25" s="1"/>
  <c r="AE2670" i="25" s="1"/>
  <c r="AE2671" i="25" s="1"/>
  <c r="AE2672" i="25" s="1"/>
  <c r="AE2673" i="25" s="1"/>
  <c r="AE2674" i="25" s="1"/>
  <c r="AE2675" i="25" s="1"/>
  <c r="AE2676" i="25" s="1"/>
  <c r="AE2677" i="25" s="1"/>
  <c r="AE2678" i="25" s="1"/>
  <c r="AE2679" i="25" s="1"/>
  <c r="AE2680" i="25" s="1"/>
  <c r="AE2681" i="25" s="1"/>
  <c r="AE2682" i="25" s="1"/>
  <c r="AE2683" i="25" s="1"/>
  <c r="AE2684" i="25" s="1"/>
  <c r="AE2685" i="25" s="1"/>
  <c r="AE2686" i="25" s="1"/>
  <c r="AE2687" i="25" s="1"/>
  <c r="AE2688" i="25" s="1"/>
  <c r="AE2689" i="25" s="1"/>
  <c r="AE2690" i="25" s="1"/>
  <c r="AE2691" i="25" s="1"/>
  <c r="AE2692" i="25" s="1"/>
  <c r="AE2693" i="25" s="1"/>
  <c r="AE2694" i="25" s="1"/>
  <c r="AE2695" i="25" s="1"/>
  <c r="AE2696" i="25" s="1"/>
  <c r="AE2697" i="25" s="1"/>
  <c r="AE2698" i="25" s="1"/>
  <c r="AE2699" i="25" s="1"/>
  <c r="AE2700" i="25" s="1"/>
  <c r="AE2701" i="25" s="1"/>
  <c r="AE2702" i="25" s="1"/>
  <c r="AE2703" i="25" s="1"/>
  <c r="AE2704" i="25" s="1"/>
  <c r="AE2705" i="25" s="1"/>
  <c r="AE2706" i="25" s="1"/>
  <c r="AE2707" i="25" s="1"/>
  <c r="AE2708" i="25" s="1"/>
  <c r="AE2709" i="25" s="1"/>
  <c r="AE2710" i="25" s="1"/>
  <c r="AE2711" i="25" s="1"/>
  <c r="AE2712" i="25" s="1"/>
  <c r="AE2713" i="25" s="1"/>
  <c r="AE2714" i="25" s="1"/>
  <c r="AE2715" i="25" s="1"/>
  <c r="AE2716" i="25" s="1"/>
  <c r="AE2717" i="25" s="1"/>
  <c r="AE2718" i="25" s="1"/>
  <c r="AE2719" i="25" s="1"/>
  <c r="AE2720" i="25" s="1"/>
  <c r="AE2721" i="25" s="1"/>
  <c r="AE2722" i="25" s="1"/>
  <c r="AE2723" i="25" s="1"/>
  <c r="AE2724" i="25" s="1"/>
  <c r="AE2725" i="25" s="1"/>
  <c r="AE2726" i="25" s="1"/>
  <c r="AE2727" i="25" s="1"/>
  <c r="AE2728" i="25" s="1"/>
  <c r="AE2729" i="25" s="1"/>
  <c r="AE2730" i="25" s="1"/>
  <c r="AE2731" i="25" s="1"/>
  <c r="AE2732" i="25" s="1"/>
  <c r="AE2733" i="25" s="1"/>
  <c r="AE2734" i="25" s="1"/>
  <c r="AE2735" i="25" s="1"/>
  <c r="AE2736" i="25" s="1"/>
  <c r="AE2737" i="25" s="1"/>
  <c r="AE2738" i="25" s="1"/>
  <c r="AE2739" i="25" s="1"/>
  <c r="AE2740" i="25" s="1"/>
  <c r="AE2741" i="25" s="1"/>
  <c r="AE2742" i="25" s="1"/>
  <c r="AE2743" i="25" s="1"/>
  <c r="AE2744" i="25" s="1"/>
  <c r="AE2745" i="25" s="1"/>
  <c r="AE2746" i="25" s="1"/>
  <c r="AE2747" i="25" s="1"/>
  <c r="AE2748" i="25" s="1"/>
  <c r="AE2749" i="25" s="1"/>
  <c r="AE2750" i="25" s="1"/>
  <c r="AE2751" i="25" s="1"/>
  <c r="AE2752" i="25" s="1"/>
  <c r="AE2753" i="25" s="1"/>
  <c r="AE2754" i="25" s="1"/>
  <c r="AE2755" i="25" s="1"/>
  <c r="AE2756" i="25" s="1"/>
  <c r="AE2757" i="25" s="1"/>
  <c r="AE2758" i="25" s="1"/>
  <c r="AE2759" i="25" s="1"/>
  <c r="AE2760" i="25" s="1"/>
  <c r="AE2761" i="25" s="1"/>
  <c r="AE2762" i="25" s="1"/>
  <c r="AE2763" i="25" s="1"/>
  <c r="AE2764" i="25" s="1"/>
  <c r="AE2765" i="25" s="1"/>
  <c r="AE2766" i="25" s="1"/>
  <c r="AE2767" i="25" s="1"/>
  <c r="AE2768" i="25" s="1"/>
  <c r="AE2769" i="25" s="1"/>
  <c r="AE2770" i="25" s="1"/>
  <c r="AE2771" i="25" s="1"/>
  <c r="AE2772" i="25" s="1"/>
  <c r="AE2773" i="25" s="1"/>
  <c r="AE2774" i="25" s="1"/>
  <c r="AE2775" i="25" s="1"/>
  <c r="AE2776" i="25" s="1"/>
  <c r="AE2777" i="25" s="1"/>
  <c r="AE2778" i="25" s="1"/>
  <c r="AE2779" i="25" s="1"/>
  <c r="AE2780" i="25" s="1"/>
  <c r="AE2781" i="25" s="1"/>
  <c r="AE2782" i="25" s="1"/>
  <c r="AE2783" i="25" s="1"/>
  <c r="AE2784" i="25" s="1"/>
  <c r="AE2785" i="25" s="1"/>
  <c r="AE2786" i="25" s="1"/>
  <c r="AE2787" i="25" s="1"/>
  <c r="AE2788" i="25" s="1"/>
  <c r="AE2789" i="25" s="1"/>
  <c r="AE2790" i="25" s="1"/>
  <c r="AE2791" i="25" s="1"/>
  <c r="AE2792" i="25" s="1"/>
  <c r="AE2793" i="25" s="1"/>
  <c r="AE2794" i="25" s="1"/>
  <c r="AE2795" i="25" s="1"/>
  <c r="AE2796" i="25" s="1"/>
  <c r="AE2797" i="25" s="1"/>
  <c r="AE2798" i="25" s="1"/>
  <c r="AE2799" i="25" s="1"/>
  <c r="AE2800" i="25" s="1"/>
  <c r="AE2801" i="25" s="1"/>
  <c r="AE2802" i="25" s="1"/>
  <c r="AE2803" i="25" s="1"/>
  <c r="AE2804" i="25" s="1"/>
  <c r="AE2805" i="25" s="1"/>
  <c r="AE2806" i="25" s="1"/>
  <c r="AE2807" i="25" s="1"/>
  <c r="AE2808" i="25" s="1"/>
  <c r="AE2809" i="25" s="1"/>
  <c r="AE2810" i="25" s="1"/>
  <c r="AE2811" i="25" s="1"/>
  <c r="AE2812" i="25" s="1"/>
  <c r="AE2813" i="25" s="1"/>
  <c r="AE2814" i="25" s="1"/>
  <c r="AE2815" i="25" s="1"/>
  <c r="AE2816" i="25" s="1"/>
  <c r="AE2817" i="25" s="1"/>
  <c r="AE2818" i="25" s="1"/>
  <c r="AE2819" i="25" s="1"/>
  <c r="AE2820" i="25" s="1"/>
  <c r="AE2821" i="25" s="1"/>
  <c r="AE2822" i="25" s="1"/>
  <c r="AE2823" i="25" s="1"/>
  <c r="AE2824" i="25" s="1"/>
  <c r="AE2825" i="25" s="1"/>
  <c r="AE2826" i="25" s="1"/>
  <c r="AE2827" i="25" s="1"/>
  <c r="AE2828" i="25" s="1"/>
  <c r="AE2829" i="25" s="1"/>
  <c r="AE2830" i="25" s="1"/>
  <c r="AE2831" i="25" s="1"/>
  <c r="AE2832" i="25" s="1"/>
  <c r="AE2833" i="25" s="1"/>
  <c r="AE2834" i="25" s="1"/>
  <c r="AE2835" i="25" s="1"/>
  <c r="AE2836" i="25" s="1"/>
  <c r="AE2837" i="25" s="1"/>
  <c r="AE2838" i="25" s="1"/>
  <c r="AE2839" i="25" s="1"/>
  <c r="AE2840" i="25" s="1"/>
  <c r="AE2841" i="25" s="1"/>
  <c r="AE2842" i="25" s="1"/>
  <c r="AE2843" i="25" s="1"/>
  <c r="AE2844" i="25" s="1"/>
  <c r="AE2845" i="25" s="1"/>
  <c r="AE2846" i="25" s="1"/>
  <c r="AE2847" i="25" s="1"/>
  <c r="AE2848" i="25" s="1"/>
  <c r="AE2849" i="25" s="1"/>
  <c r="AE2850" i="25" s="1"/>
  <c r="AE2851" i="25" s="1"/>
  <c r="AE2852" i="25" s="1"/>
  <c r="AE2853" i="25" s="1"/>
  <c r="AE2854" i="25" s="1"/>
  <c r="AE2855" i="25" s="1"/>
  <c r="AE2856" i="25" s="1"/>
  <c r="AE2857" i="25" s="1"/>
  <c r="AE2858" i="25" s="1"/>
  <c r="AE2859" i="25" s="1"/>
  <c r="AE2860" i="25" s="1"/>
  <c r="AE2861" i="25" s="1"/>
  <c r="AE2862" i="25" s="1"/>
  <c r="AE2863" i="25" s="1"/>
  <c r="AE2864" i="25" s="1"/>
  <c r="AE2865" i="25" s="1"/>
  <c r="AE2866" i="25" s="1"/>
  <c r="AE2867" i="25" s="1"/>
  <c r="AE2868" i="25" s="1"/>
  <c r="AE2869" i="25" s="1"/>
  <c r="AE2870" i="25" s="1"/>
  <c r="AE2871" i="25" s="1"/>
  <c r="AE2872" i="25" s="1"/>
  <c r="AE2873" i="25" s="1"/>
  <c r="AE2874" i="25" s="1"/>
  <c r="AE2875" i="25" s="1"/>
  <c r="AE2876" i="25" s="1"/>
  <c r="AE2877" i="25" s="1"/>
  <c r="AE2878" i="25" s="1"/>
  <c r="AE2879" i="25" s="1"/>
  <c r="AE2880" i="25" s="1"/>
  <c r="AE2881" i="25" s="1"/>
  <c r="AE2882" i="25" s="1"/>
  <c r="AE2883" i="25" s="1"/>
  <c r="AE2884" i="25" s="1"/>
  <c r="AE2885" i="25" s="1"/>
  <c r="AE2886" i="25" s="1"/>
  <c r="AE2887" i="25" s="1"/>
  <c r="AE2888" i="25" s="1"/>
  <c r="AE2889" i="25" s="1"/>
  <c r="AE2890" i="25" s="1"/>
  <c r="AE2891" i="25" s="1"/>
  <c r="AE2892" i="25" s="1"/>
  <c r="AE2893" i="25" s="1"/>
  <c r="AE2894" i="25" s="1"/>
  <c r="AE2895" i="25" s="1"/>
  <c r="AE2896" i="25" s="1"/>
  <c r="AE2897" i="25" s="1"/>
  <c r="AE2898" i="25" s="1"/>
  <c r="AE2899" i="25" s="1"/>
  <c r="AE2900" i="25" s="1"/>
  <c r="AE2901" i="25" s="1"/>
  <c r="AE2902" i="25" s="1"/>
  <c r="AE2903" i="25" s="1"/>
  <c r="AE2904" i="25" s="1"/>
  <c r="AE2905" i="25" s="1"/>
  <c r="AE2906" i="25" s="1"/>
  <c r="AE2907" i="25" s="1"/>
  <c r="AE2908" i="25" s="1"/>
  <c r="AE2909" i="25" s="1"/>
  <c r="AE2910" i="25" s="1"/>
  <c r="AE2911" i="25" s="1"/>
  <c r="AE2912" i="25" s="1"/>
  <c r="AE2913" i="25" s="1"/>
  <c r="AE2914" i="25" s="1"/>
  <c r="AE2915" i="25" s="1"/>
  <c r="AE2916" i="25" s="1"/>
  <c r="AE2917" i="25" s="1"/>
  <c r="AE2918" i="25" s="1"/>
  <c r="AE2919" i="25" s="1"/>
  <c r="AE2920" i="25" s="1"/>
  <c r="AE2921" i="25" s="1"/>
  <c r="AE2922" i="25" s="1"/>
  <c r="AE2923" i="25" s="1"/>
  <c r="AE2924" i="25" s="1"/>
  <c r="AE2925" i="25" s="1"/>
  <c r="AE2926" i="25" s="1"/>
  <c r="AE2927" i="25" s="1"/>
  <c r="AE2928" i="25" s="1"/>
  <c r="AE2929" i="25" s="1"/>
  <c r="AE2930" i="25" s="1"/>
  <c r="AE2931" i="25" s="1"/>
  <c r="AE2932" i="25" s="1"/>
  <c r="AE2933" i="25" s="1"/>
  <c r="AE2934" i="25" s="1"/>
  <c r="AE2935" i="25" s="1"/>
  <c r="AE2936" i="25" s="1"/>
  <c r="AE2937" i="25" s="1"/>
  <c r="AE2938" i="25" s="1"/>
  <c r="AE2939" i="25" s="1"/>
  <c r="AE2940" i="25" s="1"/>
  <c r="AE2941" i="25" s="1"/>
  <c r="AE2942" i="25" s="1"/>
  <c r="AE2943" i="25" s="1"/>
  <c r="AE2944" i="25" s="1"/>
  <c r="AE2945" i="25" s="1"/>
  <c r="AE2946" i="25" s="1"/>
  <c r="AE2947" i="25" s="1"/>
  <c r="AE2948" i="25" s="1"/>
  <c r="AE2949" i="25" s="1"/>
  <c r="AE2950" i="25" s="1"/>
  <c r="AE2951" i="25" s="1"/>
  <c r="AE2952" i="25" s="1"/>
  <c r="AE2953" i="25" s="1"/>
  <c r="AE2954" i="25" s="1"/>
  <c r="AE2955" i="25" s="1"/>
  <c r="AE2956" i="25" s="1"/>
  <c r="AE2957" i="25" s="1"/>
  <c r="AE2958" i="25" s="1"/>
  <c r="AE2959" i="25" s="1"/>
  <c r="AE2960" i="25" s="1"/>
  <c r="AE2961" i="25" s="1"/>
  <c r="AE2962" i="25" s="1"/>
  <c r="AE2963" i="25" s="1"/>
  <c r="AE2964" i="25" s="1"/>
  <c r="AE2965" i="25" s="1"/>
  <c r="AE2966" i="25" s="1"/>
  <c r="AE2967" i="25" s="1"/>
  <c r="AE2968" i="25" s="1"/>
  <c r="AE2969" i="25" s="1"/>
  <c r="AE2970" i="25" s="1"/>
  <c r="AE2971" i="25" s="1"/>
  <c r="AE2972" i="25" s="1"/>
  <c r="AE2973" i="25" s="1"/>
  <c r="AE2974" i="25" s="1"/>
  <c r="AE2975" i="25" s="1"/>
  <c r="AE2976" i="25" s="1"/>
  <c r="AE2977" i="25" s="1"/>
  <c r="AE2978" i="25" s="1"/>
  <c r="AE2979" i="25" s="1"/>
  <c r="AE2980" i="25" s="1"/>
  <c r="AE2981" i="25" s="1"/>
  <c r="AE2982" i="25" s="1"/>
  <c r="AE2983" i="25" s="1"/>
  <c r="AE2984" i="25" s="1"/>
  <c r="AE2985" i="25" s="1"/>
  <c r="AE2986" i="25" s="1"/>
  <c r="AE2987" i="25" s="1"/>
  <c r="AE2988" i="25" s="1"/>
  <c r="AE2989" i="25" s="1"/>
  <c r="AE2990" i="25" s="1"/>
  <c r="AE2991" i="25" s="1"/>
  <c r="AE2992" i="25" s="1"/>
  <c r="AE2993" i="25" s="1"/>
  <c r="AE2994" i="25" s="1"/>
  <c r="AE2995" i="25" s="1"/>
  <c r="AE2996" i="25" s="1"/>
  <c r="AE2997" i="25" s="1"/>
  <c r="AE2998" i="25" s="1"/>
  <c r="AE2999" i="25" s="1"/>
  <c r="AE3000" i="25" s="1"/>
  <c r="AE3001" i="25" s="1"/>
  <c r="AE3002" i="25" s="1"/>
  <c r="AE3003" i="25" s="1"/>
  <c r="AE3004" i="25" s="1"/>
  <c r="AE3005" i="25" s="1"/>
  <c r="AE3006" i="25" s="1"/>
  <c r="AE3007" i="25" s="1"/>
  <c r="AE3008" i="25" s="1"/>
  <c r="AE3009" i="25" s="1"/>
  <c r="AE3010" i="25" s="1"/>
  <c r="AE3011" i="25" s="1"/>
  <c r="AE3012" i="25" s="1"/>
  <c r="AE3013" i="25" s="1"/>
  <c r="AE3014" i="25" s="1"/>
  <c r="AE3015" i="25" s="1"/>
  <c r="AE3016" i="25" s="1"/>
  <c r="AE3017" i="25" s="1"/>
  <c r="AE3018" i="25" s="1"/>
  <c r="AE3019" i="25" s="1"/>
  <c r="AE3020" i="25" s="1"/>
  <c r="AE3021" i="25" s="1"/>
  <c r="AE3022" i="25" s="1"/>
  <c r="AE3023" i="25" s="1"/>
  <c r="AE3024" i="25" s="1"/>
  <c r="AE3025" i="25" s="1"/>
  <c r="AE3026" i="25" s="1"/>
  <c r="AE3027" i="25" s="1"/>
  <c r="AE3028" i="25" s="1"/>
  <c r="AE3029" i="25" s="1"/>
  <c r="AE3030" i="25" s="1"/>
  <c r="AE3031" i="25" s="1"/>
  <c r="AE3032" i="25" s="1"/>
  <c r="AE3033" i="25" s="1"/>
  <c r="AE3034" i="25" s="1"/>
  <c r="AE3035" i="25" s="1"/>
  <c r="AE3036" i="25" s="1"/>
  <c r="AE3037" i="25" s="1"/>
  <c r="AE3038" i="25" s="1"/>
  <c r="AE3039" i="25" s="1"/>
  <c r="AE3040" i="25" s="1"/>
  <c r="AE3041" i="25" s="1"/>
  <c r="AE3042" i="25" s="1"/>
  <c r="AE3043" i="25" s="1"/>
  <c r="AE3044" i="25" s="1"/>
  <c r="AE3045" i="25" s="1"/>
  <c r="AE3046" i="25" s="1"/>
  <c r="AE3047" i="25" s="1"/>
  <c r="AE3048" i="25" s="1"/>
  <c r="AE3049" i="25" s="1"/>
  <c r="AE3050" i="25" s="1"/>
  <c r="AE3051" i="25" s="1"/>
  <c r="AE3052" i="25" s="1"/>
  <c r="AE3053" i="25" s="1"/>
  <c r="AE3054" i="25" s="1"/>
  <c r="AE3055" i="25" s="1"/>
  <c r="AE3056" i="25" s="1"/>
  <c r="AE3057" i="25" s="1"/>
  <c r="AE3058" i="25" s="1"/>
  <c r="AE3059" i="25" s="1"/>
  <c r="AE3060" i="25" s="1"/>
  <c r="AE3061" i="25" s="1"/>
  <c r="AE3062" i="25" s="1"/>
  <c r="AE3063" i="25" s="1"/>
  <c r="AE3064" i="25" s="1"/>
  <c r="AE3065" i="25" s="1"/>
  <c r="AE3066" i="25" s="1"/>
  <c r="AE3067" i="25" s="1"/>
  <c r="AE3068" i="25" s="1"/>
  <c r="AE3069" i="25" s="1"/>
  <c r="AE3070" i="25" s="1"/>
  <c r="AE3071" i="25" s="1"/>
  <c r="AE3072" i="25" s="1"/>
  <c r="AE3073" i="25" s="1"/>
  <c r="AE3074" i="25" s="1"/>
  <c r="AE3075" i="25" s="1"/>
  <c r="AE3076" i="25" s="1"/>
  <c r="AE3077" i="25" s="1"/>
  <c r="AE3078" i="25" s="1"/>
  <c r="AE3079" i="25" s="1"/>
  <c r="AE3080" i="25" s="1"/>
  <c r="AE3081" i="25" s="1"/>
  <c r="AE3082" i="25" s="1"/>
  <c r="AE3083" i="25" s="1"/>
  <c r="AE3084" i="25" s="1"/>
  <c r="AE3085" i="25" s="1"/>
  <c r="AE3086" i="25" s="1"/>
  <c r="AE3087" i="25" s="1"/>
  <c r="AE3088" i="25" s="1"/>
  <c r="AE3089" i="25" s="1"/>
  <c r="AE3090" i="25" s="1"/>
  <c r="AE3091" i="25" s="1"/>
  <c r="AE3092" i="25" s="1"/>
  <c r="AE3093" i="25" s="1"/>
  <c r="AE3094" i="25" s="1"/>
  <c r="AE3095" i="25" s="1"/>
  <c r="AE3096" i="25" s="1"/>
  <c r="AE3097" i="25" s="1"/>
  <c r="AE3098" i="25" s="1"/>
  <c r="AE3099" i="25" s="1"/>
  <c r="AE3100" i="25" s="1"/>
  <c r="AE3101" i="25" s="1"/>
  <c r="AE3102" i="25" s="1"/>
  <c r="AE3103" i="25" s="1"/>
  <c r="AE3104" i="25" s="1"/>
  <c r="AE3105" i="25" s="1"/>
  <c r="AE3106" i="25" s="1"/>
  <c r="AE3107" i="25" s="1"/>
  <c r="AE3108" i="25" s="1"/>
  <c r="AE3109" i="25" s="1"/>
  <c r="AE3110" i="25" s="1"/>
  <c r="AE3111" i="25" s="1"/>
  <c r="AE3112" i="25" s="1"/>
  <c r="AE3113" i="25" s="1"/>
  <c r="AE3114" i="25" s="1"/>
  <c r="AE3115" i="25" s="1"/>
  <c r="AE3116" i="25" s="1"/>
  <c r="AE3117" i="25" s="1"/>
  <c r="AE3118" i="25" s="1"/>
  <c r="AE3119" i="25" s="1"/>
  <c r="AE3120" i="25" s="1"/>
  <c r="AE3121" i="25" s="1"/>
  <c r="AE3122" i="25" s="1"/>
  <c r="AE3123" i="25" s="1"/>
  <c r="AE3124" i="25" s="1"/>
  <c r="AE3125" i="25" s="1"/>
  <c r="AE3126" i="25" s="1"/>
  <c r="AE3127" i="25" s="1"/>
  <c r="AE3128" i="25" s="1"/>
  <c r="AE3129" i="25" s="1"/>
  <c r="AE3130" i="25" s="1"/>
  <c r="AE3131" i="25" s="1"/>
  <c r="AE3132" i="25" s="1"/>
  <c r="AE3133" i="25" s="1"/>
  <c r="AE3134" i="25" s="1"/>
  <c r="AE3135" i="25" s="1"/>
  <c r="AE3136" i="25" s="1"/>
  <c r="AE3137" i="25" s="1"/>
  <c r="AE3138" i="25" s="1"/>
  <c r="AE3139" i="25" s="1"/>
  <c r="AE3140" i="25" s="1"/>
  <c r="AE3141" i="25" s="1"/>
  <c r="AE3142" i="25" s="1"/>
  <c r="AE3143" i="25" s="1"/>
  <c r="AE3144" i="25" s="1"/>
  <c r="AE3145" i="25" s="1"/>
  <c r="AE3146" i="25" s="1"/>
  <c r="AE3147" i="25" s="1"/>
  <c r="AE3148" i="25" s="1"/>
  <c r="AE3149" i="25" s="1"/>
  <c r="AE3150" i="25" s="1"/>
  <c r="AE3151" i="25" s="1"/>
  <c r="AE3152" i="25" s="1"/>
  <c r="AE3153" i="25" s="1"/>
  <c r="AE3154" i="25" s="1"/>
  <c r="AE3155" i="25" s="1"/>
  <c r="AE3156" i="25" s="1"/>
  <c r="AE3157" i="25" s="1"/>
  <c r="AE3158" i="25" s="1"/>
  <c r="AE3159" i="25" s="1"/>
  <c r="AE3160" i="25" s="1"/>
  <c r="AE3161" i="25" s="1"/>
  <c r="AE3162" i="25" s="1"/>
  <c r="AE3163" i="25" s="1"/>
  <c r="AE3164" i="25" s="1"/>
  <c r="AE3165" i="25" s="1"/>
  <c r="AE3166" i="25" s="1"/>
  <c r="AE3167" i="25" s="1"/>
  <c r="AE3168" i="25" s="1"/>
  <c r="AE3169" i="25" s="1"/>
  <c r="AE3170" i="25" s="1"/>
  <c r="AE3171" i="25" s="1"/>
  <c r="AE3172" i="25" s="1"/>
  <c r="AE3173" i="25" s="1"/>
  <c r="AE3174" i="25" s="1"/>
  <c r="AE3175" i="25" s="1"/>
  <c r="AE3176" i="25" s="1"/>
  <c r="AE3177" i="25" s="1"/>
  <c r="AE3178" i="25" s="1"/>
  <c r="AE3179" i="25" s="1"/>
  <c r="AE3180" i="25" s="1"/>
  <c r="AE3181" i="25" s="1"/>
  <c r="AE3182" i="25" s="1"/>
  <c r="AE3183" i="25" s="1"/>
  <c r="AE3184" i="25" s="1"/>
  <c r="AE3185" i="25" s="1"/>
  <c r="AE3186" i="25" s="1"/>
  <c r="AE3187" i="25" s="1"/>
  <c r="AE3188" i="25" s="1"/>
  <c r="AE3189" i="25" s="1"/>
  <c r="AE3190" i="25" s="1"/>
  <c r="AE3191" i="25" s="1"/>
  <c r="AE3192" i="25" s="1"/>
  <c r="AE3193" i="25" s="1"/>
  <c r="AE3194" i="25" s="1"/>
  <c r="AE3195" i="25" s="1"/>
  <c r="AE3196" i="25" s="1"/>
  <c r="AE3197" i="25" s="1"/>
  <c r="AE3198" i="25" s="1"/>
  <c r="AE3199" i="25" s="1"/>
  <c r="AE3200" i="25" s="1"/>
  <c r="AE3201" i="25" s="1"/>
  <c r="AE3202" i="25" s="1"/>
  <c r="AE3203" i="25" s="1"/>
  <c r="AE3204" i="25" s="1"/>
  <c r="AE3205" i="25" s="1"/>
  <c r="AE3206" i="25" s="1"/>
  <c r="AE3207" i="25" s="1"/>
  <c r="AE3208" i="25" s="1"/>
  <c r="AE3209" i="25" s="1"/>
  <c r="AE3210" i="25" s="1"/>
  <c r="AE3211" i="25" s="1"/>
  <c r="AE3212" i="25" s="1"/>
  <c r="AE3213" i="25" s="1"/>
  <c r="AE3214" i="25" s="1"/>
  <c r="AE3215" i="25" s="1"/>
  <c r="AE3216" i="25" s="1"/>
  <c r="AE3217" i="25" s="1"/>
  <c r="AE3218" i="25" s="1"/>
  <c r="AE3219" i="25" s="1"/>
  <c r="AE3220" i="25" s="1"/>
  <c r="AE3221" i="25" s="1"/>
  <c r="AE3222" i="25" s="1"/>
  <c r="AE3223" i="25" s="1"/>
  <c r="AE3224" i="25" s="1"/>
  <c r="AE3225" i="25" s="1"/>
  <c r="AE3226" i="25" s="1"/>
  <c r="AE3227" i="25" s="1"/>
  <c r="AE3228" i="25" s="1"/>
  <c r="AE3229" i="25" s="1"/>
  <c r="AE3230" i="25" s="1"/>
  <c r="AE3231" i="25" s="1"/>
  <c r="AE3232" i="25" s="1"/>
  <c r="AE3233" i="25" s="1"/>
  <c r="AE3234" i="25" s="1"/>
  <c r="AE3235" i="25" s="1"/>
  <c r="AE3236" i="25" s="1"/>
  <c r="AE3237" i="25" s="1"/>
  <c r="AE3238" i="25" s="1"/>
  <c r="AE3239" i="25" s="1"/>
  <c r="AE3240" i="25" s="1"/>
  <c r="AE3241" i="25" s="1"/>
  <c r="AE3242" i="25" s="1"/>
  <c r="AE3243" i="25" s="1"/>
  <c r="AE3244" i="25" s="1"/>
  <c r="AE3245" i="25" s="1"/>
  <c r="AE3246" i="25" s="1"/>
  <c r="AE3247" i="25" s="1"/>
  <c r="AE3248" i="25" s="1"/>
  <c r="AE3249" i="25" s="1"/>
  <c r="AE3250" i="25" s="1"/>
  <c r="AE3251" i="25" s="1"/>
  <c r="AE3252" i="25" s="1"/>
  <c r="AE3253" i="25" s="1"/>
  <c r="AE3254" i="25" s="1"/>
  <c r="AE3255" i="25" s="1"/>
  <c r="AE3256" i="25" s="1"/>
  <c r="AE3257" i="25" s="1"/>
  <c r="AE3258" i="25" s="1"/>
  <c r="AE3259" i="25" s="1"/>
  <c r="AE3260" i="25" s="1"/>
  <c r="AE3261" i="25" s="1"/>
  <c r="AE3262" i="25" s="1"/>
  <c r="AE3263" i="25" s="1"/>
  <c r="AE3264" i="25" s="1"/>
  <c r="AE3265" i="25" s="1"/>
  <c r="AE3266" i="25" s="1"/>
  <c r="AE3267" i="25" s="1"/>
  <c r="AE3268" i="25" s="1"/>
  <c r="AE3269" i="25" s="1"/>
  <c r="AE3270" i="25" s="1"/>
  <c r="AE3271" i="25" s="1"/>
  <c r="AE3272" i="25" s="1"/>
  <c r="AE3273" i="25" s="1"/>
  <c r="AE3274" i="25" s="1"/>
  <c r="AE3275" i="25" s="1"/>
  <c r="AE3276" i="25" s="1"/>
  <c r="AE3277" i="25" s="1"/>
  <c r="AE3278" i="25" s="1"/>
  <c r="AE3279" i="25" s="1"/>
  <c r="AE3280" i="25" s="1"/>
  <c r="AE3281" i="25" s="1"/>
  <c r="AE3282" i="25" s="1"/>
  <c r="AE3283" i="25" s="1"/>
  <c r="AE3284" i="25" s="1"/>
  <c r="AE3285" i="25" s="1"/>
  <c r="AE3286" i="25" s="1"/>
  <c r="AE3287" i="25" s="1"/>
  <c r="AE3288" i="25" s="1"/>
  <c r="AE3289" i="25" s="1"/>
  <c r="AE3290" i="25" s="1"/>
  <c r="AE3291" i="25" s="1"/>
  <c r="AE3292" i="25" s="1"/>
  <c r="AE3293" i="25" s="1"/>
  <c r="AE3294" i="25" s="1"/>
  <c r="AE3295" i="25" s="1"/>
  <c r="AE3296" i="25" s="1"/>
  <c r="AE3297" i="25" s="1"/>
  <c r="AE3298" i="25" s="1"/>
  <c r="AE3299" i="25" s="1"/>
  <c r="AE3300" i="25" s="1"/>
  <c r="AE3301" i="25" s="1"/>
  <c r="AE3302" i="25" s="1"/>
  <c r="AE3303" i="25" s="1"/>
  <c r="AE3304" i="25" s="1"/>
  <c r="AE3305" i="25" s="1"/>
  <c r="AE3306" i="25" s="1"/>
  <c r="AE3307" i="25" s="1"/>
  <c r="AE3308" i="25" s="1"/>
  <c r="AE3309" i="25" s="1"/>
  <c r="AE3310" i="25" s="1"/>
  <c r="AE3311" i="25" s="1"/>
  <c r="AE3312" i="25" s="1"/>
  <c r="AE3313" i="25" s="1"/>
  <c r="AE3314" i="25" s="1"/>
  <c r="AE3315" i="25" s="1"/>
  <c r="AE3316" i="25" s="1"/>
  <c r="AE3317" i="25" s="1"/>
  <c r="AE3318" i="25" s="1"/>
  <c r="AE3319" i="25" s="1"/>
  <c r="AE3320" i="25" s="1"/>
  <c r="AE3321" i="25" s="1"/>
  <c r="AE3322" i="25" s="1"/>
  <c r="AE3323" i="25" s="1"/>
  <c r="AE3324" i="25" s="1"/>
  <c r="AE3325" i="25" s="1"/>
  <c r="AE3326" i="25" s="1"/>
  <c r="AE3327" i="25" s="1"/>
  <c r="AE3328" i="25" s="1"/>
  <c r="AE3329" i="25" s="1"/>
  <c r="AE3330" i="25" s="1"/>
  <c r="AE3331" i="25" s="1"/>
  <c r="AE3332" i="25" s="1"/>
  <c r="AE3333" i="25" s="1"/>
  <c r="AE3334" i="25" s="1"/>
  <c r="AE3335" i="25" s="1"/>
  <c r="AE3336" i="25" s="1"/>
  <c r="AE3337" i="25" s="1"/>
  <c r="AE3338" i="25" s="1"/>
  <c r="AE3339" i="25" s="1"/>
  <c r="AE3340" i="25" s="1"/>
  <c r="AE3341" i="25" s="1"/>
  <c r="AE3342" i="25" s="1"/>
  <c r="AE3343" i="25" s="1"/>
  <c r="AE3344" i="25" s="1"/>
  <c r="AE3345" i="25" s="1"/>
  <c r="AE3346" i="25" s="1"/>
  <c r="AE3347" i="25" s="1"/>
  <c r="AE3348" i="25" s="1"/>
  <c r="AE3349" i="25" s="1"/>
  <c r="AE3350" i="25" s="1"/>
  <c r="AE3351" i="25" s="1"/>
  <c r="AE3352" i="25" s="1"/>
  <c r="AE3353" i="25" s="1"/>
  <c r="AE3354" i="25" s="1"/>
  <c r="AE3355" i="25" s="1"/>
  <c r="AE3356" i="25" s="1"/>
  <c r="AE3357" i="25" s="1"/>
  <c r="AE3358" i="25" s="1"/>
  <c r="AE3359" i="25" s="1"/>
  <c r="AE3360" i="25" s="1"/>
  <c r="AE3361" i="25" s="1"/>
  <c r="AE3362" i="25" s="1"/>
  <c r="AE3363" i="25" s="1"/>
  <c r="AE3364" i="25" s="1"/>
  <c r="AE3365" i="25" s="1"/>
  <c r="AE3366" i="25" s="1"/>
  <c r="AE3367" i="25" s="1"/>
  <c r="AE3368" i="25" s="1"/>
  <c r="AE3369" i="25" s="1"/>
  <c r="AE3370" i="25" s="1"/>
  <c r="AE3371" i="25" s="1"/>
  <c r="AE3372" i="25" s="1"/>
  <c r="AE3373" i="25" s="1"/>
  <c r="AE3374" i="25" s="1"/>
  <c r="AE3375" i="25" s="1"/>
  <c r="AE3376" i="25" s="1"/>
  <c r="AE3377" i="25" s="1"/>
  <c r="AE3378" i="25" s="1"/>
  <c r="AE3379" i="25" s="1"/>
  <c r="AE3380" i="25" s="1"/>
  <c r="AE3381" i="25" s="1"/>
  <c r="AE3382" i="25" s="1"/>
  <c r="AE3383" i="25" s="1"/>
  <c r="AE3384" i="25" s="1"/>
  <c r="AE3385" i="25" s="1"/>
  <c r="AE3386" i="25" s="1"/>
  <c r="AE3387" i="25" s="1"/>
  <c r="AE3388" i="25" s="1"/>
  <c r="AE3389" i="25" s="1"/>
  <c r="AE3390" i="25" s="1"/>
  <c r="AE3391" i="25" s="1"/>
  <c r="AE3392" i="25" s="1"/>
  <c r="AE3393" i="25" s="1"/>
  <c r="AE3394" i="25" s="1"/>
  <c r="AE3395" i="25" s="1"/>
  <c r="AE3396" i="25" s="1"/>
  <c r="AE3397" i="25" s="1"/>
  <c r="AE3398" i="25" s="1"/>
  <c r="AE3399" i="25" s="1"/>
  <c r="AE3400" i="25" s="1"/>
  <c r="AE3401" i="25" s="1"/>
  <c r="AE3402" i="25" s="1"/>
  <c r="AE3403" i="25" s="1"/>
  <c r="AE3404" i="25" s="1"/>
  <c r="AE3405" i="25" s="1"/>
  <c r="AE3406" i="25" s="1"/>
  <c r="AE3407" i="25" s="1"/>
  <c r="AE3408" i="25" s="1"/>
  <c r="AE3409" i="25" s="1"/>
  <c r="AE3410" i="25" s="1"/>
  <c r="AE3411" i="25" s="1"/>
  <c r="AE3412" i="25" s="1"/>
  <c r="AE3413" i="25" s="1"/>
  <c r="AE3414" i="25" s="1"/>
  <c r="AE3415" i="25" s="1"/>
  <c r="AE3416" i="25" s="1"/>
  <c r="AE3417" i="25" s="1"/>
  <c r="AE3418" i="25" s="1"/>
  <c r="AE3419" i="25" s="1"/>
  <c r="AE3420" i="25" s="1"/>
  <c r="AE3421" i="25" s="1"/>
  <c r="AE3422" i="25" s="1"/>
  <c r="AE3423" i="25" s="1"/>
  <c r="AE3424" i="25" s="1"/>
  <c r="AE3425" i="25" s="1"/>
  <c r="AE3426" i="25" s="1"/>
  <c r="AE3427" i="25" s="1"/>
  <c r="AE3428" i="25" s="1"/>
  <c r="AE3429" i="25" s="1"/>
  <c r="AE3430" i="25" s="1"/>
  <c r="AE3431" i="25" s="1"/>
  <c r="AE3432" i="25" s="1"/>
  <c r="AE3433" i="25" s="1"/>
  <c r="AE3434" i="25" s="1"/>
  <c r="AE3435" i="25" s="1"/>
  <c r="AE3436" i="25" s="1"/>
  <c r="AE3437" i="25" s="1"/>
  <c r="AE3438" i="25" s="1"/>
  <c r="AE3439" i="25" s="1"/>
  <c r="AE3440" i="25" s="1"/>
  <c r="AE3441" i="25" s="1"/>
  <c r="AE3442" i="25" s="1"/>
  <c r="AE3443" i="25" s="1"/>
  <c r="AE3444" i="25" s="1"/>
  <c r="AE3445" i="25" s="1"/>
  <c r="AE3446" i="25" s="1"/>
  <c r="AE3447" i="25" s="1"/>
  <c r="AE3448" i="25" s="1"/>
  <c r="AE3449" i="25" s="1"/>
  <c r="AE3450" i="25" s="1"/>
  <c r="R76" i="22"/>
  <c r="Q73" i="22"/>
  <c r="R43" i="22"/>
  <c r="Q40" i="22"/>
  <c r="R60" i="22"/>
  <c r="Q57" i="22"/>
  <c r="Q7" i="22"/>
  <c r="R10" i="22"/>
  <c r="Q24" i="22"/>
  <c r="R27" i="22"/>
  <c r="AD217" i="25" l="1"/>
  <c r="S10" i="22"/>
  <c r="R7" i="22"/>
  <c r="S60" i="22"/>
  <c r="R57" i="22"/>
  <c r="R40" i="22"/>
  <c r="S43" i="22"/>
  <c r="S27" i="22"/>
  <c r="R24" i="22"/>
  <c r="S76" i="22"/>
  <c r="R73" i="22"/>
  <c r="AD218" i="25" l="1"/>
  <c r="S73" i="22"/>
  <c r="T76" i="22"/>
  <c r="T27" i="22"/>
  <c r="S24" i="22"/>
  <c r="S7" i="22"/>
  <c r="T10" i="22"/>
  <c r="S40" i="22"/>
  <c r="T43" i="22"/>
  <c r="S57" i="22"/>
  <c r="T60" i="22"/>
  <c r="AD219" i="25" l="1"/>
  <c r="U60" i="22"/>
  <c r="T57" i="22"/>
  <c r="T73" i="22"/>
  <c r="U76" i="22"/>
  <c r="U43" i="22"/>
  <c r="T40" i="22"/>
  <c r="T7" i="22"/>
  <c r="U10" i="22"/>
  <c r="U27" i="22"/>
  <c r="T24" i="22"/>
  <c r="AD220" i="25" l="1"/>
  <c r="U7" i="22"/>
  <c r="V10" i="22"/>
  <c r="V60" i="22"/>
  <c r="U57" i="22"/>
  <c r="U73" i="22"/>
  <c r="V76" i="22"/>
  <c r="V27" i="22"/>
  <c r="U24" i="22"/>
  <c r="V43" i="22"/>
  <c r="U40" i="22"/>
  <c r="AD221" i="25" l="1"/>
  <c r="W60" i="22"/>
  <c r="V57" i="22"/>
  <c r="W10" i="22"/>
  <c r="V7" i="22"/>
  <c r="W27" i="22"/>
  <c r="V24" i="22"/>
  <c r="W43" i="22"/>
  <c r="V40" i="22"/>
  <c r="V73" i="22"/>
  <c r="W76" i="22"/>
  <c r="AD222" i="25" l="1"/>
  <c r="W57" i="22"/>
  <c r="X60" i="22"/>
  <c r="X43" i="22"/>
  <c r="W40" i="22"/>
  <c r="W73" i="22"/>
  <c r="X76" i="22"/>
  <c r="X73" i="22" s="1"/>
  <c r="W24" i="22"/>
  <c r="X27" i="22"/>
  <c r="X10" i="22"/>
  <c r="W7" i="22"/>
  <c r="AD223" i="25" l="1"/>
  <c r="X57" i="22"/>
  <c r="Y60" i="22"/>
  <c r="X7" i="22"/>
  <c r="Y10" i="22"/>
  <c r="Y27" i="22"/>
  <c r="X24" i="22"/>
  <c r="X40" i="22"/>
  <c r="Y43" i="22"/>
  <c r="AD224" i="25" l="1"/>
  <c r="Y57" i="22"/>
  <c r="Z60" i="22"/>
  <c r="Z57" i="22" s="1"/>
  <c r="Y40" i="22"/>
  <c r="Z43" i="22"/>
  <c r="Y7" i="22"/>
  <c r="Z10" i="22"/>
  <c r="Y24" i="22"/>
  <c r="Z27" i="22"/>
  <c r="AD225" i="25" l="1"/>
  <c r="Z24" i="22"/>
  <c r="AA27" i="22"/>
  <c r="Z40" i="22"/>
  <c r="AA43" i="22"/>
  <c r="AA10" i="22"/>
  <c r="Z7" i="22"/>
  <c r="AD226" i="25" l="1"/>
  <c r="AD227" i="25" s="1"/>
  <c r="AD228" i="25" s="1"/>
  <c r="AD229" i="25" s="1"/>
  <c r="AD230" i="25" s="1"/>
  <c r="AD231" i="25" s="1"/>
  <c r="AD232" i="25" s="1"/>
  <c r="AD233" i="25" s="1"/>
  <c r="AD234" i="25" s="1"/>
  <c r="AD235" i="25" s="1"/>
  <c r="AD236" i="25" s="1"/>
  <c r="AD237" i="25" s="1"/>
  <c r="AD238" i="25" s="1"/>
  <c r="AD239" i="25" s="1"/>
  <c r="AD240" i="25" s="1"/>
  <c r="AD241" i="25" s="1"/>
  <c r="AD242" i="25" s="1"/>
  <c r="AD243" i="25" s="1"/>
  <c r="AD244" i="25" s="1"/>
  <c r="AD245" i="25" s="1"/>
  <c r="AD246" i="25" s="1"/>
  <c r="AD247" i="25" s="1"/>
  <c r="AD248" i="25" s="1"/>
  <c r="AD249" i="25" s="1"/>
  <c r="AD250" i="25" s="1"/>
  <c r="AD251" i="25" s="1"/>
  <c r="AD252" i="25" s="1"/>
  <c r="AD253" i="25" s="1"/>
  <c r="AD254" i="25" s="1"/>
  <c r="AD255" i="25" s="1"/>
  <c r="AD256" i="25" s="1"/>
  <c r="AD257" i="25" s="1"/>
  <c r="AD258" i="25" s="1"/>
  <c r="AD259" i="25" s="1"/>
  <c r="AD260" i="25" s="1"/>
  <c r="AD261" i="25" s="1"/>
  <c r="AD262" i="25" s="1"/>
  <c r="AD263" i="25" s="1"/>
  <c r="AD264" i="25" s="1"/>
  <c r="AD265" i="25" s="1"/>
  <c r="AD266" i="25" s="1"/>
  <c r="AD267" i="25" s="1"/>
  <c r="AD268" i="25" s="1"/>
  <c r="AD269" i="25" s="1"/>
  <c r="AD270" i="25" s="1"/>
  <c r="AD271" i="25" s="1"/>
  <c r="AD272" i="25" s="1"/>
  <c r="AD273" i="25" s="1"/>
  <c r="AD274" i="25" s="1"/>
  <c r="AD275" i="25" s="1"/>
  <c r="AD276" i="25" s="1"/>
  <c r="AD277" i="25" s="1"/>
  <c r="AD278" i="25" s="1"/>
  <c r="AD279" i="25" s="1"/>
  <c r="AD280" i="25" s="1"/>
  <c r="AD281" i="25" s="1"/>
  <c r="AD282" i="25" s="1"/>
  <c r="AD283" i="25" s="1"/>
  <c r="AD284" i="25" s="1"/>
  <c r="AD285" i="25" s="1"/>
  <c r="AD286" i="25" s="1"/>
  <c r="AD287" i="25" s="1"/>
  <c r="AD288" i="25" s="1"/>
  <c r="AD289" i="25" s="1"/>
  <c r="AD290" i="25" s="1"/>
  <c r="AD291" i="25" s="1"/>
  <c r="AD292" i="25" s="1"/>
  <c r="AD293" i="25" s="1"/>
  <c r="AD294" i="25" s="1"/>
  <c r="AD295" i="25" s="1"/>
  <c r="AD296" i="25" s="1"/>
  <c r="AD297" i="25" s="1"/>
  <c r="AD298" i="25" s="1"/>
  <c r="AD299" i="25" s="1"/>
  <c r="AD300" i="25" s="1"/>
  <c r="AD301" i="25" s="1"/>
  <c r="AD302" i="25" s="1"/>
  <c r="AD303" i="25" s="1"/>
  <c r="AD304" i="25" s="1"/>
  <c r="AD305" i="25" s="1"/>
  <c r="AD306" i="25" s="1"/>
  <c r="AD307" i="25" s="1"/>
  <c r="AD308" i="25" s="1"/>
  <c r="AD309" i="25" s="1"/>
  <c r="AD310" i="25" s="1"/>
  <c r="AD311" i="25" s="1"/>
  <c r="AD312" i="25" s="1"/>
  <c r="AD313" i="25" s="1"/>
  <c r="AD314" i="25" s="1"/>
  <c r="AD315" i="25" s="1"/>
  <c r="AD316" i="25" s="1"/>
  <c r="AD317" i="25" s="1"/>
  <c r="AD318" i="25" s="1"/>
  <c r="AD319" i="25" s="1"/>
  <c r="AD320" i="25" s="1"/>
  <c r="AD321" i="25" s="1"/>
  <c r="AD322" i="25" s="1"/>
  <c r="AD323" i="25" s="1"/>
  <c r="AD324" i="25" s="1"/>
  <c r="AD325" i="25" s="1"/>
  <c r="AD326" i="25" s="1"/>
  <c r="AD327" i="25" s="1"/>
  <c r="AD328" i="25" s="1"/>
  <c r="AD329" i="25" s="1"/>
  <c r="AD330" i="25" s="1"/>
  <c r="AD331" i="25" s="1"/>
  <c r="AD332" i="25" s="1"/>
  <c r="AD333" i="25" s="1"/>
  <c r="AD334" i="25" s="1"/>
  <c r="AD335" i="25" s="1"/>
  <c r="AD336" i="25" s="1"/>
  <c r="AD337" i="25" s="1"/>
  <c r="AD338" i="25" s="1"/>
  <c r="AD339" i="25" s="1"/>
  <c r="AD340" i="25" s="1"/>
  <c r="AD341" i="25" s="1"/>
  <c r="AD342" i="25" s="1"/>
  <c r="AD343" i="25" s="1"/>
  <c r="AD344" i="25" s="1"/>
  <c r="AD345" i="25" s="1"/>
  <c r="AD346" i="25" s="1"/>
  <c r="AD347" i="25" s="1"/>
  <c r="AD348" i="25" s="1"/>
  <c r="AD349" i="25" s="1"/>
  <c r="AD350" i="25" s="1"/>
  <c r="AD351" i="25" s="1"/>
  <c r="AD352" i="25" s="1"/>
  <c r="AD353" i="25" s="1"/>
  <c r="AD354" i="25" s="1"/>
  <c r="AD355" i="25" s="1"/>
  <c r="AD356" i="25" s="1"/>
  <c r="AD357" i="25" s="1"/>
  <c r="AD358" i="25" s="1"/>
  <c r="AD359" i="25" s="1"/>
  <c r="AD360" i="25" s="1"/>
  <c r="AD361" i="25" s="1"/>
  <c r="AD362" i="25" s="1"/>
  <c r="AD363" i="25" s="1"/>
  <c r="AD364" i="25" s="1"/>
  <c r="AD365" i="25" s="1"/>
  <c r="AD366" i="25" s="1"/>
  <c r="AD367" i="25" s="1"/>
  <c r="AD368" i="25" s="1"/>
  <c r="AD369" i="25" s="1"/>
  <c r="AD370" i="25" s="1"/>
  <c r="AD371" i="25" s="1"/>
  <c r="AD372" i="25" s="1"/>
  <c r="AD373" i="25" s="1"/>
  <c r="AD374" i="25" s="1"/>
  <c r="AD375" i="25" s="1"/>
  <c r="AD376" i="25" s="1"/>
  <c r="AD377" i="25" s="1"/>
  <c r="AD378" i="25" s="1"/>
  <c r="AD379" i="25" s="1"/>
  <c r="AD380" i="25" s="1"/>
  <c r="AD381" i="25" s="1"/>
  <c r="AD382" i="25" s="1"/>
  <c r="AD383" i="25" s="1"/>
  <c r="AD384" i="25" s="1"/>
  <c r="AD385" i="25" s="1"/>
  <c r="AD386" i="25" s="1"/>
  <c r="AD387" i="25" s="1"/>
  <c r="AD388" i="25" s="1"/>
  <c r="AD389" i="25" s="1"/>
  <c r="AD390" i="25" s="1"/>
  <c r="AD391" i="25" s="1"/>
  <c r="AD392" i="25" s="1"/>
  <c r="AD393" i="25" s="1"/>
  <c r="AD394" i="25" s="1"/>
  <c r="AD395" i="25" s="1"/>
  <c r="AD396" i="25" s="1"/>
  <c r="AD397" i="25" s="1"/>
  <c r="AD398" i="25" s="1"/>
  <c r="AD399" i="25" s="1"/>
  <c r="AD400" i="25" s="1"/>
  <c r="AD401" i="25" s="1"/>
  <c r="AD402" i="25" s="1"/>
  <c r="AD403" i="25" s="1"/>
  <c r="AD404" i="25" s="1"/>
  <c r="AD405" i="25" s="1"/>
  <c r="AD406" i="25" s="1"/>
  <c r="AD407" i="25" s="1"/>
  <c r="AD408" i="25" s="1"/>
  <c r="AD409" i="25" s="1"/>
  <c r="AD410" i="25" s="1"/>
  <c r="AD411" i="25" s="1"/>
  <c r="AD412" i="25" s="1"/>
  <c r="AD413" i="25" s="1"/>
  <c r="AD414" i="25" s="1"/>
  <c r="AD415" i="25" s="1"/>
  <c r="AD416" i="25" s="1"/>
  <c r="AD417" i="25" s="1"/>
  <c r="AD418" i="25" s="1"/>
  <c r="AD419" i="25" s="1"/>
  <c r="AD420" i="25" s="1"/>
  <c r="AD421" i="25" s="1"/>
  <c r="AD422" i="25" s="1"/>
  <c r="AD423" i="25" s="1"/>
  <c r="AD424" i="25" s="1"/>
  <c r="AD425" i="25" s="1"/>
  <c r="AD426" i="25" s="1"/>
  <c r="AD427" i="25" s="1"/>
  <c r="AD428" i="25" s="1"/>
  <c r="AD429" i="25" s="1"/>
  <c r="AD430" i="25" s="1"/>
  <c r="AD431" i="25" s="1"/>
  <c r="AD432" i="25" s="1"/>
  <c r="AD433" i="25" s="1"/>
  <c r="AD434" i="25" s="1"/>
  <c r="AD435" i="25" s="1"/>
  <c r="AD436" i="25" s="1"/>
  <c r="AD437" i="25" s="1"/>
  <c r="AD438" i="25" s="1"/>
  <c r="AD439" i="25" s="1"/>
  <c r="AD440" i="25" s="1"/>
  <c r="AD441" i="25" s="1"/>
  <c r="AD442" i="25" s="1"/>
  <c r="AD443" i="25" s="1"/>
  <c r="AD444" i="25" s="1"/>
  <c r="AD445" i="25" s="1"/>
  <c r="AD446" i="25" s="1"/>
  <c r="AD447" i="25" s="1"/>
  <c r="AD448" i="25" s="1"/>
  <c r="AD449" i="25" s="1"/>
  <c r="AD450" i="25" s="1"/>
  <c r="AD451" i="25" s="1"/>
  <c r="AD452" i="25" s="1"/>
  <c r="AD453" i="25" s="1"/>
  <c r="AD454" i="25" s="1"/>
  <c r="AD455" i="25" s="1"/>
  <c r="AD456" i="25" s="1"/>
  <c r="AD457" i="25" s="1"/>
  <c r="AD458" i="25" s="1"/>
  <c r="AD459" i="25" s="1"/>
  <c r="AD460" i="25" s="1"/>
  <c r="AD461" i="25" s="1"/>
  <c r="AD462" i="25" s="1"/>
  <c r="AD463" i="25" s="1"/>
  <c r="AD464" i="25" s="1"/>
  <c r="AD465" i="25" s="1"/>
  <c r="AD466" i="25" s="1"/>
  <c r="AD467" i="25" s="1"/>
  <c r="AD468" i="25" s="1"/>
  <c r="AD469" i="25" s="1"/>
  <c r="AD470" i="25" s="1"/>
  <c r="AD471" i="25" s="1"/>
  <c r="AD472" i="25" s="1"/>
  <c r="AD473" i="25" s="1"/>
  <c r="AD474" i="25" s="1"/>
  <c r="AD475" i="25" s="1"/>
  <c r="AD476" i="25" s="1"/>
  <c r="AD477" i="25" s="1"/>
  <c r="AD478" i="25" s="1"/>
  <c r="AD479" i="25" s="1"/>
  <c r="AD480" i="25" s="1"/>
  <c r="AD481" i="25" s="1"/>
  <c r="AD482" i="25" s="1"/>
  <c r="AD483" i="25" s="1"/>
  <c r="AD484" i="25" s="1"/>
  <c r="AD485" i="25" s="1"/>
  <c r="AD486" i="25" s="1"/>
  <c r="AD487" i="25" s="1"/>
  <c r="AD488" i="25" s="1"/>
  <c r="AD489" i="25" s="1"/>
  <c r="AD490" i="25" s="1"/>
  <c r="AD491" i="25" s="1"/>
  <c r="AD492" i="25" s="1"/>
  <c r="AD493" i="25" s="1"/>
  <c r="AD494" i="25" s="1"/>
  <c r="AD495" i="25" s="1"/>
  <c r="AD496" i="25" s="1"/>
  <c r="AD497" i="25" s="1"/>
  <c r="AD498" i="25" s="1"/>
  <c r="AD499" i="25" s="1"/>
  <c r="AD500" i="25" s="1"/>
  <c r="AD501" i="25" s="1"/>
  <c r="AD502" i="25" s="1"/>
  <c r="AD503" i="25" s="1"/>
  <c r="AD504" i="25" s="1"/>
  <c r="AD505" i="25" s="1"/>
  <c r="AD506" i="25" s="1"/>
  <c r="AD507" i="25" s="1"/>
  <c r="AD508" i="25" s="1"/>
  <c r="AD509" i="25" s="1"/>
  <c r="AD510" i="25" s="1"/>
  <c r="AD511" i="25" s="1"/>
  <c r="AD512" i="25" s="1"/>
  <c r="AD513" i="25" s="1"/>
  <c r="AD514" i="25" s="1"/>
  <c r="AD515" i="25" s="1"/>
  <c r="AD516" i="25" s="1"/>
  <c r="AD517" i="25" s="1"/>
  <c r="AD518" i="25" s="1"/>
  <c r="AD519" i="25" s="1"/>
  <c r="AD520" i="25" s="1"/>
  <c r="AD521" i="25" s="1"/>
  <c r="AD522" i="25" s="1"/>
  <c r="AD523" i="25" s="1"/>
  <c r="AD524" i="25" s="1"/>
  <c r="AD525" i="25" s="1"/>
  <c r="AD526" i="25" s="1"/>
  <c r="AD527" i="25" s="1"/>
  <c r="AD528" i="25" s="1"/>
  <c r="AD529" i="25" s="1"/>
  <c r="AD530" i="25" s="1"/>
  <c r="AD531" i="25" s="1"/>
  <c r="AD532" i="25" s="1"/>
  <c r="AD533" i="25" s="1"/>
  <c r="AD534" i="25" s="1"/>
  <c r="AD535" i="25" s="1"/>
  <c r="AD536" i="25" s="1"/>
  <c r="AD537" i="25" s="1"/>
  <c r="AD538" i="25" s="1"/>
  <c r="AD539" i="25" s="1"/>
  <c r="AD540" i="25" s="1"/>
  <c r="AD541" i="25" s="1"/>
  <c r="AD542" i="25" s="1"/>
  <c r="AD543" i="25" s="1"/>
  <c r="AD544" i="25" s="1"/>
  <c r="AD545" i="25" s="1"/>
  <c r="AD546" i="25" s="1"/>
  <c r="AD547" i="25" s="1"/>
  <c r="AD548" i="25" s="1"/>
  <c r="AD549" i="25" s="1"/>
  <c r="AD550" i="25" s="1"/>
  <c r="AD551" i="25" s="1"/>
  <c r="AD552" i="25" s="1"/>
  <c r="AD553" i="25" s="1"/>
  <c r="AD554" i="25" s="1"/>
  <c r="AD555" i="25" s="1"/>
  <c r="AD556" i="25" s="1"/>
  <c r="AD557" i="25" s="1"/>
  <c r="AD558" i="25" s="1"/>
  <c r="AD559" i="25" s="1"/>
  <c r="AD560" i="25" s="1"/>
  <c r="AD561" i="25" s="1"/>
  <c r="AD562" i="25" s="1"/>
  <c r="AD563" i="25" s="1"/>
  <c r="AD564" i="25" s="1"/>
  <c r="AD565" i="25" s="1"/>
  <c r="AD566" i="25" s="1"/>
  <c r="AD567" i="25" s="1"/>
  <c r="AD568" i="25" s="1"/>
  <c r="AD569" i="25" s="1"/>
  <c r="AD570" i="25" s="1"/>
  <c r="AD571" i="25" s="1"/>
  <c r="AD572" i="25" s="1"/>
  <c r="AD573" i="25" s="1"/>
  <c r="AD574" i="25" s="1"/>
  <c r="AD575" i="25" s="1"/>
  <c r="AD576" i="25" s="1"/>
  <c r="AD577" i="25" s="1"/>
  <c r="AD578" i="25" s="1"/>
  <c r="AD579" i="25" s="1"/>
  <c r="AD580" i="25" s="1"/>
  <c r="AD581" i="25" s="1"/>
  <c r="AD582" i="25" s="1"/>
  <c r="AD583" i="25" s="1"/>
  <c r="AD584" i="25" s="1"/>
  <c r="AD585" i="25" s="1"/>
  <c r="AD586" i="25" s="1"/>
  <c r="AD587" i="25" s="1"/>
  <c r="AD588" i="25" s="1"/>
  <c r="AD589" i="25" s="1"/>
  <c r="AD590" i="25" s="1"/>
  <c r="AD591" i="25" s="1"/>
  <c r="AD592" i="25" s="1"/>
  <c r="AD593" i="25" s="1"/>
  <c r="AD594" i="25" s="1"/>
  <c r="AD595" i="25" s="1"/>
  <c r="AD596" i="25" s="1"/>
  <c r="AD597" i="25" s="1"/>
  <c r="AD598" i="25" s="1"/>
  <c r="AD599" i="25" s="1"/>
  <c r="AD600" i="25" s="1"/>
  <c r="AD601" i="25" s="1"/>
  <c r="AD602" i="25" s="1"/>
  <c r="AD603" i="25" s="1"/>
  <c r="AD604" i="25" s="1"/>
  <c r="AD605" i="25" s="1"/>
  <c r="AD606" i="25" s="1"/>
  <c r="AD607" i="25" s="1"/>
  <c r="AD608" i="25" s="1"/>
  <c r="AD609" i="25" s="1"/>
  <c r="AD610" i="25" s="1"/>
  <c r="AD611" i="25" s="1"/>
  <c r="AD612" i="25" s="1"/>
  <c r="AD613" i="25" s="1"/>
  <c r="AD614" i="25" s="1"/>
  <c r="AD615" i="25" s="1"/>
  <c r="AD616" i="25" s="1"/>
  <c r="AD617" i="25" s="1"/>
  <c r="AD618" i="25" s="1"/>
  <c r="AD619" i="25" s="1"/>
  <c r="AD620" i="25" s="1"/>
  <c r="AD621" i="25" s="1"/>
  <c r="AD622" i="25" s="1"/>
  <c r="AD623" i="25" s="1"/>
  <c r="AD624" i="25" s="1"/>
  <c r="AD625" i="25" s="1"/>
  <c r="AD626" i="25" s="1"/>
  <c r="AD627" i="25" s="1"/>
  <c r="AD628" i="25" s="1"/>
  <c r="AD629" i="25" s="1"/>
  <c r="AD630" i="25" s="1"/>
  <c r="AD631" i="25" s="1"/>
  <c r="AD632" i="25" s="1"/>
  <c r="AD633" i="25" s="1"/>
  <c r="AD634" i="25" s="1"/>
  <c r="AD635" i="25" s="1"/>
  <c r="AD636" i="25" s="1"/>
  <c r="AD637" i="25" s="1"/>
  <c r="AD638" i="25" s="1"/>
  <c r="AD639" i="25" s="1"/>
  <c r="AD640" i="25" s="1"/>
  <c r="AD641" i="25" s="1"/>
  <c r="AD642" i="25" s="1"/>
  <c r="AD643" i="25" s="1"/>
  <c r="AD644" i="25" s="1"/>
  <c r="AD645" i="25" s="1"/>
  <c r="AD646" i="25" s="1"/>
  <c r="AD647" i="25" s="1"/>
  <c r="AD648" i="25" s="1"/>
  <c r="AD649" i="25" s="1"/>
  <c r="AD650" i="25" s="1"/>
  <c r="AD651" i="25" s="1"/>
  <c r="AD652" i="25" s="1"/>
  <c r="AD653" i="25" s="1"/>
  <c r="AD654" i="25" s="1"/>
  <c r="AD655" i="25" s="1"/>
  <c r="AD656" i="25" s="1"/>
  <c r="AD657" i="25" s="1"/>
  <c r="AD658" i="25" s="1"/>
  <c r="AD659" i="25" s="1"/>
  <c r="AD660" i="25" s="1"/>
  <c r="AD661" i="25" s="1"/>
  <c r="AD662" i="25" s="1"/>
  <c r="AD663" i="25" s="1"/>
  <c r="AD664" i="25" s="1"/>
  <c r="AD665" i="25" s="1"/>
  <c r="AD666" i="25" s="1"/>
  <c r="AD667" i="25" s="1"/>
  <c r="AD668" i="25" s="1"/>
  <c r="AD669" i="25" s="1"/>
  <c r="AD670" i="25" s="1"/>
  <c r="AD671" i="25" s="1"/>
  <c r="AD672" i="25" s="1"/>
  <c r="AD673" i="25" s="1"/>
  <c r="AD674" i="25" s="1"/>
  <c r="AD675" i="25" s="1"/>
  <c r="AD676" i="25" s="1"/>
  <c r="AD677" i="25" s="1"/>
  <c r="AD678" i="25" s="1"/>
  <c r="AD679" i="25" s="1"/>
  <c r="AD680" i="25" s="1"/>
  <c r="AD681" i="25" s="1"/>
  <c r="AD682" i="25" s="1"/>
  <c r="AD683" i="25" s="1"/>
  <c r="AD684" i="25" s="1"/>
  <c r="AD685" i="25" s="1"/>
  <c r="AD686" i="25" s="1"/>
  <c r="AD687" i="25" s="1"/>
  <c r="AD688" i="25" s="1"/>
  <c r="AD689" i="25" s="1"/>
  <c r="AD690" i="25" s="1"/>
  <c r="AD691" i="25" s="1"/>
  <c r="AD692" i="25" s="1"/>
  <c r="AD693" i="25" s="1"/>
  <c r="AD694" i="25" s="1"/>
  <c r="AD695" i="25" s="1"/>
  <c r="AD696" i="25" s="1"/>
  <c r="AD697" i="25" s="1"/>
  <c r="AD698" i="25" s="1"/>
  <c r="AD699" i="25" s="1"/>
  <c r="AD700" i="25" s="1"/>
  <c r="AD701" i="25" s="1"/>
  <c r="AD702" i="25" s="1"/>
  <c r="AD703" i="25" s="1"/>
  <c r="AD704" i="25" s="1"/>
  <c r="AD705" i="25" s="1"/>
  <c r="AD706" i="25" s="1"/>
  <c r="AD707" i="25" s="1"/>
  <c r="AD708" i="25" s="1"/>
  <c r="AD709" i="25" s="1"/>
  <c r="AD710" i="25" s="1"/>
  <c r="AD711" i="25" s="1"/>
  <c r="AD712" i="25" s="1"/>
  <c r="AD713" i="25" s="1"/>
  <c r="AD714" i="25" s="1"/>
  <c r="AD715" i="25" s="1"/>
  <c r="AD716" i="25" s="1"/>
  <c r="AD717" i="25" s="1"/>
  <c r="AD718" i="25" s="1"/>
  <c r="AD719" i="25" s="1"/>
  <c r="AD720" i="25" s="1"/>
  <c r="AD721" i="25" s="1"/>
  <c r="AD722" i="25" s="1"/>
  <c r="AD723" i="25" s="1"/>
  <c r="AD724" i="25" s="1"/>
  <c r="AD725" i="25" s="1"/>
  <c r="AD726" i="25" s="1"/>
  <c r="AD727" i="25" s="1"/>
  <c r="AD728" i="25" s="1"/>
  <c r="AD729" i="25" s="1"/>
  <c r="AD730" i="25" s="1"/>
  <c r="AD731" i="25" s="1"/>
  <c r="AD732" i="25" s="1"/>
  <c r="AD733" i="25" s="1"/>
  <c r="AD734" i="25" s="1"/>
  <c r="AD735" i="25" s="1"/>
  <c r="AD736" i="25" s="1"/>
  <c r="AD737" i="25" s="1"/>
  <c r="AD738" i="25" s="1"/>
  <c r="AD739" i="25" s="1"/>
  <c r="AD740" i="25" s="1"/>
  <c r="AD741" i="25" s="1"/>
  <c r="AD742" i="25" s="1"/>
  <c r="AD743" i="25" s="1"/>
  <c r="AD744" i="25" s="1"/>
  <c r="AD745" i="25" s="1"/>
  <c r="AD746" i="25" s="1"/>
  <c r="AD747" i="25" s="1"/>
  <c r="AD748" i="25" s="1"/>
  <c r="AD749" i="25" s="1"/>
  <c r="AD750" i="25" s="1"/>
  <c r="AD751" i="25" s="1"/>
  <c r="AD752" i="25" s="1"/>
  <c r="AD753" i="25" s="1"/>
  <c r="AD754" i="25" s="1"/>
  <c r="AD755" i="25" s="1"/>
  <c r="AD756" i="25" s="1"/>
  <c r="AD757" i="25" s="1"/>
  <c r="AD758" i="25" s="1"/>
  <c r="AD759" i="25" s="1"/>
  <c r="AD760" i="25" s="1"/>
  <c r="AD761" i="25" s="1"/>
  <c r="AD762" i="25" s="1"/>
  <c r="AD763" i="25" s="1"/>
  <c r="AD764" i="25" s="1"/>
  <c r="AD765" i="25" s="1"/>
  <c r="AD766" i="25" s="1"/>
  <c r="AD767" i="25" s="1"/>
  <c r="AD768" i="25" s="1"/>
  <c r="AD769" i="25" s="1"/>
  <c r="AD770" i="25" s="1"/>
  <c r="AD771" i="25" s="1"/>
  <c r="AD772" i="25" s="1"/>
  <c r="AD773" i="25" s="1"/>
  <c r="AD774" i="25" s="1"/>
  <c r="AD775" i="25" s="1"/>
  <c r="AD776" i="25" s="1"/>
  <c r="AD777" i="25" s="1"/>
  <c r="AD778" i="25" s="1"/>
  <c r="AD779" i="25" s="1"/>
  <c r="AD780" i="25" s="1"/>
  <c r="AD781" i="25" s="1"/>
  <c r="AD782" i="25" s="1"/>
  <c r="AD783" i="25" s="1"/>
  <c r="AD784" i="25" s="1"/>
  <c r="AD785" i="25" s="1"/>
  <c r="AD786" i="25" s="1"/>
  <c r="AD787" i="25" s="1"/>
  <c r="AD788" i="25" s="1"/>
  <c r="AD789" i="25" s="1"/>
  <c r="AD790" i="25" s="1"/>
  <c r="AD791" i="25" s="1"/>
  <c r="AD792" i="25" s="1"/>
  <c r="AD793" i="25" s="1"/>
  <c r="AD794" i="25" s="1"/>
  <c r="AD795" i="25" s="1"/>
  <c r="AD796" i="25" s="1"/>
  <c r="AD797" i="25" s="1"/>
  <c r="AD798" i="25" s="1"/>
  <c r="AD799" i="25" s="1"/>
  <c r="AD800" i="25" s="1"/>
  <c r="AD801" i="25" s="1"/>
  <c r="AD802" i="25" s="1"/>
  <c r="AD803" i="25" s="1"/>
  <c r="AD804" i="25" s="1"/>
  <c r="AD805" i="25" s="1"/>
  <c r="AD806" i="25" s="1"/>
  <c r="AD807" i="25" s="1"/>
  <c r="AD808" i="25" s="1"/>
  <c r="AD809" i="25" s="1"/>
  <c r="AD810" i="25" s="1"/>
  <c r="AD811" i="25" s="1"/>
  <c r="AD812" i="25" s="1"/>
  <c r="AD813" i="25" s="1"/>
  <c r="AD814" i="25" s="1"/>
  <c r="AD815" i="25" s="1"/>
  <c r="AD816" i="25" s="1"/>
  <c r="AD817" i="25" s="1"/>
  <c r="AD818" i="25" s="1"/>
  <c r="AD819" i="25" s="1"/>
  <c r="AD820" i="25" s="1"/>
  <c r="AD821" i="25" s="1"/>
  <c r="AD822" i="25" s="1"/>
  <c r="AD823" i="25" s="1"/>
  <c r="AD824" i="25" s="1"/>
  <c r="AD825" i="25" s="1"/>
  <c r="AD826" i="25" s="1"/>
  <c r="AD827" i="25" s="1"/>
  <c r="AD828" i="25" s="1"/>
  <c r="AD829" i="25" s="1"/>
  <c r="AD830" i="25" s="1"/>
  <c r="AD831" i="25" s="1"/>
  <c r="AD832" i="25" s="1"/>
  <c r="AD833" i="25" s="1"/>
  <c r="AD834" i="25" s="1"/>
  <c r="AD835" i="25" s="1"/>
  <c r="AD836" i="25" s="1"/>
  <c r="AD837" i="25" s="1"/>
  <c r="AD838" i="25" s="1"/>
  <c r="AD839" i="25" s="1"/>
  <c r="AD840" i="25" s="1"/>
  <c r="AD841" i="25" s="1"/>
  <c r="AD842" i="25" s="1"/>
  <c r="AD843" i="25" s="1"/>
  <c r="AD844" i="25" s="1"/>
  <c r="AD845" i="25" s="1"/>
  <c r="AD846" i="25" s="1"/>
  <c r="AD847" i="25" s="1"/>
  <c r="AD848" i="25" s="1"/>
  <c r="AD849" i="25" s="1"/>
  <c r="AD850" i="25" s="1"/>
  <c r="AD851" i="25" s="1"/>
  <c r="AD852" i="25" s="1"/>
  <c r="AD853" i="25" s="1"/>
  <c r="AD854" i="25" s="1"/>
  <c r="AD855" i="25" s="1"/>
  <c r="AD856" i="25" s="1"/>
  <c r="AD857" i="25" s="1"/>
  <c r="AD858" i="25" s="1"/>
  <c r="AD859" i="25" s="1"/>
  <c r="AD860" i="25" s="1"/>
  <c r="AD861" i="25" s="1"/>
  <c r="AD862" i="25" s="1"/>
  <c r="AD863" i="25" s="1"/>
  <c r="AD864" i="25" s="1"/>
  <c r="AD865" i="25" s="1"/>
  <c r="AD866" i="25" s="1"/>
  <c r="AD867" i="25" s="1"/>
  <c r="AD868" i="25" s="1"/>
  <c r="AD869" i="25" s="1"/>
  <c r="AD870" i="25" s="1"/>
  <c r="AD871" i="25" s="1"/>
  <c r="AD872" i="25" s="1"/>
  <c r="AD873" i="25" s="1"/>
  <c r="AD874" i="25" s="1"/>
  <c r="AD875" i="25" s="1"/>
  <c r="AD876" i="25" s="1"/>
  <c r="AD877" i="25" s="1"/>
  <c r="AD878" i="25" s="1"/>
  <c r="AD879" i="25" s="1"/>
  <c r="AD880" i="25" s="1"/>
  <c r="AD881" i="25" s="1"/>
  <c r="AD882" i="25" s="1"/>
  <c r="AD883" i="25" s="1"/>
  <c r="AD884" i="25" s="1"/>
  <c r="AD885" i="25" s="1"/>
  <c r="AD886" i="25" s="1"/>
  <c r="AD887" i="25" s="1"/>
  <c r="AD888" i="25" s="1"/>
  <c r="AD889" i="25" s="1"/>
  <c r="AD890" i="25" s="1"/>
  <c r="AD891" i="25" s="1"/>
  <c r="AD892" i="25" s="1"/>
  <c r="AD893" i="25" s="1"/>
  <c r="AD894" i="25" s="1"/>
  <c r="AD895" i="25" s="1"/>
  <c r="AD896" i="25" s="1"/>
  <c r="AD897" i="25" s="1"/>
  <c r="AD898" i="25" s="1"/>
  <c r="AD899" i="25" s="1"/>
  <c r="AD900" i="25" s="1"/>
  <c r="AD901" i="25" s="1"/>
  <c r="AD902" i="25" s="1"/>
  <c r="AD903" i="25" s="1"/>
  <c r="AD904" i="25" s="1"/>
  <c r="AD905" i="25" s="1"/>
  <c r="AD906" i="25" s="1"/>
  <c r="AD907" i="25" s="1"/>
  <c r="AD908" i="25" s="1"/>
  <c r="AD909" i="25" s="1"/>
  <c r="AD910" i="25" s="1"/>
  <c r="AD911" i="25" s="1"/>
  <c r="AD912" i="25" s="1"/>
  <c r="AD913" i="25" s="1"/>
  <c r="AD914" i="25" s="1"/>
  <c r="AD915" i="25" s="1"/>
  <c r="AD916" i="25" s="1"/>
  <c r="AD917" i="25" s="1"/>
  <c r="AD918" i="25" s="1"/>
  <c r="AD919" i="25" s="1"/>
  <c r="AD920" i="25" s="1"/>
  <c r="AD921" i="25" s="1"/>
  <c r="AD922" i="25" s="1"/>
  <c r="AD923" i="25" s="1"/>
  <c r="AD924" i="25" s="1"/>
  <c r="AD925" i="25" s="1"/>
  <c r="AD926" i="25" s="1"/>
  <c r="AD927" i="25" s="1"/>
  <c r="AD928" i="25" s="1"/>
  <c r="AD929" i="25" s="1"/>
  <c r="AD930" i="25" s="1"/>
  <c r="AD931" i="25" s="1"/>
  <c r="AD932" i="25" s="1"/>
  <c r="AD933" i="25" s="1"/>
  <c r="AD934" i="25" s="1"/>
  <c r="AD935" i="25" s="1"/>
  <c r="AD936" i="25" s="1"/>
  <c r="AD937" i="25" s="1"/>
  <c r="AD938" i="25" s="1"/>
  <c r="AD939" i="25" s="1"/>
  <c r="AD940" i="25" s="1"/>
  <c r="AD941" i="25" s="1"/>
  <c r="AD942" i="25" s="1"/>
  <c r="AD943" i="25" s="1"/>
  <c r="AD944" i="25" s="1"/>
  <c r="AD945" i="25" s="1"/>
  <c r="AD946" i="25" s="1"/>
  <c r="AD947" i="25" s="1"/>
  <c r="AD948" i="25" s="1"/>
  <c r="AD949" i="25" s="1"/>
  <c r="AD950" i="25" s="1"/>
  <c r="AD951" i="25" s="1"/>
  <c r="AD952" i="25" s="1"/>
  <c r="AD953" i="25" s="1"/>
  <c r="AD954" i="25" s="1"/>
  <c r="AD955" i="25" s="1"/>
  <c r="AD956" i="25" s="1"/>
  <c r="AD957" i="25" s="1"/>
  <c r="AD958" i="25" s="1"/>
  <c r="AD959" i="25" s="1"/>
  <c r="AD960" i="25" s="1"/>
  <c r="AD961" i="25" s="1"/>
  <c r="AD962" i="25" s="1"/>
  <c r="AD963" i="25" s="1"/>
  <c r="AD964" i="25" s="1"/>
  <c r="AD965" i="25" s="1"/>
  <c r="AD966" i="25" s="1"/>
  <c r="AD967" i="25" s="1"/>
  <c r="AD968" i="25" s="1"/>
  <c r="AD969" i="25" s="1"/>
  <c r="AD970" i="25" s="1"/>
  <c r="AD971" i="25" s="1"/>
  <c r="AD972" i="25" s="1"/>
  <c r="AD973" i="25" s="1"/>
  <c r="AD974" i="25" s="1"/>
  <c r="AD975" i="25" s="1"/>
  <c r="AD976" i="25" s="1"/>
  <c r="AD977" i="25" s="1"/>
  <c r="AD978" i="25" s="1"/>
  <c r="AD979" i="25" s="1"/>
  <c r="AD980" i="25" s="1"/>
  <c r="AD981" i="25" s="1"/>
  <c r="AD982" i="25" s="1"/>
  <c r="AD983" i="25" s="1"/>
  <c r="AD984" i="25" s="1"/>
  <c r="AD985" i="25" s="1"/>
  <c r="AD986" i="25" s="1"/>
  <c r="AD987" i="25" s="1"/>
  <c r="AD988" i="25" s="1"/>
  <c r="AD989" i="25" s="1"/>
  <c r="AD990" i="25" s="1"/>
  <c r="AD991" i="25" s="1"/>
  <c r="AD992" i="25" s="1"/>
  <c r="AD993" i="25" s="1"/>
  <c r="AD994" i="25" s="1"/>
  <c r="AD995" i="25" s="1"/>
  <c r="AD996" i="25" s="1"/>
  <c r="AD997" i="25" s="1"/>
  <c r="AD998" i="25" s="1"/>
  <c r="AD999" i="25" s="1"/>
  <c r="AD1000" i="25" s="1"/>
  <c r="AD1001" i="25" s="1"/>
  <c r="AD1002" i="25" s="1"/>
  <c r="AD1003" i="25" s="1"/>
  <c r="AD1004" i="25" s="1"/>
  <c r="AD1005" i="25" s="1"/>
  <c r="AD1006" i="25" s="1"/>
  <c r="AD1007" i="25" s="1"/>
  <c r="AD1008" i="25" s="1"/>
  <c r="AD1009" i="25" s="1"/>
  <c r="AD1010" i="25" s="1"/>
  <c r="AD1011" i="25" s="1"/>
  <c r="AD1012" i="25" s="1"/>
  <c r="AD1013" i="25" s="1"/>
  <c r="AD1014" i="25" s="1"/>
  <c r="AD1015" i="25" s="1"/>
  <c r="AD1016" i="25" s="1"/>
  <c r="AD1017" i="25" s="1"/>
  <c r="AD1018" i="25" s="1"/>
  <c r="AD1019" i="25" s="1"/>
  <c r="AD1020" i="25" s="1"/>
  <c r="AD1021" i="25" s="1"/>
  <c r="AD1022" i="25" s="1"/>
  <c r="AD1023" i="25" s="1"/>
  <c r="AD1024" i="25" s="1"/>
  <c r="AD1025" i="25" s="1"/>
  <c r="AD1026" i="25" s="1"/>
  <c r="AD1027" i="25" s="1"/>
  <c r="AD1028" i="25" s="1"/>
  <c r="AD1029" i="25" s="1"/>
  <c r="AD1030" i="25" s="1"/>
  <c r="AD1031" i="25" s="1"/>
  <c r="AD1032" i="25" s="1"/>
  <c r="AD1033" i="25" s="1"/>
  <c r="AD1034" i="25" s="1"/>
  <c r="AD1035" i="25" s="1"/>
  <c r="AD1036" i="25" s="1"/>
  <c r="AD1037" i="25" s="1"/>
  <c r="AD1038" i="25" s="1"/>
  <c r="AD1039" i="25" s="1"/>
  <c r="AD1040" i="25" s="1"/>
  <c r="AD1041" i="25" s="1"/>
  <c r="AD1042" i="25" s="1"/>
  <c r="AD1043" i="25" s="1"/>
  <c r="AD1044" i="25" s="1"/>
  <c r="AD1045" i="25" s="1"/>
  <c r="AD1046" i="25" s="1"/>
  <c r="AD1047" i="25" s="1"/>
  <c r="AD1048" i="25" s="1"/>
  <c r="AD1049" i="25" s="1"/>
  <c r="AD1050" i="25" s="1"/>
  <c r="AD1051" i="25" s="1"/>
  <c r="AD1052" i="25" s="1"/>
  <c r="AD1053" i="25" s="1"/>
  <c r="AD1054" i="25" s="1"/>
  <c r="AD1055" i="25" s="1"/>
  <c r="AD1056" i="25" s="1"/>
  <c r="AD1057" i="25" s="1"/>
  <c r="AD1058" i="25" s="1"/>
  <c r="AD1059" i="25" s="1"/>
  <c r="AD1060" i="25" s="1"/>
  <c r="AD1061" i="25" s="1"/>
  <c r="AD1062" i="25" s="1"/>
  <c r="AD1063" i="25" s="1"/>
  <c r="AD1064" i="25" s="1"/>
  <c r="AD1065" i="25" s="1"/>
  <c r="AD1066" i="25" s="1"/>
  <c r="AD1067" i="25" s="1"/>
  <c r="AD1068" i="25" s="1"/>
  <c r="AD1069" i="25" s="1"/>
  <c r="AD1070" i="25" s="1"/>
  <c r="AD1071" i="25" s="1"/>
  <c r="AD1072" i="25" s="1"/>
  <c r="AD1073" i="25" s="1"/>
  <c r="AD1074" i="25" s="1"/>
  <c r="AD1075" i="25" s="1"/>
  <c r="AD1076" i="25" s="1"/>
  <c r="AD1077" i="25" s="1"/>
  <c r="AD1078" i="25" s="1"/>
  <c r="AD1079" i="25" s="1"/>
  <c r="AD1080" i="25" s="1"/>
  <c r="AD1081" i="25" s="1"/>
  <c r="AD1082" i="25" s="1"/>
  <c r="AD1083" i="25" s="1"/>
  <c r="AD1084" i="25" s="1"/>
  <c r="AD1085" i="25" s="1"/>
  <c r="AD1086" i="25" s="1"/>
  <c r="AD1087" i="25" s="1"/>
  <c r="AD1088" i="25" s="1"/>
  <c r="AD1089" i="25" s="1"/>
  <c r="AD1090" i="25" s="1"/>
  <c r="AD1091" i="25" s="1"/>
  <c r="AD1092" i="25" s="1"/>
  <c r="AD1093" i="25" s="1"/>
  <c r="AD1094" i="25" s="1"/>
  <c r="AD1095" i="25" s="1"/>
  <c r="AD1096" i="25" s="1"/>
  <c r="AD1097" i="25" s="1"/>
  <c r="AD1098" i="25" s="1"/>
  <c r="AD1099" i="25" s="1"/>
  <c r="AD1100" i="25" s="1"/>
  <c r="AD1101" i="25" s="1"/>
  <c r="AD1102" i="25" s="1"/>
  <c r="AD1103" i="25" s="1"/>
  <c r="AD1104" i="25" s="1"/>
  <c r="AD1105" i="25" s="1"/>
  <c r="AD1106" i="25" s="1"/>
  <c r="AD1107" i="25" s="1"/>
  <c r="AD1108" i="25" s="1"/>
  <c r="AD1109" i="25" s="1"/>
  <c r="AD1110" i="25" s="1"/>
  <c r="AD1111" i="25" s="1"/>
  <c r="AD1112" i="25" s="1"/>
  <c r="AD1113" i="25" s="1"/>
  <c r="AD1114" i="25" s="1"/>
  <c r="AD1115" i="25" s="1"/>
  <c r="AD1116" i="25" s="1"/>
  <c r="AD1117" i="25" s="1"/>
  <c r="AD1118" i="25" s="1"/>
  <c r="AD1119" i="25" s="1"/>
  <c r="AD1120" i="25" s="1"/>
  <c r="AD1121" i="25" s="1"/>
  <c r="AD1122" i="25" s="1"/>
  <c r="AD1123" i="25" s="1"/>
  <c r="AD1124" i="25" s="1"/>
  <c r="AD1125" i="25" s="1"/>
  <c r="AD1126" i="25" s="1"/>
  <c r="AD1127" i="25" s="1"/>
  <c r="AD1128" i="25" s="1"/>
  <c r="AD1129" i="25" s="1"/>
  <c r="AD1130" i="25" s="1"/>
  <c r="AD1131" i="25" s="1"/>
  <c r="AD1132" i="25" s="1"/>
  <c r="AD1133" i="25" s="1"/>
  <c r="AD1134" i="25" s="1"/>
  <c r="AD1135" i="25" s="1"/>
  <c r="AD1136" i="25" s="1"/>
  <c r="AD1137" i="25" s="1"/>
  <c r="AD1138" i="25" s="1"/>
  <c r="AD1139" i="25" s="1"/>
  <c r="AD1140" i="25" s="1"/>
  <c r="AD1141" i="25" s="1"/>
  <c r="AD1142" i="25" s="1"/>
  <c r="AD1143" i="25" s="1"/>
  <c r="AD1144" i="25" s="1"/>
  <c r="AD1145" i="25" s="1"/>
  <c r="AD1146" i="25" s="1"/>
  <c r="AD1147" i="25" s="1"/>
  <c r="AD1148" i="25" s="1"/>
  <c r="AD1149" i="25" s="1"/>
  <c r="AD1150" i="25" s="1"/>
  <c r="AD1151" i="25" s="1"/>
  <c r="AD1152" i="25" s="1"/>
  <c r="AD1153" i="25" s="1"/>
  <c r="AD1154" i="25" s="1"/>
  <c r="AD1155" i="25" s="1"/>
  <c r="AD1156" i="25" s="1"/>
  <c r="AD1157" i="25" s="1"/>
  <c r="AD1158" i="25" s="1"/>
  <c r="AD1159" i="25" s="1"/>
  <c r="AD1160" i="25" s="1"/>
  <c r="AD1161" i="25" s="1"/>
  <c r="AD1162" i="25" s="1"/>
  <c r="AD1163" i="25" s="1"/>
  <c r="AD1164" i="25" s="1"/>
  <c r="AD1165" i="25" s="1"/>
  <c r="AD1166" i="25" s="1"/>
  <c r="AD1167" i="25" s="1"/>
  <c r="AD1168" i="25" s="1"/>
  <c r="AD1169" i="25" s="1"/>
  <c r="AD1170" i="25" s="1"/>
  <c r="AD1171" i="25" s="1"/>
  <c r="AD1172" i="25" s="1"/>
  <c r="AD1173" i="25" s="1"/>
  <c r="AD1174" i="25" s="1"/>
  <c r="AD1175" i="25" s="1"/>
  <c r="AD1176" i="25" s="1"/>
  <c r="AD1177" i="25" s="1"/>
  <c r="AD1178" i="25" s="1"/>
  <c r="AD1179" i="25" s="1"/>
  <c r="AD1180" i="25" s="1"/>
  <c r="AD1181" i="25" s="1"/>
  <c r="AD1182" i="25" s="1"/>
  <c r="AD1183" i="25" s="1"/>
  <c r="AD1184" i="25" s="1"/>
  <c r="AD1185" i="25" s="1"/>
  <c r="AD1186" i="25" s="1"/>
  <c r="AD1187" i="25" s="1"/>
  <c r="AD1188" i="25" s="1"/>
  <c r="AD1189" i="25" s="1"/>
  <c r="AD1190" i="25" s="1"/>
  <c r="AD1191" i="25" s="1"/>
  <c r="AD1192" i="25" s="1"/>
  <c r="AD1193" i="25" s="1"/>
  <c r="AD1194" i="25" s="1"/>
  <c r="AD1195" i="25" s="1"/>
  <c r="AD1196" i="25" s="1"/>
  <c r="AD1197" i="25" s="1"/>
  <c r="AD1198" i="25" s="1"/>
  <c r="AD1199" i="25" s="1"/>
  <c r="AD1200" i="25" s="1"/>
  <c r="AD1201" i="25" s="1"/>
  <c r="AD1202" i="25" s="1"/>
  <c r="AD1203" i="25" s="1"/>
  <c r="AD1204" i="25" s="1"/>
  <c r="AD1205" i="25" s="1"/>
  <c r="AD1206" i="25" s="1"/>
  <c r="AD1207" i="25" s="1"/>
  <c r="AD1208" i="25" s="1"/>
  <c r="AD1209" i="25" s="1"/>
  <c r="AD1210" i="25" s="1"/>
  <c r="AD1211" i="25" s="1"/>
  <c r="AD1212" i="25" s="1"/>
  <c r="AD1213" i="25" s="1"/>
  <c r="AD1214" i="25" s="1"/>
  <c r="AD1215" i="25" s="1"/>
  <c r="AD1216" i="25" s="1"/>
  <c r="AD1217" i="25" s="1"/>
  <c r="AD1218" i="25" s="1"/>
  <c r="AD1219" i="25" s="1"/>
  <c r="AD1220" i="25" s="1"/>
  <c r="AD1221" i="25" s="1"/>
  <c r="AD1222" i="25" s="1"/>
  <c r="AD1223" i="25" s="1"/>
  <c r="AD1224" i="25" s="1"/>
  <c r="AD1225" i="25" s="1"/>
  <c r="AD1226" i="25" s="1"/>
  <c r="AD1227" i="25" s="1"/>
  <c r="AD1228" i="25" s="1"/>
  <c r="AD1229" i="25" s="1"/>
  <c r="AD1230" i="25" s="1"/>
  <c r="AD1231" i="25" s="1"/>
  <c r="AD1232" i="25" s="1"/>
  <c r="AD1233" i="25" s="1"/>
  <c r="AD1234" i="25" s="1"/>
  <c r="AD1235" i="25" s="1"/>
  <c r="AD1236" i="25" s="1"/>
  <c r="AD1237" i="25" s="1"/>
  <c r="AD1238" i="25" s="1"/>
  <c r="AD1239" i="25" s="1"/>
  <c r="AD1240" i="25" s="1"/>
  <c r="AD1241" i="25" s="1"/>
  <c r="AD1242" i="25" s="1"/>
  <c r="AD1243" i="25" s="1"/>
  <c r="AD1244" i="25" s="1"/>
  <c r="AD1245" i="25" s="1"/>
  <c r="AD1246" i="25" s="1"/>
  <c r="AD1247" i="25" s="1"/>
  <c r="AD1248" i="25" s="1"/>
  <c r="AD1249" i="25" s="1"/>
  <c r="AD1250" i="25" s="1"/>
  <c r="AD1251" i="25" s="1"/>
  <c r="AD1252" i="25" s="1"/>
  <c r="AD1253" i="25" s="1"/>
  <c r="AD1254" i="25" s="1"/>
  <c r="AD1255" i="25" s="1"/>
  <c r="AD1256" i="25" s="1"/>
  <c r="AD1257" i="25" s="1"/>
  <c r="AD1258" i="25" s="1"/>
  <c r="AD1259" i="25" s="1"/>
  <c r="AD1260" i="25" s="1"/>
  <c r="AD1261" i="25" s="1"/>
  <c r="AD1262" i="25" s="1"/>
  <c r="AD1263" i="25" s="1"/>
  <c r="AD1264" i="25" s="1"/>
  <c r="AD1265" i="25" s="1"/>
  <c r="AD1266" i="25" s="1"/>
  <c r="AD1267" i="25" s="1"/>
  <c r="AD1268" i="25" s="1"/>
  <c r="AD1269" i="25" s="1"/>
  <c r="AD1270" i="25" s="1"/>
  <c r="AD1271" i="25" s="1"/>
  <c r="AD1272" i="25" s="1"/>
  <c r="AD1273" i="25" s="1"/>
  <c r="AD1274" i="25" s="1"/>
  <c r="AD1275" i="25" s="1"/>
  <c r="AD1276" i="25" s="1"/>
  <c r="AD1277" i="25" s="1"/>
  <c r="AD1278" i="25" s="1"/>
  <c r="AD1279" i="25" s="1"/>
  <c r="AD1280" i="25" s="1"/>
  <c r="AD1281" i="25" s="1"/>
  <c r="AD1282" i="25" s="1"/>
  <c r="AD1283" i="25" s="1"/>
  <c r="AD1284" i="25" s="1"/>
  <c r="AD1285" i="25" s="1"/>
  <c r="AD1286" i="25" s="1"/>
  <c r="AD1287" i="25" s="1"/>
  <c r="AD1288" i="25" s="1"/>
  <c r="AD1289" i="25" s="1"/>
  <c r="AD1290" i="25" s="1"/>
  <c r="AD1291" i="25" s="1"/>
  <c r="AD1292" i="25" s="1"/>
  <c r="AD1293" i="25" s="1"/>
  <c r="AD1294" i="25" s="1"/>
  <c r="AD1295" i="25" s="1"/>
  <c r="AD1296" i="25" s="1"/>
  <c r="AD1297" i="25" s="1"/>
  <c r="AD1298" i="25" s="1"/>
  <c r="AD1299" i="25" s="1"/>
  <c r="AD1300" i="25" s="1"/>
  <c r="AD1301" i="25" s="1"/>
  <c r="AD1302" i="25" s="1"/>
  <c r="AD1303" i="25" s="1"/>
  <c r="AD1304" i="25" s="1"/>
  <c r="AD1305" i="25" s="1"/>
  <c r="AD1306" i="25" s="1"/>
  <c r="AD1307" i="25" s="1"/>
  <c r="AD1308" i="25" s="1"/>
  <c r="AD1309" i="25" s="1"/>
  <c r="AD1310" i="25" s="1"/>
  <c r="AD1311" i="25" s="1"/>
  <c r="AD1312" i="25" s="1"/>
  <c r="AD1313" i="25" s="1"/>
  <c r="AD1314" i="25" s="1"/>
  <c r="AD1315" i="25" s="1"/>
  <c r="AD1316" i="25" s="1"/>
  <c r="AD1317" i="25" s="1"/>
  <c r="AD1318" i="25" s="1"/>
  <c r="AD1319" i="25" s="1"/>
  <c r="AD1320" i="25" s="1"/>
  <c r="AD1321" i="25" s="1"/>
  <c r="AD1322" i="25" s="1"/>
  <c r="AD1323" i="25" s="1"/>
  <c r="AD1324" i="25" s="1"/>
  <c r="AD1325" i="25" s="1"/>
  <c r="AD1326" i="25" s="1"/>
  <c r="AD1327" i="25" s="1"/>
  <c r="AD1328" i="25" s="1"/>
  <c r="AD1329" i="25" s="1"/>
  <c r="AD1330" i="25" s="1"/>
  <c r="AD1331" i="25" s="1"/>
  <c r="AD1332" i="25" s="1"/>
  <c r="AD1333" i="25" s="1"/>
  <c r="AD1334" i="25" s="1"/>
  <c r="AD1335" i="25" s="1"/>
  <c r="AD1336" i="25" s="1"/>
  <c r="AD1337" i="25" s="1"/>
  <c r="AD1338" i="25" s="1"/>
  <c r="AD1339" i="25" s="1"/>
  <c r="AD1340" i="25" s="1"/>
  <c r="AD1341" i="25" s="1"/>
  <c r="AD1342" i="25" s="1"/>
  <c r="AD1343" i="25" s="1"/>
  <c r="AD1344" i="25" s="1"/>
  <c r="AD1345" i="25" s="1"/>
  <c r="AD1346" i="25" s="1"/>
  <c r="AD1347" i="25" s="1"/>
  <c r="AD1348" i="25" s="1"/>
  <c r="AD1349" i="25" s="1"/>
  <c r="AD1350" i="25" s="1"/>
  <c r="AD1351" i="25" s="1"/>
  <c r="AD1352" i="25" s="1"/>
  <c r="AD1353" i="25" s="1"/>
  <c r="AD1354" i="25" s="1"/>
  <c r="AD1355" i="25" s="1"/>
  <c r="AD1356" i="25" s="1"/>
  <c r="AD1357" i="25" s="1"/>
  <c r="AD1358" i="25" s="1"/>
  <c r="AD1359" i="25" s="1"/>
  <c r="AD1360" i="25" s="1"/>
  <c r="AD1361" i="25" s="1"/>
  <c r="AD1362" i="25" s="1"/>
  <c r="AD1363" i="25" s="1"/>
  <c r="AD1364" i="25" s="1"/>
  <c r="AD1365" i="25" s="1"/>
  <c r="AD1366" i="25" s="1"/>
  <c r="AD1367" i="25" s="1"/>
  <c r="AD1368" i="25" s="1"/>
  <c r="AD1369" i="25" s="1"/>
  <c r="AD1370" i="25" s="1"/>
  <c r="AD1371" i="25" s="1"/>
  <c r="AD1372" i="25" s="1"/>
  <c r="AD1373" i="25" s="1"/>
  <c r="AD1374" i="25" s="1"/>
  <c r="AD1375" i="25" s="1"/>
  <c r="AD1376" i="25" s="1"/>
  <c r="AD1377" i="25" s="1"/>
  <c r="AD1378" i="25" s="1"/>
  <c r="AD1379" i="25" s="1"/>
  <c r="AD1380" i="25" s="1"/>
  <c r="AD1381" i="25" s="1"/>
  <c r="AD1382" i="25" s="1"/>
  <c r="AD1383" i="25" s="1"/>
  <c r="AD1384" i="25" s="1"/>
  <c r="AD1385" i="25" s="1"/>
  <c r="AD1386" i="25" s="1"/>
  <c r="AD1387" i="25" s="1"/>
  <c r="AD1388" i="25" s="1"/>
  <c r="AD1389" i="25" s="1"/>
  <c r="AD1390" i="25" s="1"/>
  <c r="AD1391" i="25" s="1"/>
  <c r="AD1392" i="25" s="1"/>
  <c r="AD1393" i="25" s="1"/>
  <c r="AD1394" i="25" s="1"/>
  <c r="AD1395" i="25" s="1"/>
  <c r="AD1396" i="25" s="1"/>
  <c r="AD1397" i="25" s="1"/>
  <c r="AD1398" i="25" s="1"/>
  <c r="AD1399" i="25" s="1"/>
  <c r="AD1400" i="25" s="1"/>
  <c r="AD1401" i="25" s="1"/>
  <c r="AD1402" i="25" s="1"/>
  <c r="AD1403" i="25" s="1"/>
  <c r="AD1404" i="25" s="1"/>
  <c r="AD1405" i="25" s="1"/>
  <c r="AD1406" i="25" s="1"/>
  <c r="AD1407" i="25" s="1"/>
  <c r="AD1408" i="25" s="1"/>
  <c r="AD1409" i="25" s="1"/>
  <c r="AD1410" i="25" s="1"/>
  <c r="AD1411" i="25" s="1"/>
  <c r="AD1412" i="25" s="1"/>
  <c r="AD1413" i="25" s="1"/>
  <c r="AD1414" i="25" s="1"/>
  <c r="AD1415" i="25" s="1"/>
  <c r="AD1416" i="25" s="1"/>
  <c r="AD1417" i="25" s="1"/>
  <c r="AD1418" i="25" s="1"/>
  <c r="AD1419" i="25" s="1"/>
  <c r="AD1420" i="25" s="1"/>
  <c r="AD1421" i="25" s="1"/>
  <c r="AD1422" i="25" s="1"/>
  <c r="AD1423" i="25" s="1"/>
  <c r="AD1424" i="25" s="1"/>
  <c r="AD1425" i="25" s="1"/>
  <c r="AD1426" i="25" s="1"/>
  <c r="AD1427" i="25" s="1"/>
  <c r="AD1428" i="25" s="1"/>
  <c r="AD1429" i="25" s="1"/>
  <c r="AD1430" i="25" s="1"/>
  <c r="AD1431" i="25" s="1"/>
  <c r="AD1432" i="25" s="1"/>
  <c r="AD1433" i="25" s="1"/>
  <c r="AD1434" i="25" s="1"/>
  <c r="AD1435" i="25" s="1"/>
  <c r="AD1436" i="25" s="1"/>
  <c r="AD1437" i="25" s="1"/>
  <c r="AD1438" i="25" s="1"/>
  <c r="AD1439" i="25" s="1"/>
  <c r="AD1440" i="25" s="1"/>
  <c r="AD1441" i="25" s="1"/>
  <c r="AD1442" i="25" s="1"/>
  <c r="AD1443" i="25" s="1"/>
  <c r="AD1444" i="25" s="1"/>
  <c r="AD1445" i="25" s="1"/>
  <c r="AD1446" i="25" s="1"/>
  <c r="AD1447" i="25" s="1"/>
  <c r="AD1448" i="25" s="1"/>
  <c r="AD1449" i="25" s="1"/>
  <c r="AD1450" i="25" s="1"/>
  <c r="N17" i="25" s="1"/>
  <c r="AB43" i="22"/>
  <c r="AA40" i="22"/>
  <c r="AB27" i="22"/>
  <c r="AA24" i="22"/>
  <c r="AA7" i="22"/>
  <c r="AB10" i="22"/>
  <c r="AD1451" i="25" l="1"/>
  <c r="AD1452" i="25" s="1"/>
  <c r="AD1453" i="25" s="1"/>
  <c r="AD1454" i="25" s="1"/>
  <c r="AD1455" i="25" s="1"/>
  <c r="AD1456" i="25" s="1"/>
  <c r="AD1457" i="25" s="1"/>
  <c r="AD1458" i="25" s="1"/>
  <c r="AD1459" i="25" s="1"/>
  <c r="AD1460" i="25" s="1"/>
  <c r="AD1461" i="25" s="1"/>
  <c r="AD1462" i="25" s="1"/>
  <c r="AD1463" i="25" s="1"/>
  <c r="AD1464" i="25" s="1"/>
  <c r="AD1465" i="25" s="1"/>
  <c r="AD1466" i="25" s="1"/>
  <c r="AD1467" i="25" s="1"/>
  <c r="AD1468" i="25" s="1"/>
  <c r="AD1469" i="25" s="1"/>
  <c r="AD1470" i="25" s="1"/>
  <c r="AD1471" i="25" s="1"/>
  <c r="AD1472" i="25" s="1"/>
  <c r="AD1473" i="25" s="1"/>
  <c r="AD1474" i="25" s="1"/>
  <c r="AD1475" i="25" s="1"/>
  <c r="AD1476" i="25" s="1"/>
  <c r="AD1477" i="25" s="1"/>
  <c r="AD1478" i="25" s="1"/>
  <c r="AD1479" i="25" s="1"/>
  <c r="AD1480" i="25" s="1"/>
  <c r="AD1481" i="25" s="1"/>
  <c r="AD1482" i="25" s="1"/>
  <c r="AD1483" i="25" s="1"/>
  <c r="AD1484" i="25" s="1"/>
  <c r="AD1485" i="25" s="1"/>
  <c r="AD1486" i="25" s="1"/>
  <c r="AD1487" i="25" s="1"/>
  <c r="AD1488" i="25" s="1"/>
  <c r="AD1489" i="25" s="1"/>
  <c r="AD1490" i="25" s="1"/>
  <c r="AD1491" i="25" s="1"/>
  <c r="AD1492" i="25" s="1"/>
  <c r="AD1493" i="25" s="1"/>
  <c r="AD1494" i="25" s="1"/>
  <c r="AD1495" i="25" s="1"/>
  <c r="AD1496" i="25" s="1"/>
  <c r="AD1497" i="25" s="1"/>
  <c r="AD1498" i="25" s="1"/>
  <c r="AD1499" i="25" s="1"/>
  <c r="AD1500" i="25" s="1"/>
  <c r="AD1501" i="25" s="1"/>
  <c r="AD1502" i="25" s="1"/>
  <c r="AD1503" i="25" s="1"/>
  <c r="AD1504" i="25" s="1"/>
  <c r="AD1505" i="25" s="1"/>
  <c r="AD1506" i="25" s="1"/>
  <c r="AD1507" i="25" s="1"/>
  <c r="AD1508" i="25" s="1"/>
  <c r="AD1509" i="25" s="1"/>
  <c r="AD1510" i="25" s="1"/>
  <c r="AD1511" i="25" s="1"/>
  <c r="AD1512" i="25" s="1"/>
  <c r="AD1513" i="25" s="1"/>
  <c r="AD1514" i="25" s="1"/>
  <c r="AD1515" i="25" s="1"/>
  <c r="AD1516" i="25" s="1"/>
  <c r="AD1517" i="25" s="1"/>
  <c r="AD1518" i="25" s="1"/>
  <c r="AD1519" i="25" s="1"/>
  <c r="AD1520" i="25" s="1"/>
  <c r="AD1521" i="25" s="1"/>
  <c r="AD1522" i="25" s="1"/>
  <c r="AD1523" i="25" s="1"/>
  <c r="AD1524" i="25" s="1"/>
  <c r="AD1525" i="25" s="1"/>
  <c r="AD1526" i="25" s="1"/>
  <c r="AD1527" i="25" s="1"/>
  <c r="AD1528" i="25" s="1"/>
  <c r="AD1529" i="25" s="1"/>
  <c r="AD1530" i="25" s="1"/>
  <c r="AD1531" i="25" s="1"/>
  <c r="AD1532" i="25" s="1"/>
  <c r="AD1533" i="25" s="1"/>
  <c r="AD1534" i="25" s="1"/>
  <c r="AD1535" i="25" s="1"/>
  <c r="AD1536" i="25" s="1"/>
  <c r="AD1537" i="25" s="1"/>
  <c r="AD1538" i="25" s="1"/>
  <c r="AD1539" i="25" s="1"/>
  <c r="AD1540" i="25" s="1"/>
  <c r="AD1541" i="25" s="1"/>
  <c r="AD1542" i="25" s="1"/>
  <c r="AD1543" i="25" s="1"/>
  <c r="AD1544" i="25" s="1"/>
  <c r="AD1545" i="25" s="1"/>
  <c r="AD1546" i="25" s="1"/>
  <c r="AD1547" i="25" s="1"/>
  <c r="AD1548" i="25" s="1"/>
  <c r="AD1549" i="25" s="1"/>
  <c r="AD1550" i="25" s="1"/>
  <c r="AD1551" i="25" s="1"/>
  <c r="AD1552" i="25" s="1"/>
  <c r="AD1553" i="25" s="1"/>
  <c r="AD1554" i="25" s="1"/>
  <c r="AD1555" i="25" s="1"/>
  <c r="AD1556" i="25" s="1"/>
  <c r="AD1557" i="25" s="1"/>
  <c r="AD1558" i="25" s="1"/>
  <c r="AD1559" i="25" s="1"/>
  <c r="AD1560" i="25" s="1"/>
  <c r="AD1561" i="25" s="1"/>
  <c r="AD1562" i="25" s="1"/>
  <c r="AD1563" i="25" s="1"/>
  <c r="AD1564" i="25" s="1"/>
  <c r="AD1565" i="25" s="1"/>
  <c r="AD1566" i="25" s="1"/>
  <c r="AD1567" i="25" s="1"/>
  <c r="AD1568" i="25" s="1"/>
  <c r="AD1569" i="25" s="1"/>
  <c r="AD1570" i="25" s="1"/>
  <c r="AD1571" i="25" s="1"/>
  <c r="AD1572" i="25" s="1"/>
  <c r="AD1573" i="25" s="1"/>
  <c r="AD1574" i="25" s="1"/>
  <c r="AD1575" i="25" s="1"/>
  <c r="AD1576" i="25" s="1"/>
  <c r="AD1577" i="25" s="1"/>
  <c r="AD1578" i="25" s="1"/>
  <c r="AD1579" i="25" s="1"/>
  <c r="AD1580" i="25" s="1"/>
  <c r="AD1581" i="25" s="1"/>
  <c r="AD1582" i="25" s="1"/>
  <c r="AD1583" i="25" s="1"/>
  <c r="AD1584" i="25" s="1"/>
  <c r="AD1585" i="25" s="1"/>
  <c r="AD1586" i="25" s="1"/>
  <c r="AD1587" i="25" s="1"/>
  <c r="AD1588" i="25" s="1"/>
  <c r="AD1589" i="25" s="1"/>
  <c r="AD1590" i="25" s="1"/>
  <c r="AD1591" i="25" s="1"/>
  <c r="AD1592" i="25" s="1"/>
  <c r="AD1593" i="25" s="1"/>
  <c r="AD1594" i="25" s="1"/>
  <c r="AD1595" i="25" s="1"/>
  <c r="AD1596" i="25" s="1"/>
  <c r="AD1597" i="25" s="1"/>
  <c r="AD1598" i="25" s="1"/>
  <c r="AD1599" i="25" s="1"/>
  <c r="AD1600" i="25" s="1"/>
  <c r="AD1601" i="25" s="1"/>
  <c r="AD1602" i="25" s="1"/>
  <c r="AD1603" i="25" s="1"/>
  <c r="AD1604" i="25" s="1"/>
  <c r="AD1605" i="25" s="1"/>
  <c r="AD1606" i="25" s="1"/>
  <c r="AD1607" i="25" s="1"/>
  <c r="AD1608" i="25" s="1"/>
  <c r="AD1609" i="25" s="1"/>
  <c r="AD1610" i="25" s="1"/>
  <c r="AD1611" i="25" s="1"/>
  <c r="AD1612" i="25" s="1"/>
  <c r="AD1613" i="25" s="1"/>
  <c r="AD1614" i="25" s="1"/>
  <c r="AD1615" i="25" s="1"/>
  <c r="AD1616" i="25" s="1"/>
  <c r="AD1617" i="25" s="1"/>
  <c r="AD1618" i="25" s="1"/>
  <c r="AD1619" i="25" s="1"/>
  <c r="AD1620" i="25" s="1"/>
  <c r="AD1621" i="25" s="1"/>
  <c r="AD1622" i="25" s="1"/>
  <c r="AD1623" i="25" s="1"/>
  <c r="AD1624" i="25" s="1"/>
  <c r="AD1625" i="25" s="1"/>
  <c r="AD1626" i="25" s="1"/>
  <c r="AD1627" i="25" s="1"/>
  <c r="AD1628" i="25" s="1"/>
  <c r="AD1629" i="25" s="1"/>
  <c r="AD1630" i="25" s="1"/>
  <c r="AD1631" i="25" s="1"/>
  <c r="AD1632" i="25" s="1"/>
  <c r="AD1633" i="25" s="1"/>
  <c r="AD1634" i="25" s="1"/>
  <c r="AD1635" i="25" s="1"/>
  <c r="AD1636" i="25" s="1"/>
  <c r="AD1637" i="25" s="1"/>
  <c r="AD1638" i="25" s="1"/>
  <c r="AD1639" i="25" s="1"/>
  <c r="AD1640" i="25" s="1"/>
  <c r="AD1641" i="25" s="1"/>
  <c r="AD1642" i="25" s="1"/>
  <c r="AD1643" i="25" s="1"/>
  <c r="AD1644" i="25" s="1"/>
  <c r="AD1645" i="25" s="1"/>
  <c r="AD1646" i="25" s="1"/>
  <c r="AD1647" i="25" s="1"/>
  <c r="AD1648" i="25" s="1"/>
  <c r="AD1649" i="25" s="1"/>
  <c r="AD1650" i="25" s="1"/>
  <c r="AD1651" i="25" s="1"/>
  <c r="AD1652" i="25" s="1"/>
  <c r="AD1653" i="25" s="1"/>
  <c r="AD1654" i="25" s="1"/>
  <c r="AD1655" i="25" s="1"/>
  <c r="AD1656" i="25" s="1"/>
  <c r="AD1657" i="25" s="1"/>
  <c r="AD1658" i="25" s="1"/>
  <c r="AD1659" i="25" s="1"/>
  <c r="AD1660" i="25" s="1"/>
  <c r="AD1661" i="25" s="1"/>
  <c r="AD1662" i="25" s="1"/>
  <c r="AD1663" i="25" s="1"/>
  <c r="AD1664" i="25" s="1"/>
  <c r="AD1665" i="25" s="1"/>
  <c r="AD1666" i="25" s="1"/>
  <c r="AD1667" i="25" s="1"/>
  <c r="AD1668" i="25" s="1"/>
  <c r="AD1669" i="25" s="1"/>
  <c r="AD1670" i="25" s="1"/>
  <c r="AD1671" i="25" s="1"/>
  <c r="AD1672" i="25" s="1"/>
  <c r="AD1673" i="25" s="1"/>
  <c r="AD1674" i="25" s="1"/>
  <c r="AD1675" i="25" s="1"/>
  <c r="AD1676" i="25" s="1"/>
  <c r="AD1677" i="25" s="1"/>
  <c r="AD1678" i="25" s="1"/>
  <c r="AD1679" i="25" s="1"/>
  <c r="AD1680" i="25" s="1"/>
  <c r="AD1681" i="25" s="1"/>
  <c r="AD1682" i="25" s="1"/>
  <c r="AD1683" i="25" s="1"/>
  <c r="AD1684" i="25" s="1"/>
  <c r="AD1685" i="25" s="1"/>
  <c r="AD1686" i="25" s="1"/>
  <c r="AD1687" i="25" s="1"/>
  <c r="AD1688" i="25" s="1"/>
  <c r="AD1689" i="25" s="1"/>
  <c r="AD1690" i="25" s="1"/>
  <c r="AD1691" i="25" s="1"/>
  <c r="AD1692" i="25" s="1"/>
  <c r="AD1693" i="25" s="1"/>
  <c r="AD1694" i="25" s="1"/>
  <c r="AD1695" i="25" s="1"/>
  <c r="AD1696" i="25" s="1"/>
  <c r="AD1697" i="25" s="1"/>
  <c r="AD1698" i="25" s="1"/>
  <c r="AD1699" i="25" s="1"/>
  <c r="AD1700" i="25" s="1"/>
  <c r="AD1701" i="25" s="1"/>
  <c r="AD1702" i="25" s="1"/>
  <c r="AD1703" i="25" s="1"/>
  <c r="AD1704" i="25" s="1"/>
  <c r="AD1705" i="25" s="1"/>
  <c r="AD1706" i="25" s="1"/>
  <c r="AD1707" i="25" s="1"/>
  <c r="AD1708" i="25" s="1"/>
  <c r="AD1709" i="25" s="1"/>
  <c r="AD1710" i="25" s="1"/>
  <c r="AD1711" i="25" s="1"/>
  <c r="AD1712" i="25" s="1"/>
  <c r="AD1713" i="25" s="1"/>
  <c r="AD1714" i="25" s="1"/>
  <c r="AD1715" i="25" s="1"/>
  <c r="AD1716" i="25" s="1"/>
  <c r="AD1717" i="25" s="1"/>
  <c r="AD1718" i="25" s="1"/>
  <c r="AD1719" i="25" s="1"/>
  <c r="AD1720" i="25" s="1"/>
  <c r="AD1721" i="25" s="1"/>
  <c r="AD1722" i="25" s="1"/>
  <c r="AD1723" i="25" s="1"/>
  <c r="AD1724" i="25" s="1"/>
  <c r="AD1725" i="25" s="1"/>
  <c r="AD1726" i="25" s="1"/>
  <c r="AD1727" i="25" s="1"/>
  <c r="AD1728" i="25" s="1"/>
  <c r="AD1729" i="25" s="1"/>
  <c r="AD1730" i="25" s="1"/>
  <c r="AD1731" i="25" s="1"/>
  <c r="AD1732" i="25" s="1"/>
  <c r="AD1733" i="25" s="1"/>
  <c r="AD1734" i="25" s="1"/>
  <c r="AD1735" i="25" s="1"/>
  <c r="AD1736" i="25" s="1"/>
  <c r="AD1737" i="25" s="1"/>
  <c r="AD1738" i="25" s="1"/>
  <c r="AD1739" i="25" s="1"/>
  <c r="AD1740" i="25" s="1"/>
  <c r="AD1741" i="25" s="1"/>
  <c r="AD1742" i="25" s="1"/>
  <c r="AD1743" i="25" s="1"/>
  <c r="AD1744" i="25" s="1"/>
  <c r="AD1745" i="25" s="1"/>
  <c r="AD1746" i="25" s="1"/>
  <c r="AD1747" i="25" s="1"/>
  <c r="AD1748" i="25" s="1"/>
  <c r="AD1749" i="25" s="1"/>
  <c r="AD1750" i="25" s="1"/>
  <c r="AD1751" i="25" s="1"/>
  <c r="AD1752" i="25" s="1"/>
  <c r="AD1753" i="25" s="1"/>
  <c r="AD1754" i="25" s="1"/>
  <c r="AD1755" i="25" s="1"/>
  <c r="AD1756" i="25" s="1"/>
  <c r="AD1757" i="25" s="1"/>
  <c r="AD1758" i="25" s="1"/>
  <c r="AD1759" i="25" s="1"/>
  <c r="AD1760" i="25" s="1"/>
  <c r="AD1761" i="25" s="1"/>
  <c r="AD1762" i="25" s="1"/>
  <c r="AD1763" i="25" s="1"/>
  <c r="AD1764" i="25" s="1"/>
  <c r="AD1765" i="25" s="1"/>
  <c r="AD1766" i="25" s="1"/>
  <c r="AD1767" i="25" s="1"/>
  <c r="AD1768" i="25" s="1"/>
  <c r="AD1769" i="25" s="1"/>
  <c r="AD1770" i="25" s="1"/>
  <c r="AD1771" i="25" s="1"/>
  <c r="AD1772" i="25" s="1"/>
  <c r="AD1773" i="25" s="1"/>
  <c r="AD1774" i="25" s="1"/>
  <c r="AD1775" i="25" s="1"/>
  <c r="AD1776" i="25" s="1"/>
  <c r="AD1777" i="25" s="1"/>
  <c r="AD1778" i="25" s="1"/>
  <c r="AD1779" i="25" s="1"/>
  <c r="AD1780" i="25" s="1"/>
  <c r="AD1781" i="25" s="1"/>
  <c r="AD1782" i="25" s="1"/>
  <c r="AD1783" i="25" s="1"/>
  <c r="AD1784" i="25" s="1"/>
  <c r="AD1785" i="25" s="1"/>
  <c r="AD1786" i="25" s="1"/>
  <c r="AD1787" i="25" s="1"/>
  <c r="AD1788" i="25" s="1"/>
  <c r="AD1789" i="25" s="1"/>
  <c r="AD1790" i="25" s="1"/>
  <c r="AD1791" i="25" s="1"/>
  <c r="AD1792" i="25" s="1"/>
  <c r="AD1793" i="25" s="1"/>
  <c r="AD1794" i="25" s="1"/>
  <c r="AD1795" i="25" s="1"/>
  <c r="AD1796" i="25" s="1"/>
  <c r="AD1797" i="25" s="1"/>
  <c r="AD1798" i="25" s="1"/>
  <c r="AD1799" i="25" s="1"/>
  <c r="AD1800" i="25" s="1"/>
  <c r="AD1801" i="25" s="1"/>
  <c r="AD1802" i="25" s="1"/>
  <c r="AD1803" i="25" s="1"/>
  <c r="AD1804" i="25" s="1"/>
  <c r="AD1805" i="25" s="1"/>
  <c r="AD1806" i="25" s="1"/>
  <c r="AD1807" i="25" s="1"/>
  <c r="AD1808" i="25" s="1"/>
  <c r="AD1809" i="25" s="1"/>
  <c r="AD1810" i="25" s="1"/>
  <c r="AD1811" i="25" s="1"/>
  <c r="AD1812" i="25" s="1"/>
  <c r="AD1813" i="25" s="1"/>
  <c r="AD1814" i="25" s="1"/>
  <c r="AD1815" i="25" s="1"/>
  <c r="AD1816" i="25" s="1"/>
  <c r="AD1817" i="25" s="1"/>
  <c r="AD1818" i="25" s="1"/>
  <c r="AD1819" i="25" s="1"/>
  <c r="AD1820" i="25" s="1"/>
  <c r="AD1821" i="25" s="1"/>
  <c r="AD1822" i="25" s="1"/>
  <c r="AD1823" i="25" s="1"/>
  <c r="AD1824" i="25" s="1"/>
  <c r="AD1825" i="25" s="1"/>
  <c r="AD1826" i="25" s="1"/>
  <c r="AD1827" i="25" s="1"/>
  <c r="AD1828" i="25" s="1"/>
  <c r="AD1829" i="25" s="1"/>
  <c r="AD1830" i="25" s="1"/>
  <c r="AD1831" i="25" s="1"/>
  <c r="AD1832" i="25" s="1"/>
  <c r="AD1833" i="25" s="1"/>
  <c r="AD1834" i="25" s="1"/>
  <c r="AD1835" i="25" s="1"/>
  <c r="AD1836" i="25" s="1"/>
  <c r="AD1837" i="25" s="1"/>
  <c r="AD1838" i="25" s="1"/>
  <c r="AD1839" i="25" s="1"/>
  <c r="AD1840" i="25" s="1"/>
  <c r="AD1841" i="25" s="1"/>
  <c r="AD1842" i="25" s="1"/>
  <c r="AD1843" i="25" s="1"/>
  <c r="AD1844" i="25" s="1"/>
  <c r="AD1845" i="25" s="1"/>
  <c r="AD1846" i="25" s="1"/>
  <c r="AD1847" i="25" s="1"/>
  <c r="AD1848" i="25" s="1"/>
  <c r="AD1849" i="25" s="1"/>
  <c r="AD1850" i="25" s="1"/>
  <c r="AD1851" i="25" s="1"/>
  <c r="AD1852" i="25" s="1"/>
  <c r="AD1853" i="25" s="1"/>
  <c r="AD1854" i="25" s="1"/>
  <c r="AD1855" i="25" s="1"/>
  <c r="AD1856" i="25" s="1"/>
  <c r="AD1857" i="25" s="1"/>
  <c r="AD1858" i="25" s="1"/>
  <c r="AD1859" i="25" s="1"/>
  <c r="AD1860" i="25" s="1"/>
  <c r="AD1861" i="25" s="1"/>
  <c r="AD1862" i="25" s="1"/>
  <c r="AD1863" i="25" s="1"/>
  <c r="AD1864" i="25" s="1"/>
  <c r="AD1865" i="25" s="1"/>
  <c r="AD1866" i="25" s="1"/>
  <c r="AD1867" i="25" s="1"/>
  <c r="AD1868" i="25" s="1"/>
  <c r="AD1869" i="25" s="1"/>
  <c r="AD1870" i="25" s="1"/>
  <c r="AD1871" i="25" s="1"/>
  <c r="AD1872" i="25" s="1"/>
  <c r="AD1873" i="25" s="1"/>
  <c r="AD1874" i="25" s="1"/>
  <c r="AD1875" i="25" s="1"/>
  <c r="AD1876" i="25" s="1"/>
  <c r="AD1877" i="25" s="1"/>
  <c r="AD1878" i="25" s="1"/>
  <c r="AD1879" i="25" s="1"/>
  <c r="AD1880" i="25" s="1"/>
  <c r="AD1881" i="25" s="1"/>
  <c r="AD1882" i="25" s="1"/>
  <c r="AD1883" i="25" s="1"/>
  <c r="AD1884" i="25" s="1"/>
  <c r="AD1885" i="25" s="1"/>
  <c r="AD1886" i="25" s="1"/>
  <c r="AD1887" i="25" s="1"/>
  <c r="AD1888" i="25" s="1"/>
  <c r="AD1889" i="25" s="1"/>
  <c r="AD1890" i="25" s="1"/>
  <c r="AD1891" i="25" s="1"/>
  <c r="AD1892" i="25" s="1"/>
  <c r="AD1893" i="25" s="1"/>
  <c r="AD1894" i="25" s="1"/>
  <c r="AD1895" i="25" s="1"/>
  <c r="AD1896" i="25" s="1"/>
  <c r="AD1897" i="25" s="1"/>
  <c r="AD1898" i="25" s="1"/>
  <c r="AD1899" i="25" s="1"/>
  <c r="AD1900" i="25" s="1"/>
  <c r="AD1901" i="25" s="1"/>
  <c r="AD1902" i="25" s="1"/>
  <c r="AD1903" i="25" s="1"/>
  <c r="AD1904" i="25" s="1"/>
  <c r="AD1905" i="25" s="1"/>
  <c r="AD1906" i="25" s="1"/>
  <c r="AD1907" i="25" s="1"/>
  <c r="AD1908" i="25" s="1"/>
  <c r="AD1909" i="25" s="1"/>
  <c r="AD1910" i="25" s="1"/>
  <c r="AD1911" i="25" s="1"/>
  <c r="AD1912" i="25" s="1"/>
  <c r="AD1913" i="25" s="1"/>
  <c r="AD1914" i="25" s="1"/>
  <c r="AD1915" i="25" s="1"/>
  <c r="AD1916" i="25" s="1"/>
  <c r="AD1917" i="25" s="1"/>
  <c r="AD1918" i="25" s="1"/>
  <c r="AD1919" i="25" s="1"/>
  <c r="AD1920" i="25" s="1"/>
  <c r="AD1921" i="25" s="1"/>
  <c r="AD1922" i="25" s="1"/>
  <c r="AD1923" i="25" s="1"/>
  <c r="AD1924" i="25" s="1"/>
  <c r="AD1925" i="25" s="1"/>
  <c r="AD1926" i="25" s="1"/>
  <c r="AD1927" i="25" s="1"/>
  <c r="AD1928" i="25" s="1"/>
  <c r="AD1929" i="25" s="1"/>
  <c r="AD1930" i="25" s="1"/>
  <c r="AD1931" i="25" s="1"/>
  <c r="AD1932" i="25" s="1"/>
  <c r="AD1933" i="25" s="1"/>
  <c r="AD1934" i="25" s="1"/>
  <c r="AD1935" i="25" s="1"/>
  <c r="AD1936" i="25" s="1"/>
  <c r="AD1937" i="25" s="1"/>
  <c r="AD1938" i="25" s="1"/>
  <c r="AD1939" i="25" s="1"/>
  <c r="AD1940" i="25" s="1"/>
  <c r="AD1941" i="25" s="1"/>
  <c r="AD1942" i="25" s="1"/>
  <c r="AD1943" i="25" s="1"/>
  <c r="AD1944" i="25" s="1"/>
  <c r="AD1945" i="25" s="1"/>
  <c r="AD1946" i="25" s="1"/>
  <c r="AD1947" i="25" s="1"/>
  <c r="AD1948" i="25" s="1"/>
  <c r="AD1949" i="25" s="1"/>
  <c r="AD1950" i="25" s="1"/>
  <c r="AD1951" i="25" s="1"/>
  <c r="AD1952" i="25" s="1"/>
  <c r="AD1953" i="25" s="1"/>
  <c r="AD1954" i="25" s="1"/>
  <c r="AD1955" i="25" s="1"/>
  <c r="AD1956" i="25" s="1"/>
  <c r="AD1957" i="25" s="1"/>
  <c r="AD1958" i="25" s="1"/>
  <c r="AD1959" i="25" s="1"/>
  <c r="AD1960" i="25" s="1"/>
  <c r="AD1961" i="25" s="1"/>
  <c r="AD1962" i="25" s="1"/>
  <c r="AD1963" i="25" s="1"/>
  <c r="AD1964" i="25" s="1"/>
  <c r="AD1965" i="25" s="1"/>
  <c r="AD1966" i="25" s="1"/>
  <c r="AD1967" i="25" s="1"/>
  <c r="AD1968" i="25" s="1"/>
  <c r="AD1969" i="25" s="1"/>
  <c r="AD1970" i="25" s="1"/>
  <c r="AD1971" i="25" s="1"/>
  <c r="AD1972" i="25" s="1"/>
  <c r="AD1973" i="25" s="1"/>
  <c r="AD1974" i="25" s="1"/>
  <c r="AD1975" i="25" s="1"/>
  <c r="AD1976" i="25" s="1"/>
  <c r="AD1977" i="25" s="1"/>
  <c r="AD1978" i="25" s="1"/>
  <c r="AD1979" i="25" s="1"/>
  <c r="AD1980" i="25" s="1"/>
  <c r="AD1981" i="25" s="1"/>
  <c r="AD1982" i="25" s="1"/>
  <c r="AD1983" i="25" s="1"/>
  <c r="AD1984" i="25" s="1"/>
  <c r="AD1985" i="25" s="1"/>
  <c r="AD1986" i="25" s="1"/>
  <c r="AD1987" i="25" s="1"/>
  <c r="AD1988" i="25" s="1"/>
  <c r="AD1989" i="25" s="1"/>
  <c r="AD1990" i="25" s="1"/>
  <c r="AD1991" i="25" s="1"/>
  <c r="AD1992" i="25" s="1"/>
  <c r="AD1993" i="25" s="1"/>
  <c r="AD1994" i="25" s="1"/>
  <c r="AD1995" i="25" s="1"/>
  <c r="AD1996" i="25" s="1"/>
  <c r="AD1997" i="25" s="1"/>
  <c r="AD1998" i="25" s="1"/>
  <c r="AD1999" i="25" s="1"/>
  <c r="AD2000" i="25" s="1"/>
  <c r="AD2001" i="25" s="1"/>
  <c r="AD2002" i="25" s="1"/>
  <c r="AD2003" i="25" s="1"/>
  <c r="AD2004" i="25" s="1"/>
  <c r="AD2005" i="25" s="1"/>
  <c r="AD2006" i="25" s="1"/>
  <c r="AD2007" i="25" s="1"/>
  <c r="AD2008" i="25" s="1"/>
  <c r="AD2009" i="25" s="1"/>
  <c r="AD2010" i="25" s="1"/>
  <c r="AD2011" i="25" s="1"/>
  <c r="AD2012" i="25" s="1"/>
  <c r="AD2013" i="25" s="1"/>
  <c r="AD2014" i="25" s="1"/>
  <c r="AD2015" i="25" s="1"/>
  <c r="AD2016" i="25" s="1"/>
  <c r="AD2017" i="25" s="1"/>
  <c r="AD2018" i="25" s="1"/>
  <c r="AD2019" i="25" s="1"/>
  <c r="AD2020" i="25" s="1"/>
  <c r="AD2021" i="25" s="1"/>
  <c r="AD2022" i="25" s="1"/>
  <c r="AD2023" i="25" s="1"/>
  <c r="AD2024" i="25" s="1"/>
  <c r="AD2025" i="25" s="1"/>
  <c r="AD2026" i="25" s="1"/>
  <c r="AD2027" i="25" s="1"/>
  <c r="AD2028" i="25" s="1"/>
  <c r="AD2029" i="25" s="1"/>
  <c r="AD2030" i="25" s="1"/>
  <c r="AD2031" i="25" s="1"/>
  <c r="AD2032" i="25" s="1"/>
  <c r="AD2033" i="25" s="1"/>
  <c r="AD2034" i="25" s="1"/>
  <c r="AD2035" i="25" s="1"/>
  <c r="AD2036" i="25" s="1"/>
  <c r="AD2037" i="25" s="1"/>
  <c r="AD2038" i="25" s="1"/>
  <c r="AD2039" i="25" s="1"/>
  <c r="AD2040" i="25" s="1"/>
  <c r="AD2041" i="25" s="1"/>
  <c r="AD2042" i="25" s="1"/>
  <c r="AD2043" i="25" s="1"/>
  <c r="AD2044" i="25" s="1"/>
  <c r="AD2045" i="25" s="1"/>
  <c r="AD2046" i="25" s="1"/>
  <c r="AD2047" i="25" s="1"/>
  <c r="AD2048" i="25" s="1"/>
  <c r="AD2049" i="25" s="1"/>
  <c r="AD2050" i="25" s="1"/>
  <c r="AD2051" i="25" s="1"/>
  <c r="AD2052" i="25" s="1"/>
  <c r="AD2053" i="25" s="1"/>
  <c r="AD2054" i="25" s="1"/>
  <c r="AD2055" i="25" s="1"/>
  <c r="AD2056" i="25" s="1"/>
  <c r="AD2057" i="25" s="1"/>
  <c r="AD2058" i="25" s="1"/>
  <c r="AD2059" i="25" s="1"/>
  <c r="AD2060" i="25" s="1"/>
  <c r="AD2061" i="25" s="1"/>
  <c r="AD2062" i="25" s="1"/>
  <c r="AD2063" i="25" s="1"/>
  <c r="AD2064" i="25" s="1"/>
  <c r="AD2065" i="25" s="1"/>
  <c r="AD2066" i="25" s="1"/>
  <c r="AD2067" i="25" s="1"/>
  <c r="AD2068" i="25" s="1"/>
  <c r="AD2069" i="25" s="1"/>
  <c r="AD2070" i="25" s="1"/>
  <c r="AD2071" i="25" s="1"/>
  <c r="AD2072" i="25" s="1"/>
  <c r="AD2073" i="25" s="1"/>
  <c r="AD2074" i="25" s="1"/>
  <c r="AD2075" i="25" s="1"/>
  <c r="AD2076" i="25" s="1"/>
  <c r="AD2077" i="25" s="1"/>
  <c r="AD2078" i="25" s="1"/>
  <c r="AD2079" i="25" s="1"/>
  <c r="AD2080" i="25" s="1"/>
  <c r="AD2081" i="25" s="1"/>
  <c r="AD2082" i="25" s="1"/>
  <c r="AD2083" i="25" s="1"/>
  <c r="AD2084" i="25" s="1"/>
  <c r="AD2085" i="25" s="1"/>
  <c r="AD2086" i="25" s="1"/>
  <c r="AD2087" i="25" s="1"/>
  <c r="AD2088" i="25" s="1"/>
  <c r="AD2089" i="25" s="1"/>
  <c r="AD2090" i="25" s="1"/>
  <c r="AD2091" i="25" s="1"/>
  <c r="AD2092" i="25" s="1"/>
  <c r="AD2093" i="25" s="1"/>
  <c r="AD2094" i="25" s="1"/>
  <c r="AD2095" i="25" s="1"/>
  <c r="AD2096" i="25" s="1"/>
  <c r="AD2097" i="25" s="1"/>
  <c r="AD2098" i="25" s="1"/>
  <c r="AD2099" i="25" s="1"/>
  <c r="AD2100" i="25" s="1"/>
  <c r="AD2101" i="25" s="1"/>
  <c r="AD2102" i="25" s="1"/>
  <c r="AD2103" i="25" s="1"/>
  <c r="AD2104" i="25" s="1"/>
  <c r="AD2105" i="25" s="1"/>
  <c r="AD2106" i="25" s="1"/>
  <c r="AD2107" i="25" s="1"/>
  <c r="AD2108" i="25" s="1"/>
  <c r="AD2109" i="25" s="1"/>
  <c r="AD2110" i="25" s="1"/>
  <c r="AD2111" i="25" s="1"/>
  <c r="AD2112" i="25" s="1"/>
  <c r="AD2113" i="25" s="1"/>
  <c r="AD2114" i="25" s="1"/>
  <c r="AD2115" i="25" s="1"/>
  <c r="AD2116" i="25" s="1"/>
  <c r="AD2117" i="25" s="1"/>
  <c r="AD2118" i="25" s="1"/>
  <c r="AD2119" i="25" s="1"/>
  <c r="AD2120" i="25" s="1"/>
  <c r="AD2121" i="25" s="1"/>
  <c r="AD2122" i="25" s="1"/>
  <c r="AD2123" i="25" s="1"/>
  <c r="AD2124" i="25" s="1"/>
  <c r="AD2125" i="25" s="1"/>
  <c r="AD2126" i="25" s="1"/>
  <c r="AD2127" i="25" s="1"/>
  <c r="AD2128" i="25" s="1"/>
  <c r="AD2129" i="25" s="1"/>
  <c r="AD2130" i="25" s="1"/>
  <c r="AD2131" i="25" s="1"/>
  <c r="AD2132" i="25" s="1"/>
  <c r="AD2133" i="25" s="1"/>
  <c r="AD2134" i="25" s="1"/>
  <c r="AD2135" i="25" s="1"/>
  <c r="AD2136" i="25" s="1"/>
  <c r="AD2137" i="25" s="1"/>
  <c r="AD2138" i="25" s="1"/>
  <c r="AD2139" i="25" s="1"/>
  <c r="AD2140" i="25" s="1"/>
  <c r="AD2141" i="25" s="1"/>
  <c r="AD2142" i="25" s="1"/>
  <c r="AD2143" i="25" s="1"/>
  <c r="AD2144" i="25" s="1"/>
  <c r="AD2145" i="25" s="1"/>
  <c r="AD2146" i="25" s="1"/>
  <c r="AD2147" i="25" s="1"/>
  <c r="AD2148" i="25" s="1"/>
  <c r="AD2149" i="25" s="1"/>
  <c r="AD2150" i="25" s="1"/>
  <c r="AD2151" i="25" s="1"/>
  <c r="AD2152" i="25" s="1"/>
  <c r="AD2153" i="25" s="1"/>
  <c r="AD2154" i="25" s="1"/>
  <c r="AD2155" i="25" s="1"/>
  <c r="AD2156" i="25" s="1"/>
  <c r="AD2157" i="25" s="1"/>
  <c r="AD2158" i="25" s="1"/>
  <c r="AD2159" i="25" s="1"/>
  <c r="AD2160" i="25" s="1"/>
  <c r="AD2161" i="25" s="1"/>
  <c r="AD2162" i="25" s="1"/>
  <c r="AD2163" i="25" s="1"/>
  <c r="AD2164" i="25" s="1"/>
  <c r="AD2165" i="25" s="1"/>
  <c r="AD2166" i="25" s="1"/>
  <c r="AD2167" i="25" s="1"/>
  <c r="AD2168" i="25" s="1"/>
  <c r="AD2169" i="25" s="1"/>
  <c r="AD2170" i="25" s="1"/>
  <c r="AD2171" i="25" s="1"/>
  <c r="AD2172" i="25" s="1"/>
  <c r="AD2173" i="25" s="1"/>
  <c r="AD2174" i="25" s="1"/>
  <c r="AD2175" i="25" s="1"/>
  <c r="AD2176" i="25" s="1"/>
  <c r="AD2177" i="25" s="1"/>
  <c r="AD2178" i="25" s="1"/>
  <c r="AD2179" i="25" s="1"/>
  <c r="AD2180" i="25" s="1"/>
  <c r="AD2181" i="25" s="1"/>
  <c r="AD2182" i="25" s="1"/>
  <c r="AD2183" i="25" s="1"/>
  <c r="AD2184" i="25" s="1"/>
  <c r="AD2185" i="25" s="1"/>
  <c r="AD2186" i="25" s="1"/>
  <c r="AD2187" i="25" s="1"/>
  <c r="AD2188" i="25" s="1"/>
  <c r="AD2189" i="25" s="1"/>
  <c r="AD2190" i="25" s="1"/>
  <c r="AD2191" i="25" s="1"/>
  <c r="AD2192" i="25" s="1"/>
  <c r="AD2193" i="25" s="1"/>
  <c r="AD2194" i="25" s="1"/>
  <c r="AD2195" i="25" s="1"/>
  <c r="AD2196" i="25" s="1"/>
  <c r="AD2197" i="25" s="1"/>
  <c r="AD2198" i="25" s="1"/>
  <c r="AD2199" i="25" s="1"/>
  <c r="AD2200" i="25" s="1"/>
  <c r="AD2201" i="25" s="1"/>
  <c r="AD2202" i="25" s="1"/>
  <c r="AD2203" i="25" s="1"/>
  <c r="AD2204" i="25" s="1"/>
  <c r="AD2205" i="25" s="1"/>
  <c r="AD2206" i="25" s="1"/>
  <c r="AD2207" i="25" s="1"/>
  <c r="AD2208" i="25" s="1"/>
  <c r="AD2209" i="25" s="1"/>
  <c r="AD2210" i="25" s="1"/>
  <c r="AD2211" i="25" s="1"/>
  <c r="AD2212" i="25" s="1"/>
  <c r="AD2213" i="25" s="1"/>
  <c r="AD2214" i="25" s="1"/>
  <c r="AD2215" i="25" s="1"/>
  <c r="AD2216" i="25" s="1"/>
  <c r="AD2217" i="25" s="1"/>
  <c r="AD2218" i="25" s="1"/>
  <c r="AD2219" i="25" s="1"/>
  <c r="AD2220" i="25" s="1"/>
  <c r="AD2221" i="25" s="1"/>
  <c r="AD2222" i="25" s="1"/>
  <c r="AD2223" i="25" s="1"/>
  <c r="AD2224" i="25" s="1"/>
  <c r="AD2225" i="25" s="1"/>
  <c r="AD2226" i="25" s="1"/>
  <c r="AD2227" i="25" s="1"/>
  <c r="AD2228" i="25" s="1"/>
  <c r="AD2229" i="25" s="1"/>
  <c r="AD2230" i="25" s="1"/>
  <c r="AD2231" i="25" s="1"/>
  <c r="AD2232" i="25" s="1"/>
  <c r="AD2233" i="25" s="1"/>
  <c r="AD2234" i="25" s="1"/>
  <c r="AD2235" i="25" s="1"/>
  <c r="AD2236" i="25" s="1"/>
  <c r="AD2237" i="25" s="1"/>
  <c r="AD2238" i="25" s="1"/>
  <c r="AD2239" i="25" s="1"/>
  <c r="AD2240" i="25" s="1"/>
  <c r="AD2241" i="25" s="1"/>
  <c r="AD2242" i="25" s="1"/>
  <c r="AD2243" i="25" s="1"/>
  <c r="AD2244" i="25" s="1"/>
  <c r="AD2245" i="25" s="1"/>
  <c r="AD2246" i="25" s="1"/>
  <c r="AD2247" i="25" s="1"/>
  <c r="AD2248" i="25" s="1"/>
  <c r="AD2249" i="25" s="1"/>
  <c r="AD2250" i="25" s="1"/>
  <c r="AD2251" i="25" s="1"/>
  <c r="AD2252" i="25" s="1"/>
  <c r="AD2253" i="25" s="1"/>
  <c r="AD2254" i="25" s="1"/>
  <c r="AD2255" i="25" s="1"/>
  <c r="AD2256" i="25" s="1"/>
  <c r="AD2257" i="25" s="1"/>
  <c r="AD2258" i="25" s="1"/>
  <c r="AD2259" i="25" s="1"/>
  <c r="AD2260" i="25" s="1"/>
  <c r="AD2261" i="25" s="1"/>
  <c r="AD2262" i="25" s="1"/>
  <c r="AD2263" i="25" s="1"/>
  <c r="AD2264" i="25" s="1"/>
  <c r="AD2265" i="25" s="1"/>
  <c r="AD2266" i="25" s="1"/>
  <c r="AD2267" i="25" s="1"/>
  <c r="AD2268" i="25" s="1"/>
  <c r="AD2269" i="25" s="1"/>
  <c r="AD2270" i="25" s="1"/>
  <c r="AD2271" i="25" s="1"/>
  <c r="AD2272" i="25" s="1"/>
  <c r="AD2273" i="25" s="1"/>
  <c r="AD2274" i="25" s="1"/>
  <c r="AD2275" i="25" s="1"/>
  <c r="AD2276" i="25" s="1"/>
  <c r="AD2277" i="25" s="1"/>
  <c r="AD2278" i="25" s="1"/>
  <c r="AD2279" i="25" s="1"/>
  <c r="AD2280" i="25" s="1"/>
  <c r="AD2281" i="25" s="1"/>
  <c r="AD2282" i="25" s="1"/>
  <c r="AD2283" i="25" s="1"/>
  <c r="AD2284" i="25" s="1"/>
  <c r="AD2285" i="25" s="1"/>
  <c r="AD2286" i="25" s="1"/>
  <c r="AD2287" i="25" s="1"/>
  <c r="AD2288" i="25" s="1"/>
  <c r="AD2289" i="25" s="1"/>
  <c r="AD2290" i="25" s="1"/>
  <c r="AD2291" i="25" s="1"/>
  <c r="AD2292" i="25" s="1"/>
  <c r="AD2293" i="25" s="1"/>
  <c r="AD2294" i="25" s="1"/>
  <c r="AD2295" i="25" s="1"/>
  <c r="AD2296" i="25" s="1"/>
  <c r="AD2297" i="25" s="1"/>
  <c r="AD2298" i="25" s="1"/>
  <c r="AD2299" i="25" s="1"/>
  <c r="AD2300" i="25" s="1"/>
  <c r="AD2301" i="25" s="1"/>
  <c r="AD2302" i="25" s="1"/>
  <c r="AD2303" i="25" s="1"/>
  <c r="AD2304" i="25" s="1"/>
  <c r="AD2305" i="25" s="1"/>
  <c r="AD2306" i="25" s="1"/>
  <c r="AD2307" i="25" s="1"/>
  <c r="AD2308" i="25" s="1"/>
  <c r="AD2309" i="25" s="1"/>
  <c r="AD2310" i="25" s="1"/>
  <c r="AD2311" i="25" s="1"/>
  <c r="AD2312" i="25" s="1"/>
  <c r="AD2313" i="25" s="1"/>
  <c r="AD2314" i="25" s="1"/>
  <c r="AD2315" i="25" s="1"/>
  <c r="AD2316" i="25" s="1"/>
  <c r="AD2317" i="25" s="1"/>
  <c r="AD2318" i="25" s="1"/>
  <c r="AD2319" i="25" s="1"/>
  <c r="AD2320" i="25" s="1"/>
  <c r="AD2321" i="25" s="1"/>
  <c r="AD2322" i="25" s="1"/>
  <c r="AD2323" i="25" s="1"/>
  <c r="AD2324" i="25" s="1"/>
  <c r="AD2325" i="25" s="1"/>
  <c r="AD2326" i="25" s="1"/>
  <c r="AD2327" i="25" s="1"/>
  <c r="AD2328" i="25" s="1"/>
  <c r="AD2329" i="25" s="1"/>
  <c r="AD2330" i="25" s="1"/>
  <c r="AD2331" i="25" s="1"/>
  <c r="AD2332" i="25" s="1"/>
  <c r="AD2333" i="25" s="1"/>
  <c r="AD2334" i="25" s="1"/>
  <c r="AD2335" i="25" s="1"/>
  <c r="AD2336" i="25" s="1"/>
  <c r="AD2337" i="25" s="1"/>
  <c r="AD2338" i="25" s="1"/>
  <c r="AD2339" i="25" s="1"/>
  <c r="AD2340" i="25" s="1"/>
  <c r="AD2341" i="25" s="1"/>
  <c r="AD2342" i="25" s="1"/>
  <c r="AD2343" i="25" s="1"/>
  <c r="AD2344" i="25" s="1"/>
  <c r="AD2345" i="25" s="1"/>
  <c r="AD2346" i="25" s="1"/>
  <c r="AD2347" i="25" s="1"/>
  <c r="AD2348" i="25" s="1"/>
  <c r="AD2349" i="25" s="1"/>
  <c r="AD2350" i="25" s="1"/>
  <c r="AD2351" i="25" s="1"/>
  <c r="AD2352" i="25" s="1"/>
  <c r="AD2353" i="25" s="1"/>
  <c r="AD2354" i="25" s="1"/>
  <c r="AD2355" i="25" s="1"/>
  <c r="AD2356" i="25" s="1"/>
  <c r="AD2357" i="25" s="1"/>
  <c r="AD2358" i="25" s="1"/>
  <c r="AD2359" i="25" s="1"/>
  <c r="AD2360" i="25" s="1"/>
  <c r="AD2361" i="25" s="1"/>
  <c r="AD2362" i="25" s="1"/>
  <c r="AD2363" i="25" s="1"/>
  <c r="AD2364" i="25" s="1"/>
  <c r="AD2365" i="25" s="1"/>
  <c r="AD2366" i="25" s="1"/>
  <c r="AD2367" i="25" s="1"/>
  <c r="AD2368" i="25" s="1"/>
  <c r="AD2369" i="25" s="1"/>
  <c r="AD2370" i="25" s="1"/>
  <c r="AD2371" i="25" s="1"/>
  <c r="AD2372" i="25" s="1"/>
  <c r="AD2373" i="25" s="1"/>
  <c r="AD2374" i="25" s="1"/>
  <c r="AD2375" i="25" s="1"/>
  <c r="AD2376" i="25" s="1"/>
  <c r="AD2377" i="25" s="1"/>
  <c r="AD2378" i="25" s="1"/>
  <c r="AD2379" i="25" s="1"/>
  <c r="AD2380" i="25" s="1"/>
  <c r="AD2381" i="25" s="1"/>
  <c r="AD2382" i="25" s="1"/>
  <c r="AD2383" i="25" s="1"/>
  <c r="AD2384" i="25" s="1"/>
  <c r="AD2385" i="25" s="1"/>
  <c r="AD2386" i="25" s="1"/>
  <c r="AD2387" i="25" s="1"/>
  <c r="AD2388" i="25" s="1"/>
  <c r="AD2389" i="25" s="1"/>
  <c r="AD2390" i="25" s="1"/>
  <c r="AD2391" i="25" s="1"/>
  <c r="AD2392" i="25" s="1"/>
  <c r="AD2393" i="25" s="1"/>
  <c r="AD2394" i="25" s="1"/>
  <c r="AD2395" i="25" s="1"/>
  <c r="AD2396" i="25" s="1"/>
  <c r="AD2397" i="25" s="1"/>
  <c r="AD2398" i="25" s="1"/>
  <c r="AD2399" i="25" s="1"/>
  <c r="AD2400" i="25" s="1"/>
  <c r="AD2401" i="25" s="1"/>
  <c r="AD2402" i="25" s="1"/>
  <c r="AD2403" i="25" s="1"/>
  <c r="AD2404" i="25" s="1"/>
  <c r="AD2405" i="25" s="1"/>
  <c r="AD2406" i="25" s="1"/>
  <c r="AD2407" i="25" s="1"/>
  <c r="AD2408" i="25" s="1"/>
  <c r="AD2409" i="25" s="1"/>
  <c r="AD2410" i="25" s="1"/>
  <c r="AD2411" i="25" s="1"/>
  <c r="AD2412" i="25" s="1"/>
  <c r="AD2413" i="25" s="1"/>
  <c r="AD2414" i="25" s="1"/>
  <c r="AD2415" i="25" s="1"/>
  <c r="AD2416" i="25" s="1"/>
  <c r="AD2417" i="25" s="1"/>
  <c r="AD2418" i="25" s="1"/>
  <c r="AD2419" i="25" s="1"/>
  <c r="AD2420" i="25" s="1"/>
  <c r="AD2421" i="25" s="1"/>
  <c r="AD2422" i="25" s="1"/>
  <c r="AD2423" i="25" s="1"/>
  <c r="AD2424" i="25" s="1"/>
  <c r="AD2425" i="25" s="1"/>
  <c r="AD2426" i="25" s="1"/>
  <c r="AD2427" i="25" s="1"/>
  <c r="AD2428" i="25" s="1"/>
  <c r="AD2429" i="25" s="1"/>
  <c r="AD2430" i="25" s="1"/>
  <c r="AD2431" i="25" s="1"/>
  <c r="AD2432" i="25" s="1"/>
  <c r="AD2433" i="25" s="1"/>
  <c r="AD2434" i="25" s="1"/>
  <c r="AD2435" i="25" s="1"/>
  <c r="AD2436" i="25" s="1"/>
  <c r="AD2437" i="25" s="1"/>
  <c r="AD2438" i="25" s="1"/>
  <c r="AD2439" i="25" s="1"/>
  <c r="AD2440" i="25" s="1"/>
  <c r="AD2441" i="25" s="1"/>
  <c r="AD2442" i="25" s="1"/>
  <c r="AD2443" i="25" s="1"/>
  <c r="AD2444" i="25" s="1"/>
  <c r="AD2445" i="25" s="1"/>
  <c r="AD2446" i="25" s="1"/>
  <c r="AD2447" i="25" s="1"/>
  <c r="AD2448" i="25" s="1"/>
  <c r="AD2449" i="25" s="1"/>
  <c r="AD2450" i="25" s="1"/>
  <c r="H148" i="25"/>
  <c r="H53" i="25"/>
  <c r="H17" i="25"/>
  <c r="H92" i="25"/>
  <c r="H167" i="25"/>
  <c r="H35" i="25"/>
  <c r="H129" i="25"/>
  <c r="I17" i="25"/>
  <c r="H110" i="25"/>
  <c r="I53" i="25"/>
  <c r="I72" i="25"/>
  <c r="I129" i="25"/>
  <c r="I148" i="25"/>
  <c r="I35" i="25"/>
  <c r="I167" i="25"/>
  <c r="I92" i="25"/>
  <c r="I110" i="25"/>
  <c r="J72" i="25"/>
  <c r="J129" i="25"/>
  <c r="J92" i="25"/>
  <c r="J167" i="25"/>
  <c r="J17" i="25"/>
  <c r="J148" i="25"/>
  <c r="J110" i="25"/>
  <c r="K129" i="25"/>
  <c r="K167" i="25"/>
  <c r="K148" i="25"/>
  <c r="K17" i="25"/>
  <c r="L17" i="25"/>
  <c r="L148" i="25"/>
  <c r="M17" i="25"/>
  <c r="AC43" i="22"/>
  <c r="AB40" i="22"/>
  <c r="AB7" i="22"/>
  <c r="AC10" i="22"/>
  <c r="AC27" i="22"/>
  <c r="AB24" i="22"/>
  <c r="AD2451" i="25" l="1"/>
  <c r="AD2452" i="25" s="1"/>
  <c r="AD2453" i="25" s="1"/>
  <c r="AD2454" i="25" s="1"/>
  <c r="AD2455" i="25" s="1"/>
  <c r="AD2456" i="25" s="1"/>
  <c r="AD2457" i="25" s="1"/>
  <c r="AD2458" i="25" s="1"/>
  <c r="AD2459" i="25" s="1"/>
  <c r="AD2460" i="25" s="1"/>
  <c r="AD2461" i="25" s="1"/>
  <c r="AD2462" i="25" s="1"/>
  <c r="AD2463" i="25" s="1"/>
  <c r="AD2464" i="25" s="1"/>
  <c r="AD2465" i="25" s="1"/>
  <c r="AD2466" i="25" s="1"/>
  <c r="AD2467" i="25" s="1"/>
  <c r="AD2468" i="25" s="1"/>
  <c r="AD2469" i="25" s="1"/>
  <c r="AD2470" i="25" s="1"/>
  <c r="AD2471" i="25" s="1"/>
  <c r="AD2472" i="25" s="1"/>
  <c r="AD2473" i="25" s="1"/>
  <c r="AD2474" i="25" s="1"/>
  <c r="AD2475" i="25" s="1"/>
  <c r="AD2476" i="25" s="1"/>
  <c r="AD2477" i="25" s="1"/>
  <c r="AD2478" i="25" s="1"/>
  <c r="AD2479" i="25" s="1"/>
  <c r="AD2480" i="25" s="1"/>
  <c r="AD2481" i="25" s="1"/>
  <c r="AD2482" i="25" s="1"/>
  <c r="AD2483" i="25" s="1"/>
  <c r="AD2484" i="25" s="1"/>
  <c r="AD2485" i="25" s="1"/>
  <c r="AD2486" i="25" s="1"/>
  <c r="AD2487" i="25" s="1"/>
  <c r="AD2488" i="25" s="1"/>
  <c r="AD2489" i="25" s="1"/>
  <c r="AD2490" i="25" s="1"/>
  <c r="AD2491" i="25" s="1"/>
  <c r="AD2492" i="25" s="1"/>
  <c r="AD2493" i="25" s="1"/>
  <c r="AD2494" i="25" s="1"/>
  <c r="AD2495" i="25" s="1"/>
  <c r="AD2496" i="25" s="1"/>
  <c r="AD2497" i="25" s="1"/>
  <c r="AD2498" i="25" s="1"/>
  <c r="AD2499" i="25" s="1"/>
  <c r="AD2500" i="25" s="1"/>
  <c r="AD2501" i="25" s="1"/>
  <c r="AD2502" i="25" s="1"/>
  <c r="AD2503" i="25" s="1"/>
  <c r="AD2504" i="25" s="1"/>
  <c r="AD2505" i="25" s="1"/>
  <c r="AD2506" i="25" s="1"/>
  <c r="AD2507" i="25" s="1"/>
  <c r="AD2508" i="25" s="1"/>
  <c r="AD2509" i="25" s="1"/>
  <c r="AD2510" i="25" s="1"/>
  <c r="AD2511" i="25" s="1"/>
  <c r="AD2512" i="25" s="1"/>
  <c r="AD2513" i="25" s="1"/>
  <c r="AD2514" i="25" s="1"/>
  <c r="AD2515" i="25" s="1"/>
  <c r="AD2516" i="25" s="1"/>
  <c r="AD2517" i="25" s="1"/>
  <c r="AD2518" i="25" s="1"/>
  <c r="AD2519" i="25" s="1"/>
  <c r="AD2520" i="25" s="1"/>
  <c r="AD2521" i="25" s="1"/>
  <c r="AD2522" i="25" s="1"/>
  <c r="AD2523" i="25" s="1"/>
  <c r="AD2524" i="25" s="1"/>
  <c r="AD2525" i="25" s="1"/>
  <c r="AD2526" i="25" s="1"/>
  <c r="AD2527" i="25" s="1"/>
  <c r="AD2528" i="25" s="1"/>
  <c r="AD2529" i="25" s="1"/>
  <c r="AD2530" i="25" s="1"/>
  <c r="AD2531" i="25" s="1"/>
  <c r="AD2532" i="25" s="1"/>
  <c r="AD2533" i="25" s="1"/>
  <c r="AD2534" i="25" s="1"/>
  <c r="AD2535" i="25" s="1"/>
  <c r="AD2536" i="25" s="1"/>
  <c r="AD2537" i="25" s="1"/>
  <c r="AD2538" i="25" s="1"/>
  <c r="AD2539" i="25" s="1"/>
  <c r="AD2540" i="25" s="1"/>
  <c r="AD2541" i="25" s="1"/>
  <c r="AD2542" i="25" s="1"/>
  <c r="AD2543" i="25" s="1"/>
  <c r="AD2544" i="25" s="1"/>
  <c r="AD2545" i="25" s="1"/>
  <c r="AD2546" i="25" s="1"/>
  <c r="AD2547" i="25" s="1"/>
  <c r="AD2548" i="25" s="1"/>
  <c r="AD2549" i="25" s="1"/>
  <c r="AD2550" i="25" s="1"/>
  <c r="AD2551" i="25" s="1"/>
  <c r="AD2552" i="25" s="1"/>
  <c r="AD2553" i="25" s="1"/>
  <c r="AD2554" i="25" s="1"/>
  <c r="AD2555" i="25" s="1"/>
  <c r="AD2556" i="25" s="1"/>
  <c r="AD2557" i="25" s="1"/>
  <c r="AD2558" i="25" s="1"/>
  <c r="AD2559" i="25" s="1"/>
  <c r="AD2560" i="25" s="1"/>
  <c r="AD2561" i="25" s="1"/>
  <c r="AD2562" i="25" s="1"/>
  <c r="AD2563" i="25" s="1"/>
  <c r="AD2564" i="25" s="1"/>
  <c r="AD2565" i="25" s="1"/>
  <c r="AD2566" i="25" s="1"/>
  <c r="AD2567" i="25" s="1"/>
  <c r="AD2568" i="25" s="1"/>
  <c r="AD2569" i="25" s="1"/>
  <c r="AD2570" i="25" s="1"/>
  <c r="AD2571" i="25" s="1"/>
  <c r="AD2572" i="25" s="1"/>
  <c r="AD2573" i="25" s="1"/>
  <c r="AD2574" i="25" s="1"/>
  <c r="AD2575" i="25" s="1"/>
  <c r="AD2576" i="25" s="1"/>
  <c r="AD2577" i="25" s="1"/>
  <c r="AD2578" i="25" s="1"/>
  <c r="AD2579" i="25" s="1"/>
  <c r="AD2580" i="25" s="1"/>
  <c r="AD2581" i="25" s="1"/>
  <c r="AD2582" i="25" s="1"/>
  <c r="AD2583" i="25" s="1"/>
  <c r="AD2584" i="25" s="1"/>
  <c r="AD2585" i="25" s="1"/>
  <c r="AD2586" i="25" s="1"/>
  <c r="AD2587" i="25" s="1"/>
  <c r="AD2588" i="25" s="1"/>
  <c r="AD2589" i="25" s="1"/>
  <c r="AD2590" i="25" s="1"/>
  <c r="AD2591" i="25" s="1"/>
  <c r="AD2592" i="25" s="1"/>
  <c r="AD2593" i="25" s="1"/>
  <c r="AD2594" i="25" s="1"/>
  <c r="AD2595" i="25" s="1"/>
  <c r="AD2596" i="25" s="1"/>
  <c r="AD2597" i="25" s="1"/>
  <c r="AD2598" i="25" s="1"/>
  <c r="AD2599" i="25" s="1"/>
  <c r="AD2600" i="25" s="1"/>
  <c r="AD2601" i="25" s="1"/>
  <c r="AD2602" i="25" s="1"/>
  <c r="AD2603" i="25" s="1"/>
  <c r="AD2604" i="25" s="1"/>
  <c r="AD2605" i="25" s="1"/>
  <c r="AD2606" i="25" s="1"/>
  <c r="AD2607" i="25" s="1"/>
  <c r="AD2608" i="25" s="1"/>
  <c r="AD2609" i="25" s="1"/>
  <c r="AD2610" i="25" s="1"/>
  <c r="AD2611" i="25" s="1"/>
  <c r="AD2612" i="25" s="1"/>
  <c r="AD2613" i="25" s="1"/>
  <c r="AD2614" i="25" s="1"/>
  <c r="AD2615" i="25" s="1"/>
  <c r="AD2616" i="25" s="1"/>
  <c r="AD2617" i="25" s="1"/>
  <c r="AD2618" i="25" s="1"/>
  <c r="AD2619" i="25" s="1"/>
  <c r="AD2620" i="25" s="1"/>
  <c r="AD2621" i="25" s="1"/>
  <c r="AD2622" i="25" s="1"/>
  <c r="AD2623" i="25" s="1"/>
  <c r="AD2624" i="25" s="1"/>
  <c r="AD2625" i="25" s="1"/>
  <c r="AD2626" i="25" s="1"/>
  <c r="AD2627" i="25" s="1"/>
  <c r="AD2628" i="25" s="1"/>
  <c r="AD2629" i="25" s="1"/>
  <c r="AD2630" i="25" s="1"/>
  <c r="AD2631" i="25" s="1"/>
  <c r="AD2632" i="25" s="1"/>
  <c r="AD2633" i="25" s="1"/>
  <c r="AD2634" i="25" s="1"/>
  <c r="AD2635" i="25" s="1"/>
  <c r="AD2636" i="25" s="1"/>
  <c r="AD2637" i="25" s="1"/>
  <c r="AD2638" i="25" s="1"/>
  <c r="AD2639" i="25" s="1"/>
  <c r="AD2640" i="25" s="1"/>
  <c r="AD2641" i="25" s="1"/>
  <c r="AD2642" i="25" s="1"/>
  <c r="AD2643" i="25" s="1"/>
  <c r="AD2644" i="25" s="1"/>
  <c r="AD2645" i="25" s="1"/>
  <c r="AD2646" i="25" s="1"/>
  <c r="AD2647" i="25" s="1"/>
  <c r="AD2648" i="25" s="1"/>
  <c r="AD2649" i="25" s="1"/>
  <c r="AD2650" i="25" s="1"/>
  <c r="AD2651" i="25" s="1"/>
  <c r="AD2652" i="25" s="1"/>
  <c r="AD2653" i="25" s="1"/>
  <c r="AD2654" i="25" s="1"/>
  <c r="AD2655" i="25" s="1"/>
  <c r="AD2656" i="25" s="1"/>
  <c r="AD2657" i="25" s="1"/>
  <c r="AD2658" i="25" s="1"/>
  <c r="AD2659" i="25" s="1"/>
  <c r="AD2660" i="25" s="1"/>
  <c r="AD2661" i="25" s="1"/>
  <c r="AD2662" i="25" s="1"/>
  <c r="AD2663" i="25" s="1"/>
  <c r="AD2664" i="25" s="1"/>
  <c r="AD2665" i="25" s="1"/>
  <c r="AD2666" i="25" s="1"/>
  <c r="AD2667" i="25" s="1"/>
  <c r="AD2668" i="25" s="1"/>
  <c r="AD2669" i="25" s="1"/>
  <c r="AD2670" i="25" s="1"/>
  <c r="AD2671" i="25" s="1"/>
  <c r="AD2672" i="25" s="1"/>
  <c r="AD2673" i="25" s="1"/>
  <c r="AD2674" i="25" s="1"/>
  <c r="AD2675" i="25" s="1"/>
  <c r="AD2676" i="25" s="1"/>
  <c r="AD2677" i="25" s="1"/>
  <c r="AD2678" i="25" s="1"/>
  <c r="AD2679" i="25" s="1"/>
  <c r="AD2680" i="25" s="1"/>
  <c r="AD2681" i="25" s="1"/>
  <c r="AD2682" i="25" s="1"/>
  <c r="AD2683" i="25" s="1"/>
  <c r="AD2684" i="25" s="1"/>
  <c r="AD2685" i="25" s="1"/>
  <c r="AD2686" i="25" s="1"/>
  <c r="AD2687" i="25" s="1"/>
  <c r="AD2688" i="25" s="1"/>
  <c r="AD2689" i="25" s="1"/>
  <c r="AD2690" i="25" s="1"/>
  <c r="AD2691" i="25" s="1"/>
  <c r="AD2692" i="25" s="1"/>
  <c r="AD2693" i="25" s="1"/>
  <c r="AD2694" i="25" s="1"/>
  <c r="AD2695" i="25" s="1"/>
  <c r="AD2696" i="25" s="1"/>
  <c r="AD2697" i="25" s="1"/>
  <c r="AD2698" i="25" s="1"/>
  <c r="AD2699" i="25" s="1"/>
  <c r="AD2700" i="25" s="1"/>
  <c r="AD2701" i="25" s="1"/>
  <c r="AD2702" i="25" s="1"/>
  <c r="AD2703" i="25" s="1"/>
  <c r="AD2704" i="25" s="1"/>
  <c r="AD2705" i="25" s="1"/>
  <c r="AD2706" i="25" s="1"/>
  <c r="AD2707" i="25" s="1"/>
  <c r="AD2708" i="25" s="1"/>
  <c r="AD2709" i="25" s="1"/>
  <c r="AD2710" i="25" s="1"/>
  <c r="AD2711" i="25" s="1"/>
  <c r="AD2712" i="25" s="1"/>
  <c r="AD2713" i="25" s="1"/>
  <c r="AD2714" i="25" s="1"/>
  <c r="AD2715" i="25" s="1"/>
  <c r="AD2716" i="25" s="1"/>
  <c r="AD2717" i="25" s="1"/>
  <c r="AD2718" i="25" s="1"/>
  <c r="AD2719" i="25" s="1"/>
  <c r="AD2720" i="25" s="1"/>
  <c r="AD2721" i="25" s="1"/>
  <c r="AD2722" i="25" s="1"/>
  <c r="AD2723" i="25" s="1"/>
  <c r="AD2724" i="25" s="1"/>
  <c r="AD2725" i="25" s="1"/>
  <c r="AD2726" i="25" s="1"/>
  <c r="AD2727" i="25" s="1"/>
  <c r="AD2728" i="25" s="1"/>
  <c r="AD2729" i="25" s="1"/>
  <c r="AD2730" i="25" s="1"/>
  <c r="AD2731" i="25" s="1"/>
  <c r="AD2732" i="25" s="1"/>
  <c r="AD2733" i="25" s="1"/>
  <c r="AD2734" i="25" s="1"/>
  <c r="AD2735" i="25" s="1"/>
  <c r="AD2736" i="25" s="1"/>
  <c r="AD2737" i="25" s="1"/>
  <c r="AD2738" i="25" s="1"/>
  <c r="AD2739" i="25" s="1"/>
  <c r="AD2740" i="25" s="1"/>
  <c r="AD2741" i="25" s="1"/>
  <c r="AD2742" i="25" s="1"/>
  <c r="AD2743" i="25" s="1"/>
  <c r="AD2744" i="25" s="1"/>
  <c r="AD2745" i="25" s="1"/>
  <c r="AD2746" i="25" s="1"/>
  <c r="AD2747" i="25" s="1"/>
  <c r="AD2748" i="25" s="1"/>
  <c r="AD2749" i="25" s="1"/>
  <c r="AD2750" i="25" s="1"/>
  <c r="AD2751" i="25" s="1"/>
  <c r="AD2752" i="25" s="1"/>
  <c r="AD2753" i="25" s="1"/>
  <c r="AD2754" i="25" s="1"/>
  <c r="AD2755" i="25" s="1"/>
  <c r="AD2756" i="25" s="1"/>
  <c r="AD2757" i="25" s="1"/>
  <c r="AD2758" i="25" s="1"/>
  <c r="AD2759" i="25" s="1"/>
  <c r="AD2760" i="25" s="1"/>
  <c r="AD2761" i="25" s="1"/>
  <c r="AD2762" i="25" s="1"/>
  <c r="AD2763" i="25" s="1"/>
  <c r="AD2764" i="25" s="1"/>
  <c r="AD2765" i="25" s="1"/>
  <c r="AD2766" i="25" s="1"/>
  <c r="AD2767" i="25" s="1"/>
  <c r="AD2768" i="25" s="1"/>
  <c r="AD2769" i="25" s="1"/>
  <c r="AD2770" i="25" s="1"/>
  <c r="AD2771" i="25" s="1"/>
  <c r="AD2772" i="25" s="1"/>
  <c r="AD2773" i="25" s="1"/>
  <c r="AD2774" i="25" s="1"/>
  <c r="AD2775" i="25" s="1"/>
  <c r="AD2776" i="25" s="1"/>
  <c r="AD2777" i="25" s="1"/>
  <c r="AD2778" i="25" s="1"/>
  <c r="AD2779" i="25" s="1"/>
  <c r="AD2780" i="25" s="1"/>
  <c r="AD2781" i="25" s="1"/>
  <c r="AD2782" i="25" s="1"/>
  <c r="AD2783" i="25" s="1"/>
  <c r="AD2784" i="25" s="1"/>
  <c r="AD2785" i="25" s="1"/>
  <c r="AD2786" i="25" s="1"/>
  <c r="AD2787" i="25" s="1"/>
  <c r="AD2788" i="25" s="1"/>
  <c r="AD2789" i="25" s="1"/>
  <c r="AD2790" i="25" s="1"/>
  <c r="AD2791" i="25" s="1"/>
  <c r="AD2792" i="25" s="1"/>
  <c r="AD2793" i="25" s="1"/>
  <c r="AD2794" i="25" s="1"/>
  <c r="AD2795" i="25" s="1"/>
  <c r="AD2796" i="25" s="1"/>
  <c r="AD2797" i="25" s="1"/>
  <c r="AD2798" i="25" s="1"/>
  <c r="AD2799" i="25" s="1"/>
  <c r="AD2800" i="25" s="1"/>
  <c r="AD2801" i="25" s="1"/>
  <c r="AD2802" i="25" s="1"/>
  <c r="AD2803" i="25" s="1"/>
  <c r="AD2804" i="25" s="1"/>
  <c r="AD2805" i="25" s="1"/>
  <c r="AD2806" i="25" s="1"/>
  <c r="AD2807" i="25" s="1"/>
  <c r="AD2808" i="25" s="1"/>
  <c r="AD2809" i="25" s="1"/>
  <c r="AD2810" i="25" s="1"/>
  <c r="AD2811" i="25" s="1"/>
  <c r="AD2812" i="25" s="1"/>
  <c r="AD2813" i="25" s="1"/>
  <c r="AD2814" i="25" s="1"/>
  <c r="AD2815" i="25" s="1"/>
  <c r="AD2816" i="25" s="1"/>
  <c r="AD2817" i="25" s="1"/>
  <c r="AD2818" i="25" s="1"/>
  <c r="AD2819" i="25" s="1"/>
  <c r="AD2820" i="25" s="1"/>
  <c r="AD2821" i="25" s="1"/>
  <c r="AD2822" i="25" s="1"/>
  <c r="AD2823" i="25" s="1"/>
  <c r="AD2824" i="25" s="1"/>
  <c r="AD2825" i="25" s="1"/>
  <c r="AD2826" i="25" s="1"/>
  <c r="AD2827" i="25" s="1"/>
  <c r="AD2828" i="25" s="1"/>
  <c r="AD2829" i="25" s="1"/>
  <c r="AD2830" i="25" s="1"/>
  <c r="AD2831" i="25" s="1"/>
  <c r="AD2832" i="25" s="1"/>
  <c r="AD2833" i="25" s="1"/>
  <c r="AD2834" i="25" s="1"/>
  <c r="AD2835" i="25" s="1"/>
  <c r="AD2836" i="25" s="1"/>
  <c r="AD2837" i="25" s="1"/>
  <c r="AD2838" i="25" s="1"/>
  <c r="AD2839" i="25" s="1"/>
  <c r="AD2840" i="25" s="1"/>
  <c r="AD2841" i="25" s="1"/>
  <c r="AD2842" i="25" s="1"/>
  <c r="AD2843" i="25" s="1"/>
  <c r="AD2844" i="25" s="1"/>
  <c r="AD2845" i="25" s="1"/>
  <c r="AD2846" i="25" s="1"/>
  <c r="AD2847" i="25" s="1"/>
  <c r="AD2848" i="25" s="1"/>
  <c r="AD2849" i="25" s="1"/>
  <c r="AD2850" i="25" s="1"/>
  <c r="AD2851" i="25" s="1"/>
  <c r="AD2852" i="25" s="1"/>
  <c r="AD2853" i="25" s="1"/>
  <c r="AD2854" i="25" s="1"/>
  <c r="AD2855" i="25" s="1"/>
  <c r="AD2856" i="25" s="1"/>
  <c r="AD2857" i="25" s="1"/>
  <c r="AD2858" i="25" s="1"/>
  <c r="AD2859" i="25" s="1"/>
  <c r="AD2860" i="25" s="1"/>
  <c r="AD2861" i="25" s="1"/>
  <c r="AD2862" i="25" s="1"/>
  <c r="AD2863" i="25" s="1"/>
  <c r="AD2864" i="25" s="1"/>
  <c r="AD2865" i="25" s="1"/>
  <c r="AD2866" i="25" s="1"/>
  <c r="AD2867" i="25" s="1"/>
  <c r="AD2868" i="25" s="1"/>
  <c r="AD2869" i="25" s="1"/>
  <c r="AD2870" i="25" s="1"/>
  <c r="AD2871" i="25" s="1"/>
  <c r="AD2872" i="25" s="1"/>
  <c r="AD2873" i="25" s="1"/>
  <c r="AD2874" i="25" s="1"/>
  <c r="AD2875" i="25" s="1"/>
  <c r="AD2876" i="25" s="1"/>
  <c r="AD2877" i="25" s="1"/>
  <c r="AD2878" i="25" s="1"/>
  <c r="AD2879" i="25" s="1"/>
  <c r="AD2880" i="25" s="1"/>
  <c r="AD2881" i="25" s="1"/>
  <c r="AD2882" i="25" s="1"/>
  <c r="AD2883" i="25" s="1"/>
  <c r="AD2884" i="25" s="1"/>
  <c r="AD2885" i="25" s="1"/>
  <c r="AD2886" i="25" s="1"/>
  <c r="AD2887" i="25" s="1"/>
  <c r="AD2888" i="25" s="1"/>
  <c r="AD2889" i="25" s="1"/>
  <c r="AD2890" i="25" s="1"/>
  <c r="AD2891" i="25" s="1"/>
  <c r="AD2892" i="25" s="1"/>
  <c r="AD2893" i="25" s="1"/>
  <c r="AD2894" i="25" s="1"/>
  <c r="AD2895" i="25" s="1"/>
  <c r="AD2896" i="25" s="1"/>
  <c r="AD2897" i="25" s="1"/>
  <c r="AD2898" i="25" s="1"/>
  <c r="AD2899" i="25" s="1"/>
  <c r="AD2900" i="25" s="1"/>
  <c r="AD2901" i="25" s="1"/>
  <c r="AD2902" i="25" s="1"/>
  <c r="AD2903" i="25" s="1"/>
  <c r="AD2904" i="25" s="1"/>
  <c r="AD2905" i="25" s="1"/>
  <c r="AD2906" i="25" s="1"/>
  <c r="AD2907" i="25" s="1"/>
  <c r="AD2908" i="25" s="1"/>
  <c r="AD2909" i="25" s="1"/>
  <c r="AD2910" i="25" s="1"/>
  <c r="AD2911" i="25" s="1"/>
  <c r="AD2912" i="25" s="1"/>
  <c r="AD2913" i="25" s="1"/>
  <c r="AD2914" i="25" s="1"/>
  <c r="AD2915" i="25" s="1"/>
  <c r="AD2916" i="25" s="1"/>
  <c r="AD2917" i="25" s="1"/>
  <c r="AD2918" i="25" s="1"/>
  <c r="AD2919" i="25" s="1"/>
  <c r="AD2920" i="25" s="1"/>
  <c r="AD2921" i="25" s="1"/>
  <c r="AD2922" i="25" s="1"/>
  <c r="AD2923" i="25" s="1"/>
  <c r="AD2924" i="25" s="1"/>
  <c r="AD2925" i="25" s="1"/>
  <c r="AD2926" i="25" s="1"/>
  <c r="AD2927" i="25" s="1"/>
  <c r="AD2928" i="25" s="1"/>
  <c r="AD2929" i="25" s="1"/>
  <c r="AD2930" i="25" s="1"/>
  <c r="AD2931" i="25" s="1"/>
  <c r="AD2932" i="25" s="1"/>
  <c r="AD2933" i="25" s="1"/>
  <c r="AD2934" i="25" s="1"/>
  <c r="AD2935" i="25" s="1"/>
  <c r="AD2936" i="25" s="1"/>
  <c r="AD2937" i="25" s="1"/>
  <c r="AD2938" i="25" s="1"/>
  <c r="AD2939" i="25" s="1"/>
  <c r="AD2940" i="25" s="1"/>
  <c r="AD2941" i="25" s="1"/>
  <c r="AD2942" i="25" s="1"/>
  <c r="AD2943" i="25" s="1"/>
  <c r="AD2944" i="25" s="1"/>
  <c r="AD2945" i="25" s="1"/>
  <c r="AD2946" i="25" s="1"/>
  <c r="AD2947" i="25" s="1"/>
  <c r="AD2948" i="25" s="1"/>
  <c r="AD2949" i="25" s="1"/>
  <c r="AD2950" i="25" s="1"/>
  <c r="AD2951" i="25" s="1"/>
  <c r="AD2952" i="25" s="1"/>
  <c r="AD2953" i="25" s="1"/>
  <c r="AD2954" i="25" s="1"/>
  <c r="AD2955" i="25" s="1"/>
  <c r="AD2956" i="25" s="1"/>
  <c r="AD2957" i="25" s="1"/>
  <c r="AD2958" i="25" s="1"/>
  <c r="AD2959" i="25" s="1"/>
  <c r="AD2960" i="25" s="1"/>
  <c r="AD2961" i="25" s="1"/>
  <c r="AD2962" i="25" s="1"/>
  <c r="AD2963" i="25" s="1"/>
  <c r="AD2964" i="25" s="1"/>
  <c r="AD2965" i="25" s="1"/>
  <c r="AD2966" i="25" s="1"/>
  <c r="AD2967" i="25" s="1"/>
  <c r="AD2968" i="25" s="1"/>
  <c r="AD2969" i="25" s="1"/>
  <c r="AD2970" i="25" s="1"/>
  <c r="AD2971" i="25" s="1"/>
  <c r="AD2972" i="25" s="1"/>
  <c r="AD2973" i="25" s="1"/>
  <c r="AD2974" i="25" s="1"/>
  <c r="AD2975" i="25" s="1"/>
  <c r="AD2976" i="25" s="1"/>
  <c r="AD2977" i="25" s="1"/>
  <c r="AD2978" i="25" s="1"/>
  <c r="AD2979" i="25" s="1"/>
  <c r="AD2980" i="25" s="1"/>
  <c r="AD2981" i="25" s="1"/>
  <c r="AD2982" i="25" s="1"/>
  <c r="AD2983" i="25" s="1"/>
  <c r="AD2984" i="25" s="1"/>
  <c r="AD2985" i="25" s="1"/>
  <c r="AD2986" i="25" s="1"/>
  <c r="AD2987" i="25" s="1"/>
  <c r="AD2988" i="25" s="1"/>
  <c r="AD2989" i="25" s="1"/>
  <c r="AD2990" i="25" s="1"/>
  <c r="AD2991" i="25" s="1"/>
  <c r="AD2992" i="25" s="1"/>
  <c r="AD2993" i="25" s="1"/>
  <c r="AD2994" i="25" s="1"/>
  <c r="AD2995" i="25" s="1"/>
  <c r="AD2996" i="25" s="1"/>
  <c r="AD2997" i="25" s="1"/>
  <c r="AD2998" i="25" s="1"/>
  <c r="AD2999" i="25" s="1"/>
  <c r="AD3000" i="25" s="1"/>
  <c r="AD3001" i="25" s="1"/>
  <c r="AD3002" i="25" s="1"/>
  <c r="AD3003" i="25" s="1"/>
  <c r="AD3004" i="25" s="1"/>
  <c r="AD3005" i="25" s="1"/>
  <c r="AD3006" i="25" s="1"/>
  <c r="AD3007" i="25" s="1"/>
  <c r="AD3008" i="25" s="1"/>
  <c r="AD3009" i="25" s="1"/>
  <c r="AD3010" i="25" s="1"/>
  <c r="AD3011" i="25" s="1"/>
  <c r="AD3012" i="25" s="1"/>
  <c r="AD3013" i="25" s="1"/>
  <c r="AD3014" i="25" s="1"/>
  <c r="AD3015" i="25" s="1"/>
  <c r="AD3016" i="25" s="1"/>
  <c r="AD3017" i="25" s="1"/>
  <c r="AD3018" i="25" s="1"/>
  <c r="AD3019" i="25" s="1"/>
  <c r="AD3020" i="25" s="1"/>
  <c r="AD3021" i="25" s="1"/>
  <c r="AD3022" i="25" s="1"/>
  <c r="AD3023" i="25" s="1"/>
  <c r="AD3024" i="25" s="1"/>
  <c r="AD3025" i="25" s="1"/>
  <c r="AD3026" i="25" s="1"/>
  <c r="AD3027" i="25" s="1"/>
  <c r="AD3028" i="25" s="1"/>
  <c r="AD3029" i="25" s="1"/>
  <c r="AD3030" i="25" s="1"/>
  <c r="AD3031" i="25" s="1"/>
  <c r="AD3032" i="25" s="1"/>
  <c r="AD3033" i="25" s="1"/>
  <c r="AD3034" i="25" s="1"/>
  <c r="AD3035" i="25" s="1"/>
  <c r="AD3036" i="25" s="1"/>
  <c r="AD3037" i="25" s="1"/>
  <c r="AD3038" i="25" s="1"/>
  <c r="AD3039" i="25" s="1"/>
  <c r="AD3040" i="25" s="1"/>
  <c r="AD3041" i="25" s="1"/>
  <c r="AD3042" i="25" s="1"/>
  <c r="AD3043" i="25" s="1"/>
  <c r="AD3044" i="25" s="1"/>
  <c r="AD3045" i="25" s="1"/>
  <c r="AD3046" i="25" s="1"/>
  <c r="AD3047" i="25" s="1"/>
  <c r="AD3048" i="25" s="1"/>
  <c r="AD3049" i="25" s="1"/>
  <c r="AD3050" i="25" s="1"/>
  <c r="AD3051" i="25" s="1"/>
  <c r="AD3052" i="25" s="1"/>
  <c r="AD3053" i="25" s="1"/>
  <c r="AD3054" i="25" s="1"/>
  <c r="AD3055" i="25" s="1"/>
  <c r="AD3056" i="25" s="1"/>
  <c r="AD3057" i="25" s="1"/>
  <c r="AD3058" i="25" s="1"/>
  <c r="AD3059" i="25" s="1"/>
  <c r="AD3060" i="25" s="1"/>
  <c r="AD3061" i="25" s="1"/>
  <c r="AD3062" i="25" s="1"/>
  <c r="AD3063" i="25" s="1"/>
  <c r="AD3064" i="25" s="1"/>
  <c r="AD3065" i="25" s="1"/>
  <c r="AD3066" i="25" s="1"/>
  <c r="AD3067" i="25" s="1"/>
  <c r="AD3068" i="25" s="1"/>
  <c r="AD3069" i="25" s="1"/>
  <c r="AD3070" i="25" s="1"/>
  <c r="AD3071" i="25" s="1"/>
  <c r="AD3072" i="25" s="1"/>
  <c r="AD3073" i="25" s="1"/>
  <c r="AD3074" i="25" s="1"/>
  <c r="AD3075" i="25" s="1"/>
  <c r="AD3076" i="25" s="1"/>
  <c r="AD3077" i="25" s="1"/>
  <c r="AD3078" i="25" s="1"/>
  <c r="AD3079" i="25" s="1"/>
  <c r="AD3080" i="25" s="1"/>
  <c r="AD3081" i="25" s="1"/>
  <c r="AD3082" i="25" s="1"/>
  <c r="AD3083" i="25" s="1"/>
  <c r="AD3084" i="25" s="1"/>
  <c r="AD3085" i="25" s="1"/>
  <c r="AD3086" i="25" s="1"/>
  <c r="AD3087" i="25" s="1"/>
  <c r="AD3088" i="25" s="1"/>
  <c r="AD3089" i="25" s="1"/>
  <c r="AD3090" i="25" s="1"/>
  <c r="AD3091" i="25" s="1"/>
  <c r="AD3092" i="25" s="1"/>
  <c r="AD3093" i="25" s="1"/>
  <c r="AD3094" i="25" s="1"/>
  <c r="AD3095" i="25" s="1"/>
  <c r="AD3096" i="25" s="1"/>
  <c r="AD3097" i="25" s="1"/>
  <c r="AD3098" i="25" s="1"/>
  <c r="AD3099" i="25" s="1"/>
  <c r="AD3100" i="25" s="1"/>
  <c r="AD3101" i="25" s="1"/>
  <c r="AD3102" i="25" s="1"/>
  <c r="AD3103" i="25" s="1"/>
  <c r="AD3104" i="25" s="1"/>
  <c r="AD3105" i="25" s="1"/>
  <c r="AD3106" i="25" s="1"/>
  <c r="AD3107" i="25" s="1"/>
  <c r="AD3108" i="25" s="1"/>
  <c r="AD3109" i="25" s="1"/>
  <c r="AD3110" i="25" s="1"/>
  <c r="AD3111" i="25" s="1"/>
  <c r="AD3112" i="25" s="1"/>
  <c r="AD3113" i="25" s="1"/>
  <c r="AD3114" i="25" s="1"/>
  <c r="AD3115" i="25" s="1"/>
  <c r="AD3116" i="25" s="1"/>
  <c r="AD3117" i="25" s="1"/>
  <c r="AD3118" i="25" s="1"/>
  <c r="AD3119" i="25" s="1"/>
  <c r="AD3120" i="25" s="1"/>
  <c r="AD3121" i="25" s="1"/>
  <c r="AD3122" i="25" s="1"/>
  <c r="AD3123" i="25" s="1"/>
  <c r="AD3124" i="25" s="1"/>
  <c r="AD3125" i="25" s="1"/>
  <c r="AD3126" i="25" s="1"/>
  <c r="AD3127" i="25" s="1"/>
  <c r="AD3128" i="25" s="1"/>
  <c r="AD3129" i="25" s="1"/>
  <c r="AD3130" i="25" s="1"/>
  <c r="AD3131" i="25" s="1"/>
  <c r="AD3132" i="25" s="1"/>
  <c r="AD3133" i="25" s="1"/>
  <c r="AD3134" i="25" s="1"/>
  <c r="AD3135" i="25" s="1"/>
  <c r="AD3136" i="25" s="1"/>
  <c r="AD3137" i="25" s="1"/>
  <c r="AD3138" i="25" s="1"/>
  <c r="AD3139" i="25" s="1"/>
  <c r="AD3140" i="25" s="1"/>
  <c r="AD3141" i="25" s="1"/>
  <c r="AD3142" i="25" s="1"/>
  <c r="AD3143" i="25" s="1"/>
  <c r="AD3144" i="25" s="1"/>
  <c r="AD3145" i="25" s="1"/>
  <c r="AD3146" i="25" s="1"/>
  <c r="AD3147" i="25" s="1"/>
  <c r="AD3148" i="25" s="1"/>
  <c r="AD3149" i="25" s="1"/>
  <c r="AD3150" i="25" s="1"/>
  <c r="AD3151" i="25" s="1"/>
  <c r="AD3152" i="25" s="1"/>
  <c r="AD3153" i="25" s="1"/>
  <c r="AD3154" i="25" s="1"/>
  <c r="AD3155" i="25" s="1"/>
  <c r="AD3156" i="25" s="1"/>
  <c r="AD3157" i="25" s="1"/>
  <c r="AD3158" i="25" s="1"/>
  <c r="AD3159" i="25" s="1"/>
  <c r="AD3160" i="25" s="1"/>
  <c r="AD3161" i="25" s="1"/>
  <c r="AD3162" i="25" s="1"/>
  <c r="AD3163" i="25" s="1"/>
  <c r="AD3164" i="25" s="1"/>
  <c r="AD3165" i="25" s="1"/>
  <c r="AD3166" i="25" s="1"/>
  <c r="AD3167" i="25" s="1"/>
  <c r="AD3168" i="25" s="1"/>
  <c r="AD3169" i="25" s="1"/>
  <c r="AD3170" i="25" s="1"/>
  <c r="AD3171" i="25" s="1"/>
  <c r="AD3172" i="25" s="1"/>
  <c r="AD3173" i="25" s="1"/>
  <c r="AD3174" i="25" s="1"/>
  <c r="AD3175" i="25" s="1"/>
  <c r="AD3176" i="25" s="1"/>
  <c r="AD3177" i="25" s="1"/>
  <c r="AD3178" i="25" s="1"/>
  <c r="AD3179" i="25" s="1"/>
  <c r="AD3180" i="25" s="1"/>
  <c r="AD3181" i="25" s="1"/>
  <c r="AD3182" i="25" s="1"/>
  <c r="AD3183" i="25" s="1"/>
  <c r="AD3184" i="25" s="1"/>
  <c r="AD3185" i="25" s="1"/>
  <c r="AD3186" i="25" s="1"/>
  <c r="AD3187" i="25" s="1"/>
  <c r="AD3188" i="25" s="1"/>
  <c r="AD3189" i="25" s="1"/>
  <c r="AD3190" i="25" s="1"/>
  <c r="AD3191" i="25" s="1"/>
  <c r="AD3192" i="25" s="1"/>
  <c r="AD3193" i="25" s="1"/>
  <c r="AD3194" i="25" s="1"/>
  <c r="AD3195" i="25" s="1"/>
  <c r="AD3196" i="25" s="1"/>
  <c r="AD3197" i="25" s="1"/>
  <c r="AD3198" i="25" s="1"/>
  <c r="AD3199" i="25" s="1"/>
  <c r="AD3200" i="25" s="1"/>
  <c r="AD3201" i="25" s="1"/>
  <c r="AD3202" i="25" s="1"/>
  <c r="AD3203" i="25" s="1"/>
  <c r="AD3204" i="25" s="1"/>
  <c r="AD3205" i="25" s="1"/>
  <c r="AD3206" i="25" s="1"/>
  <c r="AD3207" i="25" s="1"/>
  <c r="AD3208" i="25" s="1"/>
  <c r="AD3209" i="25" s="1"/>
  <c r="AD3210" i="25" s="1"/>
  <c r="AD3211" i="25" s="1"/>
  <c r="AD3212" i="25" s="1"/>
  <c r="AD3213" i="25" s="1"/>
  <c r="AD3214" i="25" s="1"/>
  <c r="AD3215" i="25" s="1"/>
  <c r="AD3216" i="25" s="1"/>
  <c r="AD3217" i="25" s="1"/>
  <c r="AD3218" i="25" s="1"/>
  <c r="AD3219" i="25" s="1"/>
  <c r="AD3220" i="25" s="1"/>
  <c r="AD3221" i="25" s="1"/>
  <c r="AD3222" i="25" s="1"/>
  <c r="AD3223" i="25" s="1"/>
  <c r="AD3224" i="25" s="1"/>
  <c r="AD3225" i="25" s="1"/>
  <c r="AD3226" i="25" s="1"/>
  <c r="AD3227" i="25" s="1"/>
  <c r="AD3228" i="25" s="1"/>
  <c r="AD3229" i="25" s="1"/>
  <c r="AD3230" i="25" s="1"/>
  <c r="AD3231" i="25" s="1"/>
  <c r="AD3232" i="25" s="1"/>
  <c r="AD3233" i="25" s="1"/>
  <c r="AD3234" i="25" s="1"/>
  <c r="AD3235" i="25" s="1"/>
  <c r="AD3236" i="25" s="1"/>
  <c r="AD3237" i="25" s="1"/>
  <c r="AD3238" i="25" s="1"/>
  <c r="AD3239" i="25" s="1"/>
  <c r="AD3240" i="25" s="1"/>
  <c r="AD3241" i="25" s="1"/>
  <c r="AD3242" i="25" s="1"/>
  <c r="AD3243" i="25" s="1"/>
  <c r="AD3244" i="25" s="1"/>
  <c r="AD3245" i="25" s="1"/>
  <c r="AD3246" i="25" s="1"/>
  <c r="AD3247" i="25" s="1"/>
  <c r="AD3248" i="25" s="1"/>
  <c r="AD3249" i="25" s="1"/>
  <c r="AD3250" i="25" s="1"/>
  <c r="AD3251" i="25" s="1"/>
  <c r="AD3252" i="25" s="1"/>
  <c r="AD3253" i="25" s="1"/>
  <c r="AD3254" i="25" s="1"/>
  <c r="AD3255" i="25" s="1"/>
  <c r="AD3256" i="25" s="1"/>
  <c r="AD3257" i="25" s="1"/>
  <c r="AD3258" i="25" s="1"/>
  <c r="AD3259" i="25" s="1"/>
  <c r="AD3260" i="25" s="1"/>
  <c r="AD3261" i="25" s="1"/>
  <c r="AD3262" i="25" s="1"/>
  <c r="AD3263" i="25" s="1"/>
  <c r="AD3264" i="25" s="1"/>
  <c r="AD3265" i="25" s="1"/>
  <c r="AD3266" i="25" s="1"/>
  <c r="AD3267" i="25" s="1"/>
  <c r="AD3268" i="25" s="1"/>
  <c r="AD3269" i="25" s="1"/>
  <c r="AD3270" i="25" s="1"/>
  <c r="AD3271" i="25" s="1"/>
  <c r="AD3272" i="25" s="1"/>
  <c r="AD3273" i="25" s="1"/>
  <c r="AD3274" i="25" s="1"/>
  <c r="AD3275" i="25" s="1"/>
  <c r="AD3276" i="25" s="1"/>
  <c r="AD3277" i="25" s="1"/>
  <c r="AD3278" i="25" s="1"/>
  <c r="AD3279" i="25" s="1"/>
  <c r="AD3280" i="25" s="1"/>
  <c r="AD3281" i="25" s="1"/>
  <c r="AD3282" i="25" s="1"/>
  <c r="AD3283" i="25" s="1"/>
  <c r="AD3284" i="25" s="1"/>
  <c r="AD3285" i="25" s="1"/>
  <c r="AD3286" i="25" s="1"/>
  <c r="AD3287" i="25" s="1"/>
  <c r="AD3288" i="25" s="1"/>
  <c r="AD3289" i="25" s="1"/>
  <c r="AD3290" i="25" s="1"/>
  <c r="AD3291" i="25" s="1"/>
  <c r="AD3292" i="25" s="1"/>
  <c r="AD3293" i="25" s="1"/>
  <c r="AD3294" i="25" s="1"/>
  <c r="AD3295" i="25" s="1"/>
  <c r="AD3296" i="25" s="1"/>
  <c r="AD3297" i="25" s="1"/>
  <c r="AD3298" i="25" s="1"/>
  <c r="AD3299" i="25" s="1"/>
  <c r="AD3300" i="25" s="1"/>
  <c r="AD3301" i="25" s="1"/>
  <c r="AD3302" i="25" s="1"/>
  <c r="AD3303" i="25" s="1"/>
  <c r="AD3304" i="25" s="1"/>
  <c r="AD3305" i="25" s="1"/>
  <c r="AD3306" i="25" s="1"/>
  <c r="AD3307" i="25" s="1"/>
  <c r="AD3308" i="25" s="1"/>
  <c r="AD3309" i="25" s="1"/>
  <c r="AD3310" i="25" s="1"/>
  <c r="AD3311" i="25" s="1"/>
  <c r="AD3312" i="25" s="1"/>
  <c r="AD3313" i="25" s="1"/>
  <c r="AD3314" i="25" s="1"/>
  <c r="AD3315" i="25" s="1"/>
  <c r="AD3316" i="25" s="1"/>
  <c r="AD3317" i="25" s="1"/>
  <c r="AD3318" i="25" s="1"/>
  <c r="AD3319" i="25" s="1"/>
  <c r="AD3320" i="25" s="1"/>
  <c r="AD3321" i="25" s="1"/>
  <c r="AD3322" i="25" s="1"/>
  <c r="AD3323" i="25" s="1"/>
  <c r="AD3324" i="25" s="1"/>
  <c r="AD3325" i="25" s="1"/>
  <c r="AD3326" i="25" s="1"/>
  <c r="AD3327" i="25" s="1"/>
  <c r="AD3328" i="25" s="1"/>
  <c r="AD3329" i="25" s="1"/>
  <c r="AD3330" i="25" s="1"/>
  <c r="AD3331" i="25" s="1"/>
  <c r="AD3332" i="25" s="1"/>
  <c r="AD3333" i="25" s="1"/>
  <c r="AD3334" i="25" s="1"/>
  <c r="AD3335" i="25" s="1"/>
  <c r="AD3336" i="25" s="1"/>
  <c r="AD3337" i="25" s="1"/>
  <c r="AD3338" i="25" s="1"/>
  <c r="AD3339" i="25" s="1"/>
  <c r="AD3340" i="25" s="1"/>
  <c r="AD3341" i="25" s="1"/>
  <c r="AD3342" i="25" s="1"/>
  <c r="AD3343" i="25" s="1"/>
  <c r="AD3344" i="25" s="1"/>
  <c r="AD3345" i="25" s="1"/>
  <c r="AD3346" i="25" s="1"/>
  <c r="AD3347" i="25" s="1"/>
  <c r="AD3348" i="25" s="1"/>
  <c r="AD3349" i="25" s="1"/>
  <c r="AD3350" i="25" s="1"/>
  <c r="AD3351" i="25" s="1"/>
  <c r="AD3352" i="25" s="1"/>
  <c r="AD3353" i="25" s="1"/>
  <c r="AD3354" i="25" s="1"/>
  <c r="AD3355" i="25" s="1"/>
  <c r="AD3356" i="25" s="1"/>
  <c r="AD3357" i="25" s="1"/>
  <c r="AD3358" i="25" s="1"/>
  <c r="AD3359" i="25" s="1"/>
  <c r="AD3360" i="25" s="1"/>
  <c r="AD3361" i="25" s="1"/>
  <c r="AD3362" i="25" s="1"/>
  <c r="AD3363" i="25" s="1"/>
  <c r="AD3364" i="25" s="1"/>
  <c r="AD3365" i="25" s="1"/>
  <c r="AD3366" i="25" s="1"/>
  <c r="AD3367" i="25" s="1"/>
  <c r="AD3368" i="25" s="1"/>
  <c r="AD3369" i="25" s="1"/>
  <c r="AD3370" i="25" s="1"/>
  <c r="AD3371" i="25" s="1"/>
  <c r="AD3372" i="25" s="1"/>
  <c r="AD3373" i="25" s="1"/>
  <c r="AD3374" i="25" s="1"/>
  <c r="AD3375" i="25" s="1"/>
  <c r="AD3376" i="25" s="1"/>
  <c r="AD3377" i="25" s="1"/>
  <c r="AD3378" i="25" s="1"/>
  <c r="AD3379" i="25" s="1"/>
  <c r="AD3380" i="25" s="1"/>
  <c r="AD3381" i="25" s="1"/>
  <c r="AD3382" i="25" s="1"/>
  <c r="AD3383" i="25" s="1"/>
  <c r="AD3384" i="25" s="1"/>
  <c r="AD3385" i="25" s="1"/>
  <c r="AD3386" i="25" s="1"/>
  <c r="AD3387" i="25" s="1"/>
  <c r="AD3388" i="25" s="1"/>
  <c r="AD3389" i="25" s="1"/>
  <c r="AD3390" i="25" s="1"/>
  <c r="AD3391" i="25" s="1"/>
  <c r="AD3392" i="25" s="1"/>
  <c r="AD3393" i="25" s="1"/>
  <c r="AD3394" i="25" s="1"/>
  <c r="AD3395" i="25" s="1"/>
  <c r="AD3396" i="25" s="1"/>
  <c r="AD3397" i="25" s="1"/>
  <c r="AD3398" i="25" s="1"/>
  <c r="AD3399" i="25" s="1"/>
  <c r="AD3400" i="25" s="1"/>
  <c r="AD3401" i="25" s="1"/>
  <c r="AD3402" i="25" s="1"/>
  <c r="AD3403" i="25" s="1"/>
  <c r="AD3404" i="25" s="1"/>
  <c r="AD3405" i="25" s="1"/>
  <c r="AD3406" i="25" s="1"/>
  <c r="AD3407" i="25" s="1"/>
  <c r="AD3408" i="25" s="1"/>
  <c r="AD3409" i="25" s="1"/>
  <c r="AD3410" i="25" s="1"/>
  <c r="AD3411" i="25" s="1"/>
  <c r="AD3412" i="25" s="1"/>
  <c r="AD3413" i="25" s="1"/>
  <c r="AD3414" i="25" s="1"/>
  <c r="AD3415" i="25" s="1"/>
  <c r="AD3416" i="25" s="1"/>
  <c r="AD3417" i="25" s="1"/>
  <c r="AD3418" i="25" s="1"/>
  <c r="AD3419" i="25" s="1"/>
  <c r="AD3420" i="25" s="1"/>
  <c r="AD3421" i="25" s="1"/>
  <c r="AD3422" i="25" s="1"/>
  <c r="AD3423" i="25" s="1"/>
  <c r="AD3424" i="25" s="1"/>
  <c r="AD3425" i="25" s="1"/>
  <c r="AD3426" i="25" s="1"/>
  <c r="AD3427" i="25" s="1"/>
  <c r="AD3428" i="25" s="1"/>
  <c r="AD3429" i="25" s="1"/>
  <c r="AD3430" i="25" s="1"/>
  <c r="AD3431" i="25" s="1"/>
  <c r="AD3432" i="25" s="1"/>
  <c r="AD3433" i="25" s="1"/>
  <c r="AD3434" i="25" s="1"/>
  <c r="AD3435" i="25" s="1"/>
  <c r="AD3436" i="25" s="1"/>
  <c r="AD3437" i="25" s="1"/>
  <c r="AD3438" i="25" s="1"/>
  <c r="AD3439" i="25" s="1"/>
  <c r="AD3440" i="25" s="1"/>
  <c r="AD3441" i="25" s="1"/>
  <c r="AD3442" i="25" s="1"/>
  <c r="AD3443" i="25" s="1"/>
  <c r="AD3444" i="25" s="1"/>
  <c r="AD3445" i="25" s="1"/>
  <c r="AD3446" i="25" s="1"/>
  <c r="AD3447" i="25" s="1"/>
  <c r="AD3448" i="25" s="1"/>
  <c r="AD3449" i="25" s="1"/>
  <c r="AD3450" i="25" s="1"/>
  <c r="AD3451" i="25" s="1"/>
  <c r="AD3452" i="25" s="1"/>
  <c r="AD3453" i="25" s="1"/>
  <c r="AD3454" i="25" s="1"/>
  <c r="AD3455" i="25" s="1"/>
  <c r="AD3456" i="25" s="1"/>
  <c r="AD3457" i="25" s="1"/>
  <c r="AD3458" i="25" s="1"/>
  <c r="AD3459" i="25" s="1"/>
  <c r="AD3460" i="25" s="1"/>
  <c r="AD3461" i="25" s="1"/>
  <c r="AD3462" i="25" s="1"/>
  <c r="AD3463" i="25" s="1"/>
  <c r="AD3464" i="25" s="1"/>
  <c r="AD3465" i="25" s="1"/>
  <c r="AD3466" i="25" s="1"/>
  <c r="AD3467" i="25" s="1"/>
  <c r="AD3468" i="25" s="1"/>
  <c r="AD3469" i="25" s="1"/>
  <c r="AD3470" i="25" s="1"/>
  <c r="AD3471" i="25" s="1"/>
  <c r="AD3472" i="25" s="1"/>
  <c r="AD3473" i="25" s="1"/>
  <c r="AD3474" i="25" s="1"/>
  <c r="AD3475" i="25" s="1"/>
  <c r="AD3476" i="25" s="1"/>
  <c r="AD3477" i="25" s="1"/>
  <c r="AD3478" i="25" s="1"/>
  <c r="AD3479" i="25" s="1"/>
  <c r="AD3480" i="25" s="1"/>
  <c r="AD3481" i="25" s="1"/>
  <c r="AD3482" i="25" s="1"/>
  <c r="AD3483" i="25" s="1"/>
  <c r="AD3484" i="25" s="1"/>
  <c r="AD3485" i="25" s="1"/>
  <c r="AD3486" i="25" s="1"/>
  <c r="AD3487" i="25" s="1"/>
  <c r="AD3488" i="25" s="1"/>
  <c r="AD3489" i="25" s="1"/>
  <c r="AD3490" i="25" s="1"/>
  <c r="AD3491" i="25" s="1"/>
  <c r="AD3492" i="25" s="1"/>
  <c r="AD3493" i="25" s="1"/>
  <c r="AD3494" i="25" s="1"/>
  <c r="AD3495" i="25" s="1"/>
  <c r="AD3496" i="25" s="1"/>
  <c r="AD3497" i="25" s="1"/>
  <c r="AD3498" i="25" s="1"/>
  <c r="AD3499" i="25" s="1"/>
  <c r="AD3500" i="25" s="1"/>
  <c r="AD3501" i="25" s="1"/>
  <c r="AD3502" i="25" s="1"/>
  <c r="AD3503" i="25" s="1"/>
  <c r="AD3504" i="25" s="1"/>
  <c r="AD3505" i="25" s="1"/>
  <c r="AD3506" i="25" s="1"/>
  <c r="AD3507" i="25" s="1"/>
  <c r="AD3508" i="25" s="1"/>
  <c r="AD3509" i="25" s="1"/>
  <c r="AD3510" i="25" s="1"/>
  <c r="AD3511" i="25" s="1"/>
  <c r="AD3512" i="25" s="1"/>
  <c r="AD3513" i="25" s="1"/>
  <c r="AD3514" i="25" s="1"/>
  <c r="AD3515" i="25" s="1"/>
  <c r="AD3516" i="25" s="1"/>
  <c r="AD3517" i="25" s="1"/>
  <c r="AD3518" i="25" s="1"/>
  <c r="AD3519" i="25" s="1"/>
  <c r="AD3520" i="25" s="1"/>
  <c r="AD3521" i="25" s="1"/>
  <c r="AD3522" i="25" s="1"/>
  <c r="AD3523" i="25" s="1"/>
  <c r="AD3524" i="25" s="1"/>
  <c r="AD3525" i="25" s="1"/>
  <c r="AD3526" i="25" s="1"/>
  <c r="AD3527" i="25" s="1"/>
  <c r="AD3528" i="25" s="1"/>
  <c r="AD3529" i="25" s="1"/>
  <c r="AD3530" i="25" s="1"/>
  <c r="AD3531" i="25" s="1"/>
  <c r="AD3532" i="25" s="1"/>
  <c r="AD3533" i="25" s="1"/>
  <c r="AD3534" i="25" s="1"/>
  <c r="AD3535" i="25" s="1"/>
  <c r="AD3536" i="25" s="1"/>
  <c r="AD3537" i="25" s="1"/>
  <c r="AD3538" i="25" s="1"/>
  <c r="AD3539" i="25" s="1"/>
  <c r="AD3540" i="25" s="1"/>
  <c r="AD3541" i="25" s="1"/>
  <c r="AD3542" i="25" s="1"/>
  <c r="AD3543" i="25" s="1"/>
  <c r="AD3544" i="25" s="1"/>
  <c r="AD3545" i="25" s="1"/>
  <c r="AD3546" i="25" s="1"/>
  <c r="AD3547" i="25" s="1"/>
  <c r="AD3548" i="25" s="1"/>
  <c r="AD3549" i="25" s="1"/>
  <c r="AD3550" i="25" s="1"/>
  <c r="AD3551" i="25" s="1"/>
  <c r="AD3552" i="25" s="1"/>
  <c r="AD3553" i="25" s="1"/>
  <c r="AD3554" i="25" s="1"/>
  <c r="AD3555" i="25" s="1"/>
  <c r="AD3556" i="25" s="1"/>
  <c r="AD3557" i="25" s="1"/>
  <c r="AD3558" i="25" s="1"/>
  <c r="AD3559" i="25" s="1"/>
  <c r="AD3560" i="25" s="1"/>
  <c r="AD3561" i="25" s="1"/>
  <c r="AD3562" i="25" s="1"/>
  <c r="AD3563" i="25" s="1"/>
  <c r="AD3564" i="25" s="1"/>
  <c r="AD3565" i="25" s="1"/>
  <c r="AD3566" i="25" s="1"/>
  <c r="AD3567" i="25" s="1"/>
  <c r="AD3568" i="25" s="1"/>
  <c r="AD3569" i="25" s="1"/>
  <c r="AD3570" i="25" s="1"/>
  <c r="AD3571" i="25" s="1"/>
  <c r="AD3572" i="25" s="1"/>
  <c r="AD3573" i="25" s="1"/>
  <c r="AD3574" i="25" s="1"/>
  <c r="AD3575" i="25" s="1"/>
  <c r="AD3576" i="25" s="1"/>
  <c r="AD3577" i="25" s="1"/>
  <c r="AD3578" i="25" s="1"/>
  <c r="AD3579" i="25" s="1"/>
  <c r="AD3580" i="25" s="1"/>
  <c r="AD3581" i="25" s="1"/>
  <c r="AD3582" i="25" s="1"/>
  <c r="AD3583" i="25" s="1"/>
  <c r="AD3584" i="25" s="1"/>
  <c r="AD3585" i="25" s="1"/>
  <c r="AD3586" i="25" s="1"/>
  <c r="AD3587" i="25" s="1"/>
  <c r="AD3588" i="25" s="1"/>
  <c r="AD3589" i="25" s="1"/>
  <c r="AD3590" i="25" s="1"/>
  <c r="AD3591" i="25" s="1"/>
  <c r="AD3592" i="25" s="1"/>
  <c r="AD3593" i="25" s="1"/>
  <c r="AD3594" i="25" s="1"/>
  <c r="AD3595" i="25" s="1"/>
  <c r="AD3596" i="25" s="1"/>
  <c r="AD3597" i="25" s="1"/>
  <c r="AD3598" i="25" s="1"/>
  <c r="AD3599" i="25" s="1"/>
  <c r="AD3600" i="25" s="1"/>
  <c r="AD3601" i="25" s="1"/>
  <c r="AD3602" i="25" s="1"/>
  <c r="AD3603" i="25" s="1"/>
  <c r="AD3604" i="25" s="1"/>
  <c r="AD3605" i="25" s="1"/>
  <c r="AD3606" i="25" s="1"/>
  <c r="AD3607" i="25" s="1"/>
  <c r="AD3608" i="25" s="1"/>
  <c r="AD3609" i="25" s="1"/>
  <c r="AD3610" i="25" s="1"/>
  <c r="AD3611" i="25" s="1"/>
  <c r="AD3612" i="25" s="1"/>
  <c r="AD3613" i="25" s="1"/>
  <c r="AD3614" i="25" s="1"/>
  <c r="AD3615" i="25" s="1"/>
  <c r="AD3616" i="25" s="1"/>
  <c r="AD3617" i="25" s="1"/>
  <c r="AD3618" i="25" s="1"/>
  <c r="AD3619" i="25" s="1"/>
  <c r="AD3620" i="25" s="1"/>
  <c r="AD3621" i="25" s="1"/>
  <c r="AD3622" i="25" s="1"/>
  <c r="AD3623" i="25" s="1"/>
  <c r="AD3624" i="25" s="1"/>
  <c r="AD3625" i="25" s="1"/>
  <c r="AD3626" i="25" s="1"/>
  <c r="AD3627" i="25" s="1"/>
  <c r="AD3628" i="25" s="1"/>
  <c r="AD3629" i="25" s="1"/>
  <c r="AD3630" i="25" s="1"/>
  <c r="AD3631" i="25" s="1"/>
  <c r="AD3632" i="25" s="1"/>
  <c r="AD3633" i="25" s="1"/>
  <c r="AD3634" i="25" s="1"/>
  <c r="AD3635" i="25" s="1"/>
  <c r="AD3636" i="25" s="1"/>
  <c r="AD3637" i="25" s="1"/>
  <c r="AD3638" i="25" s="1"/>
  <c r="AD3639" i="25" s="1"/>
  <c r="AD3640" i="25" s="1"/>
  <c r="AD3641" i="25" s="1"/>
  <c r="AD3642" i="25" s="1"/>
  <c r="AD3643" i="25" s="1"/>
  <c r="AD3644" i="25" s="1"/>
  <c r="AD3645" i="25" s="1"/>
  <c r="AD3646" i="25" s="1"/>
  <c r="AD3647" i="25" s="1"/>
  <c r="AD3648" i="25" s="1"/>
  <c r="AD3649" i="25" s="1"/>
  <c r="AD3650" i="25" s="1"/>
  <c r="AD3651" i="25" s="1"/>
  <c r="AD3652" i="25" s="1"/>
  <c r="AD3653" i="25" s="1"/>
  <c r="AD3654" i="25" s="1"/>
  <c r="AD3655" i="25" s="1"/>
  <c r="AD3656" i="25" s="1"/>
  <c r="AD3657" i="25" s="1"/>
  <c r="AD3658" i="25" s="1"/>
  <c r="AD3659" i="25" s="1"/>
  <c r="AD3660" i="25" s="1"/>
  <c r="AD3661" i="25" s="1"/>
  <c r="AD3662" i="25" s="1"/>
  <c r="AD3663" i="25" s="1"/>
  <c r="AD3664" i="25" s="1"/>
  <c r="AD3665" i="25" s="1"/>
  <c r="AD3666" i="25" s="1"/>
  <c r="AD3667" i="25" s="1"/>
  <c r="AD3668" i="25" s="1"/>
  <c r="AD3669" i="25" s="1"/>
  <c r="AD3670" i="25" s="1"/>
  <c r="AD3671" i="25" s="1"/>
  <c r="AD3672" i="25" s="1"/>
  <c r="AD3673" i="25" s="1"/>
  <c r="AD3674" i="25" s="1"/>
  <c r="AD3675" i="25" s="1"/>
  <c r="AD3676" i="25" s="1"/>
  <c r="AD3677" i="25" s="1"/>
  <c r="AD3678" i="25" s="1"/>
  <c r="AD3679" i="25" s="1"/>
  <c r="AD3680" i="25" s="1"/>
  <c r="AD3681" i="25" s="1"/>
  <c r="AD3682" i="25" s="1"/>
  <c r="AD3683" i="25" s="1"/>
  <c r="AD3684" i="25" s="1"/>
  <c r="AD3685" i="25" s="1"/>
  <c r="AD3686" i="25" s="1"/>
  <c r="AD3687" i="25" s="1"/>
  <c r="AD3688" i="25" s="1"/>
  <c r="AD3689" i="25" s="1"/>
  <c r="AD3690" i="25" s="1"/>
  <c r="AD3691" i="25" s="1"/>
  <c r="AD3692" i="25" s="1"/>
  <c r="AD3693" i="25" s="1"/>
  <c r="AD3694" i="25" s="1"/>
  <c r="AD3695" i="25" s="1"/>
  <c r="AD3696" i="25" s="1"/>
  <c r="AD3697" i="25" s="1"/>
  <c r="AD3698" i="25" s="1"/>
  <c r="AD3699" i="25" s="1"/>
  <c r="AD3700" i="25" s="1"/>
  <c r="AD3701" i="25" s="1"/>
  <c r="AD3702" i="25" s="1"/>
  <c r="AD3703" i="25" s="1"/>
  <c r="AD3704" i="25" s="1"/>
  <c r="AD3705" i="25" s="1"/>
  <c r="AD3706" i="25" s="1"/>
  <c r="AD3707" i="25" s="1"/>
  <c r="AD3708" i="25" s="1"/>
  <c r="AD3709" i="25" s="1"/>
  <c r="AD3710" i="25" s="1"/>
  <c r="AD3711" i="25" s="1"/>
  <c r="AD3712" i="25" s="1"/>
  <c r="AD3713" i="25" s="1"/>
  <c r="AD3714" i="25" s="1"/>
  <c r="AD3715" i="25" s="1"/>
  <c r="AD3716" i="25" s="1"/>
  <c r="AD3717" i="25" s="1"/>
  <c r="AD3718" i="25" s="1"/>
  <c r="AD3719" i="25" s="1"/>
  <c r="AD3720" i="25" s="1"/>
  <c r="AD3721" i="25" s="1"/>
  <c r="AD3722" i="25" s="1"/>
  <c r="AD3723" i="25" s="1"/>
  <c r="AD3724" i="25" s="1"/>
  <c r="AD3725" i="25" s="1"/>
  <c r="AD3726" i="25" s="1"/>
  <c r="AD3727" i="25" s="1"/>
  <c r="AD3728" i="25" s="1"/>
  <c r="AD3729" i="25" s="1"/>
  <c r="AD3730" i="25" s="1"/>
  <c r="AD3731" i="25" s="1"/>
  <c r="AD3732" i="25" s="1"/>
  <c r="AD3733" i="25" s="1"/>
  <c r="AD3734" i="25" s="1"/>
  <c r="AD3735" i="25" s="1"/>
  <c r="AD3736" i="25" s="1"/>
  <c r="AD3737" i="25" s="1"/>
  <c r="AD3738" i="25" s="1"/>
  <c r="AD3739" i="25" s="1"/>
  <c r="AD3740" i="25" s="1"/>
  <c r="AD3741" i="25" s="1"/>
  <c r="AD3742" i="25" s="1"/>
  <c r="AD3743" i="25" s="1"/>
  <c r="AD3744" i="25" s="1"/>
  <c r="AD3745" i="25" s="1"/>
  <c r="AD3746" i="25" s="1"/>
  <c r="AD3747" i="25" s="1"/>
  <c r="AD3748" i="25" s="1"/>
  <c r="AD3749" i="25" s="1"/>
  <c r="AD3750" i="25" s="1"/>
  <c r="AD3751" i="25" s="1"/>
  <c r="AD3752" i="25" s="1"/>
  <c r="AD3753" i="25" s="1"/>
  <c r="AD3754" i="25" s="1"/>
  <c r="AD3755" i="25" s="1"/>
  <c r="AD3756" i="25" s="1"/>
  <c r="AD3757" i="25" s="1"/>
  <c r="AD3758" i="25" s="1"/>
  <c r="AD3759" i="25" s="1"/>
  <c r="AD3760" i="25" s="1"/>
  <c r="AD3761" i="25" s="1"/>
  <c r="AD3762" i="25" s="1"/>
  <c r="AD3763" i="25" s="1"/>
  <c r="AD3764" i="25" s="1"/>
  <c r="AD3765" i="25" s="1"/>
  <c r="AD3766" i="25" s="1"/>
  <c r="AD3767" i="25" s="1"/>
  <c r="AD3768" i="25" s="1"/>
  <c r="AD3769" i="25" s="1"/>
  <c r="AD3770" i="25" s="1"/>
  <c r="AD3771" i="25" s="1"/>
  <c r="AD3772" i="25" s="1"/>
  <c r="AD3773" i="25" s="1"/>
  <c r="AD3774" i="25" s="1"/>
  <c r="AD3775" i="25" s="1"/>
  <c r="AD3776" i="25" s="1"/>
  <c r="AD3777" i="25" s="1"/>
  <c r="AD3778" i="25" s="1"/>
  <c r="AD3779" i="25" s="1"/>
  <c r="AD3780" i="25" s="1"/>
  <c r="AD3781" i="25" s="1"/>
  <c r="AD3782" i="25" s="1"/>
  <c r="AD3783" i="25" s="1"/>
  <c r="AD3784" i="25" s="1"/>
  <c r="AD3785" i="25" s="1"/>
  <c r="AD3786" i="25" s="1"/>
  <c r="AD3787" i="25" s="1"/>
  <c r="AD3788" i="25" s="1"/>
  <c r="AD3789" i="25" s="1"/>
  <c r="AD3790" i="25" s="1"/>
  <c r="AD3791" i="25" s="1"/>
  <c r="AD3792" i="25" s="1"/>
  <c r="AD3793" i="25" s="1"/>
  <c r="AD3794" i="25" s="1"/>
  <c r="AD3795" i="25" s="1"/>
  <c r="AD3796" i="25" s="1"/>
  <c r="AD3797" i="25" s="1"/>
  <c r="AD3798" i="25" s="1"/>
  <c r="AD3799" i="25" s="1"/>
  <c r="AD3800" i="25" s="1"/>
  <c r="AD3801" i="25" s="1"/>
  <c r="AD3802" i="25" s="1"/>
  <c r="AD3803" i="25" s="1"/>
  <c r="AD3804" i="25" s="1"/>
  <c r="AD3805" i="25" s="1"/>
  <c r="AD3806" i="25" s="1"/>
  <c r="AD3807" i="25" s="1"/>
  <c r="AD3808" i="25" s="1"/>
  <c r="AD3809" i="25" s="1"/>
  <c r="AD3810" i="25" s="1"/>
  <c r="AD3811" i="25" s="1"/>
  <c r="AD3812" i="25" s="1"/>
  <c r="AD3813" i="25" s="1"/>
  <c r="AD3814" i="25" s="1"/>
  <c r="AD3815" i="25" s="1"/>
  <c r="AD3816" i="25" s="1"/>
  <c r="AD3817" i="25" s="1"/>
  <c r="AD3818" i="25" s="1"/>
  <c r="AD3819" i="25" s="1"/>
  <c r="AD3820" i="25" s="1"/>
  <c r="AD3821" i="25" s="1"/>
  <c r="AD3822" i="25" s="1"/>
  <c r="AD3823" i="25" s="1"/>
  <c r="AD3824" i="25" s="1"/>
  <c r="AD3825" i="25" s="1"/>
  <c r="AD3826" i="25" s="1"/>
  <c r="AD3827" i="25" s="1"/>
  <c r="AD3828" i="25" s="1"/>
  <c r="AD3829" i="25" s="1"/>
  <c r="AD3830" i="25" s="1"/>
  <c r="AD3831" i="25" s="1"/>
  <c r="AD3832" i="25" s="1"/>
  <c r="AD3833" i="25" s="1"/>
  <c r="AD3834" i="25" s="1"/>
  <c r="AD3835" i="25" s="1"/>
  <c r="AD3836" i="25" s="1"/>
  <c r="AD3837" i="25" s="1"/>
  <c r="AD3838" i="25" s="1"/>
  <c r="AD3839" i="25" s="1"/>
  <c r="AD3840" i="25" s="1"/>
  <c r="AD3841" i="25" s="1"/>
  <c r="AD3842" i="25" s="1"/>
  <c r="AD3843" i="25" s="1"/>
  <c r="AD3844" i="25" s="1"/>
  <c r="AD3845" i="25" s="1"/>
  <c r="AD3846" i="25" s="1"/>
  <c r="AD3847" i="25" s="1"/>
  <c r="AD3848" i="25" s="1"/>
  <c r="AD3849" i="25" s="1"/>
  <c r="AD3850" i="25" s="1"/>
  <c r="AD3851" i="25" s="1"/>
  <c r="AD3852" i="25" s="1"/>
  <c r="AD3853" i="25" s="1"/>
  <c r="AD3854" i="25" s="1"/>
  <c r="AD3855" i="25" s="1"/>
  <c r="AD3856" i="25" s="1"/>
  <c r="AD3857" i="25" s="1"/>
  <c r="AD3858" i="25" s="1"/>
  <c r="AD3859" i="25" s="1"/>
  <c r="AD3860" i="25" s="1"/>
  <c r="AD3861" i="25" s="1"/>
  <c r="AD3862" i="25" s="1"/>
  <c r="AD3863" i="25" s="1"/>
  <c r="AD3864" i="25" s="1"/>
  <c r="AD3865" i="25" s="1"/>
  <c r="AD3866" i="25" s="1"/>
  <c r="AD3867" i="25" s="1"/>
  <c r="AD3868" i="25" s="1"/>
  <c r="AD3869" i="25" s="1"/>
  <c r="AD3870" i="25" s="1"/>
  <c r="AD3871" i="25" s="1"/>
  <c r="AD3872" i="25" s="1"/>
  <c r="AD3873" i="25" s="1"/>
  <c r="AD3874" i="25" s="1"/>
  <c r="AD3875" i="25" s="1"/>
  <c r="AD3876" i="25" s="1"/>
  <c r="AD3877" i="25" s="1"/>
  <c r="AD3878" i="25" s="1"/>
  <c r="AD3879" i="25" s="1"/>
  <c r="AD3880" i="25" s="1"/>
  <c r="AD3881" i="25" s="1"/>
  <c r="AD3882" i="25" s="1"/>
  <c r="AD3883" i="25" s="1"/>
  <c r="AD3884" i="25" s="1"/>
  <c r="AD3885" i="25" s="1"/>
  <c r="AD3886" i="25" s="1"/>
  <c r="AD3887" i="25" s="1"/>
  <c r="AD3888" i="25" s="1"/>
  <c r="AD3889" i="25" s="1"/>
  <c r="AD3890" i="25" s="1"/>
  <c r="AD3891" i="25" s="1"/>
  <c r="AD3892" i="25" s="1"/>
  <c r="AD3893" i="25" s="1"/>
  <c r="AD3894" i="25" s="1"/>
  <c r="AD3895" i="25" s="1"/>
  <c r="AD3896" i="25" s="1"/>
  <c r="AD3897" i="25" s="1"/>
  <c r="AD3898" i="25" s="1"/>
  <c r="AD3899" i="25" s="1"/>
  <c r="AD3900" i="25" s="1"/>
  <c r="AD3901" i="25" s="1"/>
  <c r="AD3902" i="25" s="1"/>
  <c r="AD3903" i="25" s="1"/>
  <c r="AD3904" i="25" s="1"/>
  <c r="AD3905" i="25" s="1"/>
  <c r="AD3906" i="25" s="1"/>
  <c r="AD3907" i="25" s="1"/>
  <c r="AD3908" i="25" s="1"/>
  <c r="AD3909" i="25" s="1"/>
  <c r="AD3910" i="25" s="1"/>
  <c r="AD3911" i="25" s="1"/>
  <c r="AD3912" i="25" s="1"/>
  <c r="AD3913" i="25" s="1"/>
  <c r="AD3914" i="25" s="1"/>
  <c r="AD3915" i="25" s="1"/>
  <c r="AD3916" i="25" s="1"/>
  <c r="AD3917" i="25" s="1"/>
  <c r="AD3918" i="25" s="1"/>
  <c r="AD3919" i="25" s="1"/>
  <c r="AD3920" i="25" s="1"/>
  <c r="AD3921" i="25" s="1"/>
  <c r="AD3922" i="25" s="1"/>
  <c r="AD3923" i="25" s="1"/>
  <c r="AD3924" i="25" s="1"/>
  <c r="AD3925" i="25" s="1"/>
  <c r="AD3926" i="25" s="1"/>
  <c r="AD3927" i="25" s="1"/>
  <c r="AD3928" i="25" s="1"/>
  <c r="AD3929" i="25" s="1"/>
  <c r="AD3930" i="25" s="1"/>
  <c r="AD3931" i="25" s="1"/>
  <c r="AD3932" i="25" s="1"/>
  <c r="AD3933" i="25" s="1"/>
  <c r="AD3934" i="25" s="1"/>
  <c r="AD3935" i="25" s="1"/>
  <c r="AD3936" i="25" s="1"/>
  <c r="AD3937" i="25" s="1"/>
  <c r="AD3938" i="25" s="1"/>
  <c r="AD3939" i="25" s="1"/>
  <c r="AD3940" i="25" s="1"/>
  <c r="AD3941" i="25" s="1"/>
  <c r="AD3942" i="25" s="1"/>
  <c r="AD3943" i="25" s="1"/>
  <c r="AD3944" i="25" s="1"/>
  <c r="AD3945" i="25" s="1"/>
  <c r="AD3946" i="25" s="1"/>
  <c r="AD3947" i="25" s="1"/>
  <c r="AD3948" i="25" s="1"/>
  <c r="AD3949" i="25" s="1"/>
  <c r="AD3950" i="25" s="1"/>
  <c r="AD3951" i="25" s="1"/>
  <c r="AD3952" i="25" s="1"/>
  <c r="AD3953" i="25" s="1"/>
  <c r="AD3954" i="25" s="1"/>
  <c r="AD3955" i="25" s="1"/>
  <c r="AD3956" i="25" s="1"/>
  <c r="AD3957" i="25" s="1"/>
  <c r="AD3958" i="25" s="1"/>
  <c r="AD3959" i="25" s="1"/>
  <c r="AD3960" i="25" s="1"/>
  <c r="AD3961" i="25" s="1"/>
  <c r="AD3962" i="25" s="1"/>
  <c r="AD3963" i="25" s="1"/>
  <c r="AD3964" i="25" s="1"/>
  <c r="AD3965" i="25" s="1"/>
  <c r="AD3966" i="25" s="1"/>
  <c r="AD3967" i="25" s="1"/>
  <c r="AD3968" i="25" s="1"/>
  <c r="AD3969" i="25" s="1"/>
  <c r="AD3970" i="25" s="1"/>
  <c r="AD3971" i="25" s="1"/>
  <c r="AD3972" i="25" s="1"/>
  <c r="AD3973" i="25" s="1"/>
  <c r="AD3974" i="25" s="1"/>
  <c r="AD3975" i="25" s="1"/>
  <c r="AD3976" i="25" s="1"/>
  <c r="AD3977" i="25" s="1"/>
  <c r="AD3978" i="25" s="1"/>
  <c r="AD3979" i="25" s="1"/>
  <c r="AD3980" i="25" s="1"/>
  <c r="AD3981" i="25" s="1"/>
  <c r="AD3982" i="25" s="1"/>
  <c r="AD3983" i="25" s="1"/>
  <c r="AD3984" i="25" s="1"/>
  <c r="AD3985" i="25" s="1"/>
  <c r="AD3986" i="25" s="1"/>
  <c r="AD3987" i="25" s="1"/>
  <c r="AD3988" i="25" s="1"/>
  <c r="AD3989" i="25" s="1"/>
  <c r="AD3990" i="25" s="1"/>
  <c r="AD3991" i="25" s="1"/>
  <c r="AD3992" i="25" s="1"/>
  <c r="AD3993" i="25" s="1"/>
  <c r="AD3994" i="25" s="1"/>
  <c r="AD3995" i="25" s="1"/>
  <c r="AD3996" i="25" s="1"/>
  <c r="AD3997" i="25" s="1"/>
  <c r="AD3998" i="25" s="1"/>
  <c r="AD3999" i="25" s="1"/>
  <c r="AD4000" i="25" s="1"/>
  <c r="AD4001" i="25" s="1"/>
  <c r="AD4002" i="25" s="1"/>
  <c r="AD4003" i="25" s="1"/>
  <c r="AD4004" i="25" s="1"/>
  <c r="AD4005" i="25" s="1"/>
  <c r="AD4006" i="25" s="1"/>
  <c r="AD4007" i="25" s="1"/>
  <c r="AD4008" i="25" s="1"/>
  <c r="AD4009" i="25" s="1"/>
  <c r="AD4010" i="25" s="1"/>
  <c r="AD4011" i="25" s="1"/>
  <c r="AD4012" i="25" s="1"/>
  <c r="AD4013" i="25" s="1"/>
  <c r="AD4014" i="25" s="1"/>
  <c r="AD4015" i="25" s="1"/>
  <c r="AD4016" i="25" s="1"/>
  <c r="AD4017" i="25" s="1"/>
  <c r="AD4018" i="25" s="1"/>
  <c r="AD4019" i="25" s="1"/>
  <c r="AD4020" i="25" s="1"/>
  <c r="AD4021" i="25" s="1"/>
  <c r="AD4022" i="25" s="1"/>
  <c r="AD4023" i="25" s="1"/>
  <c r="AD4024" i="25" s="1"/>
  <c r="AD4025" i="25" s="1"/>
  <c r="AD4026" i="25" s="1"/>
  <c r="AD4027" i="25" s="1"/>
  <c r="AD4028" i="25" s="1"/>
  <c r="AD4029" i="25" s="1"/>
  <c r="AD4030" i="25" s="1"/>
  <c r="AD4031" i="25" s="1"/>
  <c r="AD4032" i="25" s="1"/>
  <c r="AD4033" i="25" s="1"/>
  <c r="AD4034" i="25" s="1"/>
  <c r="AD4035" i="25" s="1"/>
  <c r="AD4036" i="25" s="1"/>
  <c r="AD4037" i="25" s="1"/>
  <c r="AD4038" i="25" s="1"/>
  <c r="AD4039" i="25" s="1"/>
  <c r="AD4040" i="25" s="1"/>
  <c r="AD4041" i="25" s="1"/>
  <c r="AD4042" i="25" s="1"/>
  <c r="AD4043" i="25" s="1"/>
  <c r="AD4044" i="25" s="1"/>
  <c r="AD4045" i="25" s="1"/>
  <c r="AD4046" i="25" s="1"/>
  <c r="AD4047" i="25" s="1"/>
  <c r="AD4048" i="25" s="1"/>
  <c r="AD4049" i="25" s="1"/>
  <c r="AD4050" i="25" s="1"/>
  <c r="AD4051" i="25" s="1"/>
  <c r="AD4052" i="25" s="1"/>
  <c r="AD4053" i="25" s="1"/>
  <c r="AD4054" i="25" s="1"/>
  <c r="AD4055" i="25" s="1"/>
  <c r="AD4056" i="25" s="1"/>
  <c r="AD4057" i="25" s="1"/>
  <c r="AD4058" i="25" s="1"/>
  <c r="AD4059" i="25" s="1"/>
  <c r="AD4060" i="25" s="1"/>
  <c r="AD4061" i="25" s="1"/>
  <c r="AD4062" i="25" s="1"/>
  <c r="AD4063" i="25" s="1"/>
  <c r="AD4064" i="25" s="1"/>
  <c r="AD4065" i="25" s="1"/>
  <c r="AD4066" i="25" s="1"/>
  <c r="AD4067" i="25" s="1"/>
  <c r="AD4068" i="25" s="1"/>
  <c r="AD4069" i="25" s="1"/>
  <c r="AD4070" i="25" s="1"/>
  <c r="AD4071" i="25" s="1"/>
  <c r="AD4072" i="25" s="1"/>
  <c r="AD4073" i="25" s="1"/>
  <c r="AD4074" i="25" s="1"/>
  <c r="AD4075" i="25" s="1"/>
  <c r="AD4076" i="25" s="1"/>
  <c r="AD4077" i="25" s="1"/>
  <c r="AD4078" i="25" s="1"/>
  <c r="AD4079" i="25" s="1"/>
  <c r="AD4080" i="25" s="1"/>
  <c r="AD4081" i="25" s="1"/>
  <c r="AD4082" i="25" s="1"/>
  <c r="AD4083" i="25" s="1"/>
  <c r="AD4084" i="25" s="1"/>
  <c r="AD4085" i="25" s="1"/>
  <c r="AD4086" i="25" s="1"/>
  <c r="AD4087" i="25" s="1"/>
  <c r="AD4088" i="25" s="1"/>
  <c r="AD4089" i="25" s="1"/>
  <c r="AD4090" i="25" s="1"/>
  <c r="AD4091" i="25" s="1"/>
  <c r="AD4092" i="25" s="1"/>
  <c r="AD4093" i="25" s="1"/>
  <c r="AD4094" i="25" s="1"/>
  <c r="AD4095" i="25" s="1"/>
  <c r="AD4096" i="25" s="1"/>
  <c r="AD4097" i="25" s="1"/>
  <c r="AD4098" i="25" s="1"/>
  <c r="AD4099" i="25" s="1"/>
  <c r="AD4100" i="25" s="1"/>
  <c r="AD4101" i="25" s="1"/>
  <c r="AD4102" i="25" s="1"/>
  <c r="AD4103" i="25" s="1"/>
  <c r="AD4104" i="25" s="1"/>
  <c r="AD4105" i="25" s="1"/>
  <c r="AD4106" i="25" s="1"/>
  <c r="AD4107" i="25" s="1"/>
  <c r="AD4108" i="25" s="1"/>
  <c r="AD4109" i="25" s="1"/>
  <c r="AD4110" i="25" s="1"/>
  <c r="AD4111" i="25" s="1"/>
  <c r="AD4112" i="25" s="1"/>
  <c r="AD4113" i="25" s="1"/>
  <c r="AD4114" i="25" s="1"/>
  <c r="AD4115" i="25" s="1"/>
  <c r="AD4116" i="25" s="1"/>
  <c r="AD4117" i="25" s="1"/>
  <c r="AD4118" i="25" s="1"/>
  <c r="AD4119" i="25" s="1"/>
  <c r="AD4120" i="25" s="1"/>
  <c r="AD4121" i="25" s="1"/>
  <c r="AD4122" i="25" s="1"/>
  <c r="AD4123" i="25" s="1"/>
  <c r="AD4124" i="25" s="1"/>
  <c r="AD4125" i="25" s="1"/>
  <c r="AD4126" i="25" s="1"/>
  <c r="AD4127" i="25" s="1"/>
  <c r="AD4128" i="25" s="1"/>
  <c r="AD4129" i="25" s="1"/>
  <c r="AD4130" i="25" s="1"/>
  <c r="AD4131" i="25" s="1"/>
  <c r="AD4132" i="25" s="1"/>
  <c r="AD4133" i="25" s="1"/>
  <c r="AD4134" i="25" s="1"/>
  <c r="AD4135" i="25" s="1"/>
  <c r="AD4136" i="25" s="1"/>
  <c r="AD4137" i="25" s="1"/>
  <c r="AD4138" i="25" s="1"/>
  <c r="AD4139" i="25" s="1"/>
  <c r="AD4140" i="25" s="1"/>
  <c r="AD4141" i="25" s="1"/>
  <c r="AD4142" i="25" s="1"/>
  <c r="AD4143" i="25" s="1"/>
  <c r="AD4144" i="25" s="1"/>
  <c r="AD4145" i="25" s="1"/>
  <c r="AD4146" i="25" s="1"/>
  <c r="AD4147" i="25" s="1"/>
  <c r="AD4148" i="25" s="1"/>
  <c r="AD4149" i="25" s="1"/>
  <c r="AD4150" i="25" s="1"/>
  <c r="AD4151" i="25" s="1"/>
  <c r="AD4152" i="25" s="1"/>
  <c r="AD4153" i="25" s="1"/>
  <c r="AD4154" i="25" s="1"/>
  <c r="AD4155" i="25" s="1"/>
  <c r="AD4156" i="25" s="1"/>
  <c r="AD4157" i="25" s="1"/>
  <c r="AD4158" i="25" s="1"/>
  <c r="AD4159" i="25" s="1"/>
  <c r="AD4160" i="25" s="1"/>
  <c r="AD4161" i="25" s="1"/>
  <c r="AD4162" i="25" s="1"/>
  <c r="AD4163" i="25" s="1"/>
  <c r="AD4164" i="25" s="1"/>
  <c r="AD4165" i="25" s="1"/>
  <c r="AD4166" i="25" s="1"/>
  <c r="AD4167" i="25" s="1"/>
  <c r="AD4168" i="25" s="1"/>
  <c r="AD4169" i="25" s="1"/>
  <c r="AD4170" i="25" s="1"/>
  <c r="AD4171" i="25" s="1"/>
  <c r="AD4172" i="25" s="1"/>
  <c r="AD4173" i="25" s="1"/>
  <c r="AD4174" i="25" s="1"/>
  <c r="AD4175" i="25" s="1"/>
  <c r="AD4176" i="25" s="1"/>
  <c r="AD4177" i="25" s="1"/>
  <c r="AD4178" i="25" s="1"/>
  <c r="AD4179" i="25" s="1"/>
  <c r="AD4180" i="25" s="1"/>
  <c r="AD4181" i="25" s="1"/>
  <c r="AD4182" i="25" s="1"/>
  <c r="AD4183" i="25" s="1"/>
  <c r="AD4184" i="25" s="1"/>
  <c r="AD4185" i="25" s="1"/>
  <c r="AD4186" i="25" s="1"/>
  <c r="AD4187" i="25" s="1"/>
  <c r="AD4188" i="25" s="1"/>
  <c r="AD4189" i="25" s="1"/>
  <c r="AD4190" i="25" s="1"/>
  <c r="AD4191" i="25" s="1"/>
  <c r="AD4192" i="25" s="1"/>
  <c r="AD4193" i="25" s="1"/>
  <c r="AD4194" i="25" s="1"/>
  <c r="AD4195" i="25" s="1"/>
  <c r="AD4196" i="25" s="1"/>
  <c r="AD4197" i="25" s="1"/>
  <c r="AD4198" i="25" s="1"/>
  <c r="AD4199" i="25" s="1"/>
  <c r="AD4200" i="25" s="1"/>
  <c r="AD4201" i="25" s="1"/>
  <c r="AD4202" i="25" s="1"/>
  <c r="AD4203" i="25" s="1"/>
  <c r="AD4204" i="25" s="1"/>
  <c r="AD4205" i="25" s="1"/>
  <c r="AD4206" i="25" s="1"/>
  <c r="AD4207" i="25" s="1"/>
  <c r="AD4208" i="25" s="1"/>
  <c r="AD4209" i="25" s="1"/>
  <c r="AD4210" i="25" s="1"/>
  <c r="AD4211" i="25" s="1"/>
  <c r="AD4212" i="25" s="1"/>
  <c r="AD4213" i="25" s="1"/>
  <c r="AD4214" i="25" s="1"/>
  <c r="AD4215" i="25" s="1"/>
  <c r="AD4216" i="25" s="1"/>
  <c r="AD4217" i="25" s="1"/>
  <c r="AD4218" i="25" s="1"/>
  <c r="AD4219" i="25" s="1"/>
  <c r="AD4220" i="25" s="1"/>
  <c r="AD4221" i="25" s="1"/>
  <c r="AD4222" i="25" s="1"/>
  <c r="AD4223" i="25" s="1"/>
  <c r="AD4224" i="25" s="1"/>
  <c r="AD4225" i="25" s="1"/>
  <c r="AD4226" i="25" s="1"/>
  <c r="AD4227" i="25" s="1"/>
  <c r="AD4228" i="25" s="1"/>
  <c r="AD4229" i="25" s="1"/>
  <c r="AD4230" i="25" s="1"/>
  <c r="AD4231" i="25" s="1"/>
  <c r="AD4232" i="25" s="1"/>
  <c r="AD4233" i="25" s="1"/>
  <c r="AD4234" i="25" s="1"/>
  <c r="AD4235" i="25" s="1"/>
  <c r="AD4236" i="25" s="1"/>
  <c r="AD4237" i="25" s="1"/>
  <c r="AD4238" i="25" s="1"/>
  <c r="AD4239" i="25" s="1"/>
  <c r="AD4240" i="25" s="1"/>
  <c r="AD4241" i="25" s="1"/>
  <c r="AD4242" i="25" s="1"/>
  <c r="AD4243" i="25" s="1"/>
  <c r="AD4244" i="25" s="1"/>
  <c r="AD4245" i="25" s="1"/>
  <c r="AD4246" i="25" s="1"/>
  <c r="AD4247" i="25" s="1"/>
  <c r="AD4248" i="25" s="1"/>
  <c r="AD4249" i="25" s="1"/>
  <c r="AD4250" i="25" s="1"/>
  <c r="AD4251" i="25" s="1"/>
  <c r="AD4252" i="25" s="1"/>
  <c r="AD4253" i="25" s="1"/>
  <c r="AD4254" i="25" s="1"/>
  <c r="AD4255" i="25" s="1"/>
  <c r="AD4256" i="25" s="1"/>
  <c r="AD4257" i="25" s="1"/>
  <c r="AD4258" i="25" s="1"/>
  <c r="AD4259" i="25" s="1"/>
  <c r="AD4260" i="25" s="1"/>
  <c r="AD4261" i="25" s="1"/>
  <c r="AD4262" i="25" s="1"/>
  <c r="AD4263" i="25" s="1"/>
  <c r="AD4264" i="25" s="1"/>
  <c r="AD4265" i="25" s="1"/>
  <c r="AD4266" i="25" s="1"/>
  <c r="AD4267" i="25" s="1"/>
  <c r="AD4268" i="25" s="1"/>
  <c r="AD4269" i="25" s="1"/>
  <c r="AD4270" i="25" s="1"/>
  <c r="AD4271" i="25" s="1"/>
  <c r="AD4272" i="25" s="1"/>
  <c r="AD4273" i="25" s="1"/>
  <c r="AD4274" i="25" s="1"/>
  <c r="AD4275" i="25" s="1"/>
  <c r="AD4276" i="25" s="1"/>
  <c r="AD4277" i="25" s="1"/>
  <c r="AD4278" i="25" s="1"/>
  <c r="AD4279" i="25" s="1"/>
  <c r="AD4280" i="25" s="1"/>
  <c r="AD4281" i="25" s="1"/>
  <c r="AD4282" i="25" s="1"/>
  <c r="AD4283" i="25" s="1"/>
  <c r="AD4284" i="25" s="1"/>
  <c r="AD4285" i="25" s="1"/>
  <c r="AD4286" i="25" s="1"/>
  <c r="AD4287" i="25" s="1"/>
  <c r="AD4288" i="25" s="1"/>
  <c r="AD4289" i="25" s="1"/>
  <c r="AD4290" i="25" s="1"/>
  <c r="AD4291" i="25" s="1"/>
  <c r="AD4292" i="25" s="1"/>
  <c r="AD4293" i="25" s="1"/>
  <c r="AD4294" i="25" s="1"/>
  <c r="AD4295" i="25" s="1"/>
  <c r="AD4296" i="25" s="1"/>
  <c r="AD4297" i="25" s="1"/>
  <c r="AD4298" i="25" s="1"/>
  <c r="AD4299" i="25" s="1"/>
  <c r="AD4300" i="25" s="1"/>
  <c r="AD4301" i="25" s="1"/>
  <c r="AD4302" i="25" s="1"/>
  <c r="AD4303" i="25" s="1"/>
  <c r="AD4304" i="25" s="1"/>
  <c r="AD4305" i="25" s="1"/>
  <c r="AD4306" i="25" s="1"/>
  <c r="AD4307" i="25" s="1"/>
  <c r="AD4308" i="25" s="1"/>
  <c r="AD4309" i="25" s="1"/>
  <c r="AD4310" i="25" s="1"/>
  <c r="AD4311" i="25" s="1"/>
  <c r="AD4312" i="25" s="1"/>
  <c r="AD4313" i="25" s="1"/>
  <c r="AD4314" i="25" s="1"/>
  <c r="AD4315" i="25" s="1"/>
  <c r="AD4316" i="25" s="1"/>
  <c r="AD4317" i="25" s="1"/>
  <c r="AD4318" i="25" s="1"/>
  <c r="AD4319" i="25" s="1"/>
  <c r="AD4320" i="25" s="1"/>
  <c r="AD4321" i="25" s="1"/>
  <c r="AD4322" i="25" s="1"/>
  <c r="AD4323" i="25" s="1"/>
  <c r="AD4324" i="25" s="1"/>
  <c r="AD4325" i="25" s="1"/>
  <c r="AD4326" i="25" s="1"/>
  <c r="AD4327" i="25" s="1"/>
  <c r="AD4328" i="25" s="1"/>
  <c r="AD4329" i="25" s="1"/>
  <c r="AD4330" i="25" s="1"/>
  <c r="AD4331" i="25" s="1"/>
  <c r="AD4332" i="25" s="1"/>
  <c r="AD4333" i="25" s="1"/>
  <c r="AD4334" i="25" s="1"/>
  <c r="AD4335" i="25" s="1"/>
  <c r="AD4336" i="25" s="1"/>
  <c r="AD4337" i="25" s="1"/>
  <c r="AD4338" i="25" s="1"/>
  <c r="AD4339" i="25" s="1"/>
  <c r="AD4340" i="25" s="1"/>
  <c r="AD4341" i="25" s="1"/>
  <c r="AD4342" i="25" s="1"/>
  <c r="AD4343" i="25" s="1"/>
  <c r="AD4344" i="25" s="1"/>
  <c r="AD4345" i="25" s="1"/>
  <c r="AD4346" i="25" s="1"/>
  <c r="AD4347" i="25" s="1"/>
  <c r="AD4348" i="25" s="1"/>
  <c r="AD4349" i="25" s="1"/>
  <c r="AD4350" i="25" s="1"/>
  <c r="AD4351" i="25" s="1"/>
  <c r="AD4352" i="25" s="1"/>
  <c r="AD4353" i="25" s="1"/>
  <c r="AD4354" i="25" s="1"/>
  <c r="AD4355" i="25" s="1"/>
  <c r="AD4356" i="25" s="1"/>
  <c r="AD4357" i="25" s="1"/>
  <c r="AD4358" i="25" s="1"/>
  <c r="AD4359" i="25" s="1"/>
  <c r="AD4360" i="25" s="1"/>
  <c r="AD4361" i="25" s="1"/>
  <c r="AD4362" i="25" s="1"/>
  <c r="AD4363" i="25" s="1"/>
  <c r="AD4364" i="25" s="1"/>
  <c r="AD4365" i="25" s="1"/>
  <c r="AD4366" i="25" s="1"/>
  <c r="AD4367" i="25" s="1"/>
  <c r="AD4368" i="25" s="1"/>
  <c r="AD4369" i="25" s="1"/>
  <c r="AD4370" i="25" s="1"/>
  <c r="AD4371" i="25" s="1"/>
  <c r="AD4372" i="25" s="1"/>
  <c r="AD4373" i="25" s="1"/>
  <c r="AD4374" i="25" s="1"/>
  <c r="AD4375" i="25" s="1"/>
  <c r="AD4376" i="25" s="1"/>
  <c r="AD4377" i="25" s="1"/>
  <c r="AD4378" i="25" s="1"/>
  <c r="AD4379" i="25" s="1"/>
  <c r="AD4380" i="25" s="1"/>
  <c r="AD4381" i="25" s="1"/>
  <c r="AD4382" i="25" s="1"/>
  <c r="AD4383" i="25" s="1"/>
  <c r="AD4384" i="25" s="1"/>
  <c r="AD4385" i="25" s="1"/>
  <c r="AD4386" i="25" s="1"/>
  <c r="AD4387" i="25" s="1"/>
  <c r="AD4388" i="25" s="1"/>
  <c r="AD4389" i="25" s="1"/>
  <c r="AD4390" i="25" s="1"/>
  <c r="AD4391" i="25" s="1"/>
  <c r="AD4392" i="25" s="1"/>
  <c r="AD4393" i="25" s="1"/>
  <c r="AD4394" i="25" s="1"/>
  <c r="AD4395" i="25" s="1"/>
  <c r="AD4396" i="25" s="1"/>
  <c r="AD4397" i="25" s="1"/>
  <c r="AD4398" i="25" s="1"/>
  <c r="AD4399" i="25" s="1"/>
  <c r="AD4400" i="25" s="1"/>
  <c r="AD4401" i="25" s="1"/>
  <c r="AD4402" i="25" s="1"/>
  <c r="AD4403" i="25" s="1"/>
  <c r="AD4404" i="25" s="1"/>
  <c r="AD4405" i="25" s="1"/>
  <c r="AD4406" i="25" s="1"/>
  <c r="AD4407" i="25" s="1"/>
  <c r="AD4408" i="25" s="1"/>
  <c r="AD4409" i="25" s="1"/>
  <c r="AD4410" i="25" s="1"/>
  <c r="AD4411" i="25" s="1"/>
  <c r="AD4412" i="25" s="1"/>
  <c r="AD4413" i="25" s="1"/>
  <c r="AD4414" i="25" s="1"/>
  <c r="AD4415" i="25" s="1"/>
  <c r="AD4416" i="25" s="1"/>
  <c r="AD4417" i="25" s="1"/>
  <c r="AD4418" i="25" s="1"/>
  <c r="AD4419" i="25" s="1"/>
  <c r="AD4420" i="25" s="1"/>
  <c r="AD4421" i="25" s="1"/>
  <c r="AD4422" i="25" s="1"/>
  <c r="AD4423" i="25" s="1"/>
  <c r="AD4424" i="25" s="1"/>
  <c r="AD4425" i="25" s="1"/>
  <c r="AD4426" i="25" s="1"/>
  <c r="AD4427" i="25" s="1"/>
  <c r="AD4428" i="25" s="1"/>
  <c r="AD4429" i="25" s="1"/>
  <c r="AD4430" i="25" s="1"/>
  <c r="AD4431" i="25" s="1"/>
  <c r="AD4432" i="25" s="1"/>
  <c r="AD4433" i="25" s="1"/>
  <c r="AD4434" i="25" s="1"/>
  <c r="AD4435" i="25" s="1"/>
  <c r="AD4436" i="25" s="1"/>
  <c r="AD4437" i="25" s="1"/>
  <c r="AD4438" i="25" s="1"/>
  <c r="AD4439" i="25" s="1"/>
  <c r="AD4440" i="25" s="1"/>
  <c r="AD4441" i="25" s="1"/>
  <c r="AD4442" i="25" s="1"/>
  <c r="AD4443" i="25" s="1"/>
  <c r="AD4444" i="25" s="1"/>
  <c r="AD4445" i="25" s="1"/>
  <c r="AD4446" i="25" s="1"/>
  <c r="AD4447" i="25" s="1"/>
  <c r="AD4448" i="25" s="1"/>
  <c r="AD4449" i="25" s="1"/>
  <c r="AD4450" i="25" s="1"/>
  <c r="AD4451" i="25" s="1"/>
  <c r="AD4452" i="25" s="1"/>
  <c r="AD4453" i="25" s="1"/>
  <c r="AD4454" i="25" s="1"/>
  <c r="AD4455" i="25" s="1"/>
  <c r="AD4456" i="25" s="1"/>
  <c r="AD4457" i="25" s="1"/>
  <c r="AD4458" i="25" s="1"/>
  <c r="AD4459" i="25" s="1"/>
  <c r="AD4460" i="25" s="1"/>
  <c r="AD4461" i="25" s="1"/>
  <c r="AD4462" i="25" s="1"/>
  <c r="AD4463" i="25" s="1"/>
  <c r="AD4464" i="25" s="1"/>
  <c r="AD4465" i="25" s="1"/>
  <c r="AD4466" i="25" s="1"/>
  <c r="AD4467" i="25" s="1"/>
  <c r="AD4468" i="25" s="1"/>
  <c r="AD4469" i="25" s="1"/>
  <c r="AD4470" i="25" s="1"/>
  <c r="AD4471" i="25" s="1"/>
  <c r="AD4472" i="25" s="1"/>
  <c r="AD4473" i="25" s="1"/>
  <c r="AD4474" i="25" s="1"/>
  <c r="AD4475" i="25" s="1"/>
  <c r="AD4476" i="25" s="1"/>
  <c r="AD4477" i="25" s="1"/>
  <c r="AD4478" i="25" s="1"/>
  <c r="AD4479" i="25" s="1"/>
  <c r="AD4480" i="25" s="1"/>
  <c r="AD4481" i="25" s="1"/>
  <c r="AD4482" i="25" s="1"/>
  <c r="AD4483" i="25" s="1"/>
  <c r="AD4484" i="25" s="1"/>
  <c r="AD4485" i="25" s="1"/>
  <c r="AD4486" i="25" s="1"/>
  <c r="AD4487" i="25" s="1"/>
  <c r="AD4488" i="25" s="1"/>
  <c r="AD4489" i="25" s="1"/>
  <c r="AD4490" i="25" s="1"/>
  <c r="AD4491" i="25" s="1"/>
  <c r="AD4492" i="25" s="1"/>
  <c r="AD4493" i="25" s="1"/>
  <c r="AD4494" i="25" s="1"/>
  <c r="AD4495" i="25" s="1"/>
  <c r="AD4496" i="25" s="1"/>
  <c r="AD4497" i="25" s="1"/>
  <c r="AD4498" i="25" s="1"/>
  <c r="AD4499" i="25" s="1"/>
  <c r="AD4500" i="25" s="1"/>
  <c r="AD4501" i="25" s="1"/>
  <c r="AD4502" i="25" s="1"/>
  <c r="AD4503" i="25" s="1"/>
  <c r="AD4504" i="25" s="1"/>
  <c r="AD4505" i="25" s="1"/>
  <c r="AD4506" i="25" s="1"/>
  <c r="AD4507" i="25" s="1"/>
  <c r="AD4508" i="25" s="1"/>
  <c r="AD4509" i="25" s="1"/>
  <c r="AD4510" i="25" s="1"/>
  <c r="AD4511" i="25" s="1"/>
  <c r="AD4512" i="25" s="1"/>
  <c r="AD4513" i="25" s="1"/>
  <c r="AD4514" i="25" s="1"/>
  <c r="AD4515" i="25" s="1"/>
  <c r="AD4516" i="25" s="1"/>
  <c r="AD4517" i="25" s="1"/>
  <c r="AD4518" i="25" s="1"/>
  <c r="AD4519" i="25" s="1"/>
  <c r="AD4520" i="25" s="1"/>
  <c r="AD4521" i="25" s="1"/>
  <c r="AD4522" i="25" s="1"/>
  <c r="AD4523" i="25" s="1"/>
  <c r="AD4524" i="25" s="1"/>
  <c r="AD4525" i="25" s="1"/>
  <c r="AD4526" i="25" s="1"/>
  <c r="AD4527" i="25" s="1"/>
  <c r="AD4528" i="25" s="1"/>
  <c r="AD4529" i="25" s="1"/>
  <c r="AD4530" i="25" s="1"/>
  <c r="AD4531" i="25" s="1"/>
  <c r="AD4532" i="25" s="1"/>
  <c r="AD4533" i="25" s="1"/>
  <c r="AD4534" i="25" s="1"/>
  <c r="AD4535" i="25" s="1"/>
  <c r="AD4536" i="25" s="1"/>
  <c r="AD4537" i="25" s="1"/>
  <c r="AD4538" i="25" s="1"/>
  <c r="AD4539" i="25" s="1"/>
  <c r="AD4540" i="25" s="1"/>
  <c r="AD4541" i="25" s="1"/>
  <c r="AD4542" i="25" s="1"/>
  <c r="AD4543" i="25" s="1"/>
  <c r="AD4544" i="25" s="1"/>
  <c r="AD4545" i="25" s="1"/>
  <c r="AD4546" i="25" s="1"/>
  <c r="AD4547" i="25" s="1"/>
  <c r="AD4548" i="25" s="1"/>
  <c r="AD4549" i="25" s="1"/>
  <c r="AD4550" i="25" s="1"/>
  <c r="AD4551" i="25" s="1"/>
  <c r="AD4552" i="25" s="1"/>
  <c r="AD4553" i="25" s="1"/>
  <c r="AD4554" i="25" s="1"/>
  <c r="AD4555" i="25" s="1"/>
  <c r="AD4556" i="25" s="1"/>
  <c r="AD4557" i="25" s="1"/>
  <c r="AD4558" i="25" s="1"/>
  <c r="AD4559" i="25" s="1"/>
  <c r="AD4560" i="25" s="1"/>
  <c r="AD4561" i="25" s="1"/>
  <c r="AD4562" i="25" s="1"/>
  <c r="AD4563" i="25" s="1"/>
  <c r="AD4564" i="25" s="1"/>
  <c r="AD4565" i="25" s="1"/>
  <c r="AD4566" i="25" s="1"/>
  <c r="AD4567" i="25" s="1"/>
  <c r="AD4568" i="25" s="1"/>
  <c r="AD4569" i="25" s="1"/>
  <c r="AD4570" i="25" s="1"/>
  <c r="AD4571" i="25" s="1"/>
  <c r="AD4572" i="25" s="1"/>
  <c r="AD4573" i="25" s="1"/>
  <c r="AD4574" i="25" s="1"/>
  <c r="AD4575" i="25" s="1"/>
  <c r="AD4576" i="25" s="1"/>
  <c r="AD4577" i="25" s="1"/>
  <c r="AD4578" i="25" s="1"/>
  <c r="AD4579" i="25" s="1"/>
  <c r="AD4580" i="25" s="1"/>
  <c r="AD4581" i="25" s="1"/>
  <c r="AD4582" i="25" s="1"/>
  <c r="AD4583" i="25" s="1"/>
  <c r="AD4584" i="25" s="1"/>
  <c r="AD4585" i="25" s="1"/>
  <c r="AD4586" i="25" s="1"/>
  <c r="AD4587" i="25" s="1"/>
  <c r="AD4588" i="25" s="1"/>
  <c r="AD4589" i="25" s="1"/>
  <c r="AD4590" i="25" s="1"/>
  <c r="AD4591" i="25" s="1"/>
  <c r="AD4592" i="25" s="1"/>
  <c r="AD4593" i="25" s="1"/>
  <c r="AD4594" i="25" s="1"/>
  <c r="AD4595" i="25" s="1"/>
  <c r="AD4596" i="25" s="1"/>
  <c r="AD4597" i="25" s="1"/>
  <c r="AD4598" i="25" s="1"/>
  <c r="AD4599" i="25" s="1"/>
  <c r="AD4600" i="25" s="1"/>
  <c r="AD4601" i="25" s="1"/>
  <c r="AD4602" i="25" s="1"/>
  <c r="AD4603" i="25" s="1"/>
  <c r="AD4604" i="25" s="1"/>
  <c r="AD4605" i="25" s="1"/>
  <c r="AD4606" i="25" s="1"/>
  <c r="AD4607" i="25" s="1"/>
  <c r="AD4608" i="25" s="1"/>
  <c r="AD4609" i="25" s="1"/>
  <c r="AD4610" i="25" s="1"/>
  <c r="AD4611" i="25" s="1"/>
  <c r="AD4612" i="25" s="1"/>
  <c r="AD4613" i="25" s="1"/>
  <c r="AD4614" i="25" s="1"/>
  <c r="AD4615" i="25" s="1"/>
  <c r="AD4616" i="25" s="1"/>
  <c r="AD4617" i="25" s="1"/>
  <c r="AD4618" i="25" s="1"/>
  <c r="AD4619" i="25" s="1"/>
  <c r="AD4620" i="25" s="1"/>
  <c r="AD4621" i="25" s="1"/>
  <c r="AD4622" i="25" s="1"/>
  <c r="AD4623" i="25" s="1"/>
  <c r="AD4624" i="25" s="1"/>
  <c r="AD4625" i="25" s="1"/>
  <c r="AD4626" i="25" s="1"/>
  <c r="AD4627" i="25" s="1"/>
  <c r="AD4628" i="25" s="1"/>
  <c r="AD4629" i="25" s="1"/>
  <c r="AD4630" i="25" s="1"/>
  <c r="AD4631" i="25" s="1"/>
  <c r="AD4632" i="25" s="1"/>
  <c r="AD4633" i="25" s="1"/>
  <c r="AD4634" i="25" s="1"/>
  <c r="AD4635" i="25" s="1"/>
  <c r="AD4636" i="25" s="1"/>
  <c r="AD4637" i="25" s="1"/>
  <c r="AD4638" i="25" s="1"/>
  <c r="AD4639" i="25" s="1"/>
  <c r="AD4640" i="25" s="1"/>
  <c r="AD4641" i="25" s="1"/>
  <c r="AD4642" i="25" s="1"/>
  <c r="AD4643" i="25" s="1"/>
  <c r="AD4644" i="25" s="1"/>
  <c r="AD4645" i="25" s="1"/>
  <c r="AD4646" i="25" s="1"/>
  <c r="AD4647" i="25" s="1"/>
  <c r="AD4648" i="25" s="1"/>
  <c r="AD4649" i="25" s="1"/>
  <c r="AD4650" i="25" s="1"/>
  <c r="AD4651" i="25" s="1"/>
  <c r="AD4652" i="25" s="1"/>
  <c r="AD4653" i="25" s="1"/>
  <c r="AD4654" i="25" s="1"/>
  <c r="AD4655" i="25" s="1"/>
  <c r="AD4656" i="25" s="1"/>
  <c r="AD4657" i="25" s="1"/>
  <c r="AD4658" i="25" s="1"/>
  <c r="AD4659" i="25" s="1"/>
  <c r="AD4660" i="25" s="1"/>
  <c r="AD4661" i="25" s="1"/>
  <c r="AD4662" i="25" s="1"/>
  <c r="AD4663" i="25" s="1"/>
  <c r="AD4664" i="25" s="1"/>
  <c r="AD4665" i="25" s="1"/>
  <c r="AD4666" i="25" s="1"/>
  <c r="AD4667" i="25" s="1"/>
  <c r="AD4668" i="25" s="1"/>
  <c r="AD4669" i="25" s="1"/>
  <c r="AD4670" i="25" s="1"/>
  <c r="AD4671" i="25" s="1"/>
  <c r="AD4672" i="25" s="1"/>
  <c r="AD4673" i="25" s="1"/>
  <c r="AD4674" i="25" s="1"/>
  <c r="AD4675" i="25" s="1"/>
  <c r="AD4676" i="25" s="1"/>
  <c r="AD4677" i="25" s="1"/>
  <c r="AD4678" i="25" s="1"/>
  <c r="AD4679" i="25" s="1"/>
  <c r="AD4680" i="25" s="1"/>
  <c r="AD4681" i="25" s="1"/>
  <c r="AD4682" i="25" s="1"/>
  <c r="AD4683" i="25" s="1"/>
  <c r="AD4684" i="25" s="1"/>
  <c r="AD4685" i="25" s="1"/>
  <c r="AD4686" i="25" s="1"/>
  <c r="AD4687" i="25" s="1"/>
  <c r="AD4688" i="25" s="1"/>
  <c r="AD4689" i="25" s="1"/>
  <c r="AD4690" i="25" s="1"/>
  <c r="AD4691" i="25" s="1"/>
  <c r="AD4692" i="25" s="1"/>
  <c r="AD4693" i="25" s="1"/>
  <c r="AD4694" i="25" s="1"/>
  <c r="AD4695" i="25" s="1"/>
  <c r="AD4696" i="25" s="1"/>
  <c r="AD4697" i="25" s="1"/>
  <c r="AD4698" i="25" s="1"/>
  <c r="AD4699" i="25" s="1"/>
  <c r="AD4700" i="25" s="1"/>
  <c r="AD4701" i="25" s="1"/>
  <c r="AD4702" i="25" s="1"/>
  <c r="AD4703" i="25" s="1"/>
  <c r="AD4704" i="25" s="1"/>
  <c r="AD4705" i="25" s="1"/>
  <c r="AD4706" i="25" s="1"/>
  <c r="AD4707" i="25" s="1"/>
  <c r="AD4708" i="25" s="1"/>
  <c r="AD4709" i="25" s="1"/>
  <c r="AD4710" i="25" s="1"/>
  <c r="AD4711" i="25" s="1"/>
  <c r="AD4712" i="25" s="1"/>
  <c r="AD4713" i="25" s="1"/>
  <c r="AD4714" i="25" s="1"/>
  <c r="AD4715" i="25" s="1"/>
  <c r="AD4716" i="25" s="1"/>
  <c r="AD4717" i="25" s="1"/>
  <c r="AD4718" i="25" s="1"/>
  <c r="AD4719" i="25" s="1"/>
  <c r="AD4720" i="25" s="1"/>
  <c r="AD4721" i="25" s="1"/>
  <c r="AD4722" i="25" s="1"/>
  <c r="AD4723" i="25" s="1"/>
  <c r="AD4724" i="25" s="1"/>
  <c r="AD4725" i="25" s="1"/>
  <c r="AD4726" i="25" s="1"/>
  <c r="AD4727" i="25" s="1"/>
  <c r="AD4728" i="25" s="1"/>
  <c r="AD4729" i="25" s="1"/>
  <c r="AD4730" i="25" s="1"/>
  <c r="AD4731" i="25" s="1"/>
  <c r="AD4732" i="25" s="1"/>
  <c r="AD4733" i="25" s="1"/>
  <c r="AD4734" i="25" s="1"/>
  <c r="AD4735" i="25" s="1"/>
  <c r="AD4736" i="25" s="1"/>
  <c r="AD4737" i="25" s="1"/>
  <c r="AD4738" i="25" s="1"/>
  <c r="AD4739" i="25" s="1"/>
  <c r="AD4740" i="25" s="1"/>
  <c r="AD4741" i="25" s="1"/>
  <c r="AD4742" i="25" s="1"/>
  <c r="AD4743" i="25" s="1"/>
  <c r="AD4744" i="25" s="1"/>
  <c r="AD4745" i="25" s="1"/>
  <c r="AD4746" i="25" s="1"/>
  <c r="AD4747" i="25" s="1"/>
  <c r="AD4748" i="25" s="1"/>
  <c r="AD4749" i="25" s="1"/>
  <c r="AD4750" i="25" s="1"/>
  <c r="AD4751" i="25" s="1"/>
  <c r="AD4752" i="25" s="1"/>
  <c r="AD4753" i="25" s="1"/>
  <c r="AD4754" i="25" s="1"/>
  <c r="AD4755" i="25" s="1"/>
  <c r="AD4756" i="25" s="1"/>
  <c r="AD4757" i="25" s="1"/>
  <c r="AD4758" i="25" s="1"/>
  <c r="AD4759" i="25" s="1"/>
  <c r="AD4760" i="25" s="1"/>
  <c r="AD4761" i="25" s="1"/>
  <c r="AD4762" i="25" s="1"/>
  <c r="AD4763" i="25" s="1"/>
  <c r="AD4764" i="25" s="1"/>
  <c r="AD4765" i="25" s="1"/>
  <c r="AD4766" i="25" s="1"/>
  <c r="AD4767" i="25" s="1"/>
  <c r="AD4768" i="25" s="1"/>
  <c r="AD4769" i="25" s="1"/>
  <c r="AD4770" i="25" s="1"/>
  <c r="AD4771" i="25" s="1"/>
  <c r="AD4772" i="25" s="1"/>
  <c r="AD4773" i="25" s="1"/>
  <c r="AD4774" i="25" s="1"/>
  <c r="AD4775" i="25" s="1"/>
  <c r="AD4776" i="25" s="1"/>
  <c r="AD4777" i="25" s="1"/>
  <c r="AD4778" i="25" s="1"/>
  <c r="AD4779" i="25" s="1"/>
  <c r="AD4780" i="25" s="1"/>
  <c r="AD4781" i="25" s="1"/>
  <c r="AD4782" i="25" s="1"/>
  <c r="AD4783" i="25" s="1"/>
  <c r="AD4784" i="25" s="1"/>
  <c r="AD4785" i="25" s="1"/>
  <c r="AD4786" i="25" s="1"/>
  <c r="AD4787" i="25" s="1"/>
  <c r="AD4788" i="25" s="1"/>
  <c r="AD4789" i="25" s="1"/>
  <c r="AD4790" i="25" s="1"/>
  <c r="AD4791" i="25" s="1"/>
  <c r="AD4792" i="25" s="1"/>
  <c r="AD4793" i="25" s="1"/>
  <c r="AD4794" i="25" s="1"/>
  <c r="AD4795" i="25" s="1"/>
  <c r="AD4796" i="25" s="1"/>
  <c r="AD4797" i="25" s="1"/>
  <c r="AD4798" i="25" s="1"/>
  <c r="AD4799" i="25" s="1"/>
  <c r="AD4800" i="25" s="1"/>
  <c r="AD4801" i="25" s="1"/>
  <c r="AD4802" i="25" s="1"/>
  <c r="AD4803" i="25" s="1"/>
  <c r="AD4804" i="25" s="1"/>
  <c r="AD4805" i="25" s="1"/>
  <c r="AD4806" i="25" s="1"/>
  <c r="AD4807" i="25" s="1"/>
  <c r="AD4808" i="25" s="1"/>
  <c r="AD4809" i="25" s="1"/>
  <c r="AD4810" i="25" s="1"/>
  <c r="AD4811" i="25" s="1"/>
  <c r="AD4812" i="25" s="1"/>
  <c r="AD4813" i="25" s="1"/>
  <c r="AD4814" i="25" s="1"/>
  <c r="AD4815" i="25" s="1"/>
  <c r="AD4816" i="25" s="1"/>
  <c r="AD4817" i="25" s="1"/>
  <c r="AD4818" i="25" s="1"/>
  <c r="AD4819" i="25" s="1"/>
  <c r="AD4820" i="25" s="1"/>
  <c r="AD4821" i="25" s="1"/>
  <c r="AD4822" i="25" s="1"/>
  <c r="AD4823" i="25" s="1"/>
  <c r="AD4824" i="25" s="1"/>
  <c r="AD4825" i="25" s="1"/>
  <c r="AD4826" i="25" s="1"/>
  <c r="AD4827" i="25" s="1"/>
  <c r="AD4828" i="25" s="1"/>
  <c r="AD4829" i="25" s="1"/>
  <c r="AD4830" i="25" s="1"/>
  <c r="AD4831" i="25" s="1"/>
  <c r="AD4832" i="25" s="1"/>
  <c r="AD4833" i="25" s="1"/>
  <c r="AD4834" i="25" s="1"/>
  <c r="AD4835" i="25" s="1"/>
  <c r="AD4836" i="25" s="1"/>
  <c r="AD4837" i="25" s="1"/>
  <c r="AD4838" i="25" s="1"/>
  <c r="AD4839" i="25" s="1"/>
  <c r="AD4840" i="25" s="1"/>
  <c r="AD4841" i="25" s="1"/>
  <c r="AD4842" i="25" s="1"/>
  <c r="AD4843" i="25" s="1"/>
  <c r="AD4844" i="25" s="1"/>
  <c r="AD4845" i="25" s="1"/>
  <c r="AD4846" i="25" s="1"/>
  <c r="AD4847" i="25" s="1"/>
  <c r="AD4848" i="25" s="1"/>
  <c r="AD4849" i="25" s="1"/>
  <c r="AD4850" i="25" s="1"/>
  <c r="AD4851" i="25" s="1"/>
  <c r="AD4852" i="25" s="1"/>
  <c r="AD4853" i="25" s="1"/>
  <c r="AD4854" i="25" s="1"/>
  <c r="AD4855" i="25" s="1"/>
  <c r="AD4856" i="25" s="1"/>
  <c r="AD4857" i="25" s="1"/>
  <c r="AD4858" i="25" s="1"/>
  <c r="AD4859" i="25" s="1"/>
  <c r="AD4860" i="25" s="1"/>
  <c r="AD4861" i="25" s="1"/>
  <c r="AD4862" i="25" s="1"/>
  <c r="AD4863" i="25" s="1"/>
  <c r="AD4864" i="25" s="1"/>
  <c r="AD4865" i="25" s="1"/>
  <c r="AD4866" i="25" s="1"/>
  <c r="AD4867" i="25" s="1"/>
  <c r="AD4868" i="25" s="1"/>
  <c r="AD4869" i="25" s="1"/>
  <c r="AD4870" i="25" s="1"/>
  <c r="AD4871" i="25" s="1"/>
  <c r="AD4872" i="25" s="1"/>
  <c r="AD4873" i="25" s="1"/>
  <c r="AD4874" i="25" s="1"/>
  <c r="AD4875" i="25" s="1"/>
  <c r="AD4876" i="25" s="1"/>
  <c r="AD4877" i="25" s="1"/>
  <c r="AD4878" i="25" s="1"/>
  <c r="AD4879" i="25" s="1"/>
  <c r="AD4880" i="25" s="1"/>
  <c r="AD4881" i="25" s="1"/>
  <c r="AD4882" i="25" s="1"/>
  <c r="AD4883" i="25" s="1"/>
  <c r="AD4884" i="25" s="1"/>
  <c r="AD4885" i="25" s="1"/>
  <c r="AD4886" i="25" s="1"/>
  <c r="AD4887" i="25" s="1"/>
  <c r="AD4888" i="25" s="1"/>
  <c r="AD4889" i="25" s="1"/>
  <c r="AD4890" i="25" s="1"/>
  <c r="AD4891" i="25" s="1"/>
  <c r="AD4892" i="25" s="1"/>
  <c r="AD4893" i="25" s="1"/>
  <c r="AD4894" i="25" s="1"/>
  <c r="AD4895" i="25" s="1"/>
  <c r="AD4896" i="25" s="1"/>
  <c r="AD4897" i="25" s="1"/>
  <c r="AD4898" i="25" s="1"/>
  <c r="AD4899" i="25" s="1"/>
  <c r="AD4900" i="25" s="1"/>
  <c r="AD4901" i="25" s="1"/>
  <c r="AD4902" i="25" s="1"/>
  <c r="AD4903" i="25" s="1"/>
  <c r="AD4904" i="25" s="1"/>
  <c r="AD4905" i="25" s="1"/>
  <c r="AD4906" i="25" s="1"/>
  <c r="AD4907" i="25" s="1"/>
  <c r="AD4908" i="25" s="1"/>
  <c r="AD4909" i="25" s="1"/>
  <c r="AD4910" i="25" s="1"/>
  <c r="AD4911" i="25" s="1"/>
  <c r="AD4912" i="25" s="1"/>
  <c r="AD4913" i="25" s="1"/>
  <c r="AD4914" i="25" s="1"/>
  <c r="AD4915" i="25" s="1"/>
  <c r="AD4916" i="25" s="1"/>
  <c r="AD4917" i="25" s="1"/>
  <c r="AD4918" i="25" s="1"/>
  <c r="AD4919" i="25" s="1"/>
  <c r="AD4920" i="25" s="1"/>
  <c r="AD4921" i="25" s="1"/>
  <c r="AD4922" i="25" s="1"/>
  <c r="AD4923" i="25" s="1"/>
  <c r="AD4924" i="25" s="1"/>
  <c r="AD4925" i="25" s="1"/>
  <c r="AD4926" i="25" s="1"/>
  <c r="AD4927" i="25" s="1"/>
  <c r="AD4928" i="25" s="1"/>
  <c r="AD4929" i="25" s="1"/>
  <c r="AD4930" i="25" s="1"/>
  <c r="AD4931" i="25" s="1"/>
  <c r="AD4932" i="25" s="1"/>
  <c r="AD4933" i="25" s="1"/>
  <c r="AD4934" i="25" s="1"/>
  <c r="AD4935" i="25" s="1"/>
  <c r="AD4936" i="25" s="1"/>
  <c r="AD4937" i="25" s="1"/>
  <c r="AD4938" i="25" s="1"/>
  <c r="AD4939" i="25" s="1"/>
  <c r="AD4940" i="25" s="1"/>
  <c r="AD4941" i="25" s="1"/>
  <c r="AD4942" i="25" s="1"/>
  <c r="AD4943" i="25" s="1"/>
  <c r="AD4944" i="25" s="1"/>
  <c r="AD4945" i="25" s="1"/>
  <c r="AD4946" i="25" s="1"/>
  <c r="AD4947" i="25" s="1"/>
  <c r="AD4948" i="25" s="1"/>
  <c r="AD4949" i="25" s="1"/>
  <c r="AD4950" i="25" s="1"/>
  <c r="AD4951" i="25" s="1"/>
  <c r="AD4952" i="25" s="1"/>
  <c r="AD4953" i="25" s="1"/>
  <c r="AD4954" i="25" s="1"/>
  <c r="AD4955" i="25" s="1"/>
  <c r="AD4956" i="25" s="1"/>
  <c r="AD4957" i="25" s="1"/>
  <c r="AD4958" i="25" s="1"/>
  <c r="AD4959" i="25" s="1"/>
  <c r="AD4960" i="25" s="1"/>
  <c r="AD4961" i="25" s="1"/>
  <c r="AD4962" i="25" s="1"/>
  <c r="AD4963" i="25" s="1"/>
  <c r="AD4964" i="25" s="1"/>
  <c r="AD4965" i="25" s="1"/>
  <c r="AD4966" i="25" s="1"/>
  <c r="AD4967" i="25" s="1"/>
  <c r="AD4968" i="25" s="1"/>
  <c r="AD4969" i="25" s="1"/>
  <c r="AD4970" i="25" s="1"/>
  <c r="AD4971" i="25" s="1"/>
  <c r="AD4972" i="25" s="1"/>
  <c r="AD4973" i="25" s="1"/>
  <c r="AD4974" i="25" s="1"/>
  <c r="AD4975" i="25" s="1"/>
  <c r="AD4976" i="25" s="1"/>
  <c r="AD4977" i="25" s="1"/>
  <c r="AD4978" i="25" s="1"/>
  <c r="AD4979" i="25" s="1"/>
  <c r="AD4980" i="25" s="1"/>
  <c r="AD4981" i="25" s="1"/>
  <c r="AD4982" i="25" s="1"/>
  <c r="AD4983" i="25" s="1"/>
  <c r="AD4984" i="25" s="1"/>
  <c r="AD4985" i="25" s="1"/>
  <c r="AD4986" i="25" s="1"/>
  <c r="AD4987" i="25" s="1"/>
  <c r="AD4988" i="25" s="1"/>
  <c r="AD4989" i="25" s="1"/>
  <c r="AD4990" i="25" s="1"/>
  <c r="AD4991" i="25" s="1"/>
  <c r="AD4992" i="25" s="1"/>
  <c r="AD4993" i="25" s="1"/>
  <c r="AD4994" i="25" s="1"/>
  <c r="AD4995" i="25" s="1"/>
  <c r="AD4996" i="25" s="1"/>
  <c r="AD4997" i="25" s="1"/>
  <c r="AD4998" i="25" s="1"/>
  <c r="AD4999" i="25" s="1"/>
  <c r="AD5000" i="25" s="1"/>
  <c r="AD5001" i="25" s="1"/>
  <c r="AD5002" i="25" s="1"/>
  <c r="AD5003" i="25" s="1"/>
  <c r="AD5004" i="25" s="1"/>
  <c r="AD5005" i="25" s="1"/>
  <c r="AD5006" i="25" s="1"/>
  <c r="AD5007" i="25" s="1"/>
  <c r="AD5008" i="25" s="1"/>
  <c r="AD5009" i="25" s="1"/>
  <c r="AD5010" i="25" s="1"/>
  <c r="AD5011" i="25" s="1"/>
  <c r="AD5012" i="25" s="1"/>
  <c r="AD5013" i="25" s="1"/>
  <c r="AD5014" i="25" s="1"/>
  <c r="AD5015" i="25" s="1"/>
  <c r="AD5016" i="25" s="1"/>
  <c r="AD5017" i="25" s="1"/>
  <c r="AD5018" i="25" s="1"/>
  <c r="AD5019" i="25" s="1"/>
  <c r="AD5020" i="25" s="1"/>
  <c r="AD5021" i="25" s="1"/>
  <c r="AD5022" i="25" s="1"/>
  <c r="AD5023" i="25" s="1"/>
  <c r="AD5024" i="25" s="1"/>
  <c r="AD5025" i="25" s="1"/>
  <c r="AD5026" i="25" s="1"/>
  <c r="AD5027" i="25" s="1"/>
  <c r="AD5028" i="25" s="1"/>
  <c r="AD5029" i="25" s="1"/>
  <c r="AD5030" i="25" s="1"/>
  <c r="AD5031" i="25" s="1"/>
  <c r="AD5032" i="25" s="1"/>
  <c r="AD5033" i="25" s="1"/>
  <c r="AD5034" i="25" s="1"/>
  <c r="AD5035" i="25" s="1"/>
  <c r="AD5036" i="25" s="1"/>
  <c r="AD5037" i="25" s="1"/>
  <c r="AD5038" i="25" s="1"/>
  <c r="AD5039" i="25" s="1"/>
  <c r="AD5040" i="25" s="1"/>
  <c r="AD5041" i="25" s="1"/>
  <c r="AD5042" i="25" s="1"/>
  <c r="AD5043" i="25" s="1"/>
  <c r="AD5044" i="25" s="1"/>
  <c r="AD5045" i="25" s="1"/>
  <c r="AD5046" i="25" s="1"/>
  <c r="AD5047" i="25" s="1"/>
  <c r="AD5048" i="25" s="1"/>
  <c r="AD5049" i="25" s="1"/>
  <c r="AD5050" i="25" s="1"/>
  <c r="AD5051" i="25" s="1"/>
  <c r="AD5052" i="25" s="1"/>
  <c r="AD5053" i="25" s="1"/>
  <c r="AD5054" i="25" s="1"/>
  <c r="AD5055" i="25" s="1"/>
  <c r="AD5056" i="25" s="1"/>
  <c r="AD5057" i="25" s="1"/>
  <c r="AD5058" i="25" s="1"/>
  <c r="AD5059" i="25" s="1"/>
  <c r="AD5060" i="25" s="1"/>
  <c r="AD5061" i="25" s="1"/>
  <c r="AD5062" i="25" s="1"/>
  <c r="AD5063" i="25" s="1"/>
  <c r="AD5064" i="25" s="1"/>
  <c r="AD5065" i="25" s="1"/>
  <c r="AD5066" i="25" s="1"/>
  <c r="AD5067" i="25" s="1"/>
  <c r="AD5068" i="25" s="1"/>
  <c r="AD5069" i="25" s="1"/>
  <c r="AD5070" i="25" s="1"/>
  <c r="AD5071" i="25" s="1"/>
  <c r="AD5072" i="25" s="1"/>
  <c r="AD5073" i="25" s="1"/>
  <c r="AD5074" i="25" s="1"/>
  <c r="AD5075" i="25" s="1"/>
  <c r="AD5076" i="25" s="1"/>
  <c r="AD5077" i="25" s="1"/>
  <c r="AD5078" i="25" s="1"/>
  <c r="AD5079" i="25" s="1"/>
  <c r="AD5080" i="25" s="1"/>
  <c r="AD5081" i="25" s="1"/>
  <c r="AD5082" i="25" s="1"/>
  <c r="AD5083" i="25" s="1"/>
  <c r="AD5084" i="25" s="1"/>
  <c r="AD5085" i="25" s="1"/>
  <c r="AD5086" i="25" s="1"/>
  <c r="AD5087" i="25" s="1"/>
  <c r="AD5088" i="25" s="1"/>
  <c r="AD5089" i="25" s="1"/>
  <c r="AD5090" i="25" s="1"/>
  <c r="AD5091" i="25" s="1"/>
  <c r="AD5092" i="25" s="1"/>
  <c r="AD5093" i="25" s="1"/>
  <c r="AD5094" i="25" s="1"/>
  <c r="AD5095" i="25" s="1"/>
  <c r="AD5096" i="25" s="1"/>
  <c r="AD5097" i="25" s="1"/>
  <c r="AD5098" i="25" s="1"/>
  <c r="AD5099" i="25" s="1"/>
  <c r="AD5100" i="25" s="1"/>
  <c r="AD5101" i="25" s="1"/>
  <c r="AD5102" i="25" s="1"/>
  <c r="AD5103" i="25" s="1"/>
  <c r="AD5104" i="25" s="1"/>
  <c r="AD5105" i="25" s="1"/>
  <c r="AD5106" i="25" s="1"/>
  <c r="AD5107" i="25" s="1"/>
  <c r="AD5108" i="25" s="1"/>
  <c r="AD5109" i="25" s="1"/>
  <c r="AD5110" i="25" s="1"/>
  <c r="AD5111" i="25" s="1"/>
  <c r="AD5112" i="25" s="1"/>
  <c r="AD5113" i="25" s="1"/>
  <c r="AD5114" i="25" s="1"/>
  <c r="AD5115" i="25" s="1"/>
  <c r="AD5116" i="25" s="1"/>
  <c r="AD5117" i="25" s="1"/>
  <c r="AD5118" i="25" s="1"/>
  <c r="AD5119" i="25" s="1"/>
  <c r="AD5120" i="25" s="1"/>
  <c r="AD5121" i="25" s="1"/>
  <c r="AD5122" i="25" s="1"/>
  <c r="AD5123" i="25" s="1"/>
  <c r="AD5124" i="25" s="1"/>
  <c r="AD5125" i="25" s="1"/>
  <c r="AD5126" i="25" s="1"/>
  <c r="AD5127" i="25" s="1"/>
  <c r="AD5128" i="25" s="1"/>
  <c r="AD5129" i="25" s="1"/>
  <c r="AD5130" i="25" s="1"/>
  <c r="AD5131" i="25" s="1"/>
  <c r="AD5132" i="25" s="1"/>
  <c r="AD5133" i="25" s="1"/>
  <c r="AD5134" i="25" s="1"/>
  <c r="AD5135" i="25" s="1"/>
  <c r="AD5136" i="25" s="1"/>
  <c r="AD5137" i="25" s="1"/>
  <c r="AD5138" i="25" s="1"/>
  <c r="AD5139" i="25" s="1"/>
  <c r="AD5140" i="25" s="1"/>
  <c r="AD5141" i="25" s="1"/>
  <c r="AD5142" i="25" s="1"/>
  <c r="AD5143" i="25" s="1"/>
  <c r="AD5144" i="25" s="1"/>
  <c r="AD5145" i="25" s="1"/>
  <c r="AD5146" i="25" s="1"/>
  <c r="AD5147" i="25" s="1"/>
  <c r="AD5148" i="25" s="1"/>
  <c r="AD5149" i="25" s="1"/>
  <c r="AD5150" i="25" s="1"/>
  <c r="AD5151" i="25" s="1"/>
  <c r="AD5152" i="25" s="1"/>
  <c r="AD5153" i="25" s="1"/>
  <c r="AD5154" i="25" s="1"/>
  <c r="AD5155" i="25" s="1"/>
  <c r="AD5156" i="25" s="1"/>
  <c r="AD5157" i="25" s="1"/>
  <c r="AD5158" i="25" s="1"/>
  <c r="AD5159" i="25" s="1"/>
  <c r="AD5160" i="25" s="1"/>
  <c r="AD5161" i="25" s="1"/>
  <c r="AD5162" i="25" s="1"/>
  <c r="AD5163" i="25" s="1"/>
  <c r="AD5164" i="25" s="1"/>
  <c r="AD5165" i="25" s="1"/>
  <c r="AD5166" i="25" s="1"/>
  <c r="AD5167" i="25" s="1"/>
  <c r="AD5168" i="25" s="1"/>
  <c r="AD5169" i="25" s="1"/>
  <c r="AD5170" i="25" s="1"/>
  <c r="AD5171" i="25" s="1"/>
  <c r="AD5172" i="25" s="1"/>
  <c r="AD5173" i="25" s="1"/>
  <c r="AD5174" i="25" s="1"/>
  <c r="AD5175" i="25" s="1"/>
  <c r="AD5176" i="25" s="1"/>
  <c r="AD5177" i="25" s="1"/>
  <c r="AD5178" i="25" s="1"/>
  <c r="AD5179" i="25" s="1"/>
  <c r="AD5180" i="25" s="1"/>
  <c r="AD5181" i="25" s="1"/>
  <c r="AD5182" i="25" s="1"/>
  <c r="AD5183" i="25" s="1"/>
  <c r="AD5184" i="25" s="1"/>
  <c r="AD5185" i="25" s="1"/>
  <c r="AD5186" i="25" s="1"/>
  <c r="AD5187" i="25" s="1"/>
  <c r="AD5188" i="25" s="1"/>
  <c r="AD5189" i="25" s="1"/>
  <c r="AD5190" i="25" s="1"/>
  <c r="AD5191" i="25" s="1"/>
  <c r="AD5192" i="25" s="1"/>
  <c r="AD5193" i="25" s="1"/>
  <c r="AD5194" i="25" s="1"/>
  <c r="AD5195" i="25" s="1"/>
  <c r="AD5196" i="25" s="1"/>
  <c r="AD5197" i="25" s="1"/>
  <c r="AD5198" i="25" s="1"/>
  <c r="AD5199" i="25" s="1"/>
  <c r="AD5200" i="25" s="1"/>
  <c r="AD5201" i="25" s="1"/>
  <c r="AD5202" i="25" s="1"/>
  <c r="AD5203" i="25" s="1"/>
  <c r="AD5204" i="25" s="1"/>
  <c r="AD5205" i="25" s="1"/>
  <c r="AD5206" i="25" s="1"/>
  <c r="AD5207" i="25" s="1"/>
  <c r="AD5208" i="25" s="1"/>
  <c r="AD5209" i="25" s="1"/>
  <c r="AD5210" i="25" s="1"/>
  <c r="AD5211" i="25" s="1"/>
  <c r="AD5212" i="25" s="1"/>
  <c r="AD5213" i="25" s="1"/>
  <c r="AD5214" i="25" s="1"/>
  <c r="AD5215" i="25" s="1"/>
  <c r="AD5216" i="25" s="1"/>
  <c r="AD5217" i="25" s="1"/>
  <c r="AD5218" i="25" s="1"/>
  <c r="AD5219" i="25" s="1"/>
  <c r="AD5220" i="25" s="1"/>
  <c r="AD5221" i="25" s="1"/>
  <c r="AD5222" i="25" s="1"/>
  <c r="AD5223" i="25" s="1"/>
  <c r="AD5224" i="25" s="1"/>
  <c r="AD5225" i="25" s="1"/>
  <c r="AD5226" i="25" s="1"/>
  <c r="AD5227" i="25" s="1"/>
  <c r="AD5228" i="25" s="1"/>
  <c r="AD5229" i="25" s="1"/>
  <c r="AD5230" i="25" s="1"/>
  <c r="AD5231" i="25" s="1"/>
  <c r="AD5232" i="25" s="1"/>
  <c r="AD5233" i="25" s="1"/>
  <c r="AD5234" i="25" s="1"/>
  <c r="AD5235" i="25" s="1"/>
  <c r="AD5236" i="25" s="1"/>
  <c r="AD5237" i="25" s="1"/>
  <c r="AD5238" i="25" s="1"/>
  <c r="AD5239" i="25" s="1"/>
  <c r="AD5240" i="25" s="1"/>
  <c r="AD5241" i="25" s="1"/>
  <c r="AD5242" i="25" s="1"/>
  <c r="AD5243" i="25" s="1"/>
  <c r="AD5244" i="25" s="1"/>
  <c r="AD5245" i="25" s="1"/>
  <c r="AD5246" i="25" s="1"/>
  <c r="AD5247" i="25" s="1"/>
  <c r="AD5248" i="25" s="1"/>
  <c r="AD5249" i="25" s="1"/>
  <c r="AD5250" i="25" s="1"/>
  <c r="AD5251" i="25" s="1"/>
  <c r="AD5252" i="25" s="1"/>
  <c r="AD5253" i="25" s="1"/>
  <c r="AD5254" i="25" s="1"/>
  <c r="AD5255" i="25" s="1"/>
  <c r="AD5256" i="25" s="1"/>
  <c r="AD5257" i="25" s="1"/>
  <c r="AD5258" i="25" s="1"/>
  <c r="AD5259" i="25" s="1"/>
  <c r="AD5260" i="25" s="1"/>
  <c r="AD5261" i="25" s="1"/>
  <c r="AD5262" i="25" s="1"/>
  <c r="AD5263" i="25" s="1"/>
  <c r="AD5264" i="25" s="1"/>
  <c r="AD5265" i="25" s="1"/>
  <c r="AD5266" i="25" s="1"/>
  <c r="AD5267" i="25" s="1"/>
  <c r="AD5268" i="25" s="1"/>
  <c r="AD5269" i="25" s="1"/>
  <c r="AD5270" i="25" s="1"/>
  <c r="AD5271" i="25" s="1"/>
  <c r="AD5272" i="25" s="1"/>
  <c r="AD5273" i="25" s="1"/>
  <c r="AD5274" i="25" s="1"/>
  <c r="AD5275" i="25" s="1"/>
  <c r="AD5276" i="25" s="1"/>
  <c r="AD5277" i="25" s="1"/>
  <c r="AD5278" i="25" s="1"/>
  <c r="AD5279" i="25" s="1"/>
  <c r="AD5280" i="25" s="1"/>
  <c r="AD5281" i="25" s="1"/>
  <c r="AD5282" i="25" s="1"/>
  <c r="AD5283" i="25" s="1"/>
  <c r="AD5284" i="25" s="1"/>
  <c r="AD5285" i="25" s="1"/>
  <c r="AD5286" i="25" s="1"/>
  <c r="AD5287" i="25" s="1"/>
  <c r="AD5288" i="25" s="1"/>
  <c r="AD5289" i="25" s="1"/>
  <c r="AD5290" i="25" s="1"/>
  <c r="AD5291" i="25" s="1"/>
  <c r="AD5292" i="25" s="1"/>
  <c r="AD5293" i="25" s="1"/>
  <c r="AD5294" i="25" s="1"/>
  <c r="AD5295" i="25" s="1"/>
  <c r="AD5296" i="25" s="1"/>
  <c r="AD5297" i="25" s="1"/>
  <c r="AD5298" i="25" s="1"/>
  <c r="AD5299" i="25" s="1"/>
  <c r="AD5300" i="25" s="1"/>
  <c r="AD5301" i="25" s="1"/>
  <c r="AD5302" i="25" s="1"/>
  <c r="AD5303" i="25" s="1"/>
  <c r="AD5304" i="25" s="1"/>
  <c r="AD5305" i="25" s="1"/>
  <c r="AD5306" i="25" s="1"/>
  <c r="AD5307" i="25" s="1"/>
  <c r="AD5308" i="25" s="1"/>
  <c r="AD5309" i="25" s="1"/>
  <c r="AD5310" i="25" s="1"/>
  <c r="AD5311" i="25" s="1"/>
  <c r="AD5312" i="25" s="1"/>
  <c r="AD5313" i="25" s="1"/>
  <c r="AD5314" i="25" s="1"/>
  <c r="AD5315" i="25" s="1"/>
  <c r="AD5316" i="25" s="1"/>
  <c r="AD5317" i="25" s="1"/>
  <c r="AD5318" i="25" s="1"/>
  <c r="AD5319" i="25" s="1"/>
  <c r="AD5320" i="25" s="1"/>
  <c r="AD5321" i="25" s="1"/>
  <c r="AD5322" i="25" s="1"/>
  <c r="AD5323" i="25" s="1"/>
  <c r="AD5324" i="25" s="1"/>
  <c r="AD5325" i="25" s="1"/>
  <c r="AD5326" i="25" s="1"/>
  <c r="AD5327" i="25" s="1"/>
  <c r="AD5328" i="25" s="1"/>
  <c r="AD5329" i="25" s="1"/>
  <c r="AD5330" i="25" s="1"/>
  <c r="AD5331" i="25" s="1"/>
  <c r="AD5332" i="25" s="1"/>
  <c r="AD5333" i="25" s="1"/>
  <c r="AD5334" i="25" s="1"/>
  <c r="AD5335" i="25" s="1"/>
  <c r="AD5336" i="25" s="1"/>
  <c r="AD5337" i="25" s="1"/>
  <c r="AD5338" i="25" s="1"/>
  <c r="AD5339" i="25" s="1"/>
  <c r="AD5340" i="25" s="1"/>
  <c r="AD5341" i="25" s="1"/>
  <c r="AD5342" i="25" s="1"/>
  <c r="AD5343" i="25" s="1"/>
  <c r="AD5344" i="25" s="1"/>
  <c r="AD5345" i="25" s="1"/>
  <c r="AD5346" i="25" s="1"/>
  <c r="AD5347" i="25" s="1"/>
  <c r="AD5348" i="25" s="1"/>
  <c r="AD5349" i="25" s="1"/>
  <c r="AD5350" i="25" s="1"/>
  <c r="AD5351" i="25" s="1"/>
  <c r="AD5352" i="25" s="1"/>
  <c r="AD5353" i="25" s="1"/>
  <c r="AD5354" i="25" s="1"/>
  <c r="AD5355" i="25" s="1"/>
  <c r="AD5356" i="25" s="1"/>
  <c r="AD5357" i="25" s="1"/>
  <c r="AD5358" i="25" s="1"/>
  <c r="AD5359" i="25" s="1"/>
  <c r="AD5360" i="25" s="1"/>
  <c r="AD5361" i="25" s="1"/>
  <c r="AD5362" i="25" s="1"/>
  <c r="AD5363" i="25" s="1"/>
  <c r="AD5364" i="25" s="1"/>
  <c r="AD5365" i="25" s="1"/>
  <c r="AD5366" i="25" s="1"/>
  <c r="AD5367" i="25" s="1"/>
  <c r="AD5368" i="25" s="1"/>
  <c r="AD5369" i="25" s="1"/>
  <c r="AD5370" i="25" s="1"/>
  <c r="AD5371" i="25" s="1"/>
  <c r="AD5372" i="25" s="1"/>
  <c r="AD5373" i="25" s="1"/>
  <c r="AD5374" i="25" s="1"/>
  <c r="AD5375" i="25" s="1"/>
  <c r="AD5376" i="25" s="1"/>
  <c r="AD5377" i="25" s="1"/>
  <c r="AD5378" i="25" s="1"/>
  <c r="AD5379" i="25" s="1"/>
  <c r="AD5380" i="25" s="1"/>
  <c r="AD5381" i="25" s="1"/>
  <c r="AD5382" i="25" s="1"/>
  <c r="AD5383" i="25" s="1"/>
  <c r="AD5384" i="25" s="1"/>
  <c r="AD5385" i="25" s="1"/>
  <c r="AD5386" i="25" s="1"/>
  <c r="AD5387" i="25" s="1"/>
  <c r="AD5388" i="25" s="1"/>
  <c r="AD5389" i="25" s="1"/>
  <c r="AD5390" i="25" s="1"/>
  <c r="AD5391" i="25" s="1"/>
  <c r="AD5392" i="25" s="1"/>
  <c r="AD5393" i="25" s="1"/>
  <c r="AD5394" i="25" s="1"/>
  <c r="AD5395" i="25" s="1"/>
  <c r="AD5396" i="25" s="1"/>
  <c r="AD5397" i="25" s="1"/>
  <c r="AD5398" i="25" s="1"/>
  <c r="AD5399" i="25" s="1"/>
  <c r="AD5400" i="25" s="1"/>
  <c r="AD5401" i="25" s="1"/>
  <c r="AD5402" i="25" s="1"/>
  <c r="AD5403" i="25" s="1"/>
  <c r="AD5404" i="25" s="1"/>
  <c r="AD5405" i="25" s="1"/>
  <c r="AD5406" i="25" s="1"/>
  <c r="AD5407" i="25" s="1"/>
  <c r="AD5408" i="25" s="1"/>
  <c r="AD5409" i="25" s="1"/>
  <c r="AD5410" i="25" s="1"/>
  <c r="AD5411" i="25" s="1"/>
  <c r="AD5412" i="25" s="1"/>
  <c r="AD5413" i="25" s="1"/>
  <c r="AD5414" i="25" s="1"/>
  <c r="AD5415" i="25" s="1"/>
  <c r="AD5416" i="25" s="1"/>
  <c r="AD5417" i="25" s="1"/>
  <c r="AD5418" i="25" s="1"/>
  <c r="AD5419" i="25" s="1"/>
  <c r="AD5420" i="25" s="1"/>
  <c r="AD5421" i="25" s="1"/>
  <c r="AD5422" i="25" s="1"/>
  <c r="AD5423" i="25" s="1"/>
  <c r="AD5424" i="25" s="1"/>
  <c r="AD5425" i="25" s="1"/>
  <c r="AD5426" i="25" s="1"/>
  <c r="AD5427" i="25" s="1"/>
  <c r="AD5428" i="25" s="1"/>
  <c r="AD5429" i="25" s="1"/>
  <c r="AD5430" i="25" s="1"/>
  <c r="AD5431" i="25" s="1"/>
  <c r="AD5432" i="25" s="1"/>
  <c r="AD5433" i="25" s="1"/>
  <c r="AD5434" i="25" s="1"/>
  <c r="AD5435" i="25" s="1"/>
  <c r="AD5436" i="25" s="1"/>
  <c r="AD5437" i="25" s="1"/>
  <c r="AD5438" i="25" s="1"/>
  <c r="AD5439" i="25" s="1"/>
  <c r="AD5440" i="25" s="1"/>
  <c r="AD5441" i="25" s="1"/>
  <c r="AD5442" i="25" s="1"/>
  <c r="AD5443" i="25" s="1"/>
  <c r="AD5444" i="25" s="1"/>
  <c r="AD5445" i="25" s="1"/>
  <c r="AD5446" i="25" s="1"/>
  <c r="AD5447" i="25" s="1"/>
  <c r="AD5448" i="25" s="1"/>
  <c r="AD5449" i="25" s="1"/>
  <c r="AD5450" i="25" s="1"/>
  <c r="I150" i="25"/>
  <c r="I147" i="25" s="1"/>
  <c r="I149" i="25" s="1"/>
  <c r="H94" i="25"/>
  <c r="H91" i="25" s="1"/>
  <c r="H93" i="25" s="1"/>
  <c r="H55" i="25"/>
  <c r="H52" i="25" s="1"/>
  <c r="H169" i="25"/>
  <c r="H166" i="25" s="1"/>
  <c r="H168" i="25" s="1"/>
  <c r="H19" i="25"/>
  <c r="H16" i="25" s="1"/>
  <c r="H131" i="25"/>
  <c r="H128" i="25" s="1"/>
  <c r="H130" i="25" s="1"/>
  <c r="H150" i="25"/>
  <c r="H147" i="25" s="1"/>
  <c r="H149" i="25" s="1"/>
  <c r="H37" i="25"/>
  <c r="H34" i="25" s="1"/>
  <c r="I55" i="25"/>
  <c r="I52" i="25" s="1"/>
  <c r="I54" i="25" s="1"/>
  <c r="I37" i="25"/>
  <c r="I34" i="25" s="1"/>
  <c r="H112" i="25"/>
  <c r="H109" i="25" s="1"/>
  <c r="H111" i="25" s="1"/>
  <c r="I169" i="25"/>
  <c r="I166" i="25" s="1"/>
  <c r="I168" i="25" s="1"/>
  <c r="I19" i="25"/>
  <c r="I16" i="25" s="1"/>
  <c r="I74" i="25"/>
  <c r="I71" i="25" s="1"/>
  <c r="I73" i="25" s="1"/>
  <c r="I131" i="25"/>
  <c r="I128" i="25" s="1"/>
  <c r="I130" i="25" s="1"/>
  <c r="I94" i="25"/>
  <c r="I91" i="25" s="1"/>
  <c r="I93" i="25" s="1"/>
  <c r="I112" i="25"/>
  <c r="I109" i="25" s="1"/>
  <c r="I111" i="25" s="1"/>
  <c r="J74" i="25"/>
  <c r="J71" i="25" s="1"/>
  <c r="J73" i="25" s="1"/>
  <c r="J131" i="25"/>
  <c r="J128" i="25" s="1"/>
  <c r="J130" i="25" s="1"/>
  <c r="J94" i="25"/>
  <c r="J91" i="25" s="1"/>
  <c r="J93" i="25" s="1"/>
  <c r="J169" i="25"/>
  <c r="J166" i="25" s="1"/>
  <c r="J168" i="25" s="1"/>
  <c r="J19" i="25"/>
  <c r="J16" i="25" s="1"/>
  <c r="J150" i="25"/>
  <c r="J147" i="25" s="1"/>
  <c r="J149" i="25" s="1"/>
  <c r="J112" i="25"/>
  <c r="J109" i="25" s="1"/>
  <c r="J111" i="25" s="1"/>
  <c r="K131" i="25"/>
  <c r="K128" i="25" s="1"/>
  <c r="K130" i="25" s="1"/>
  <c r="K169" i="25"/>
  <c r="K166" i="25" s="1"/>
  <c r="K168" i="25" s="1"/>
  <c r="K19" i="25"/>
  <c r="K16" i="25" s="1"/>
  <c r="K150" i="25"/>
  <c r="K147" i="25" s="1"/>
  <c r="K149" i="25" s="1"/>
  <c r="L150" i="25"/>
  <c r="L147" i="25" s="1"/>
  <c r="L149" i="25" s="1"/>
  <c r="L19" i="25"/>
  <c r="L16" i="25" s="1"/>
  <c r="M19" i="25"/>
  <c r="M16" i="25" s="1"/>
  <c r="N19" i="25"/>
  <c r="N16" i="25" s="1"/>
  <c r="AC7" i="22"/>
  <c r="AD10" i="22"/>
  <c r="AC40" i="22"/>
  <c r="AD43" i="22"/>
  <c r="AC24" i="22"/>
  <c r="AD27" i="22"/>
  <c r="D163" i="25" l="1"/>
  <c r="D106" i="25"/>
  <c r="D125" i="25"/>
  <c r="D88" i="25"/>
  <c r="AD5451" i="25"/>
  <c r="AD5452" i="25" s="1"/>
  <c r="AD5453" i="25" s="1"/>
  <c r="AD5454" i="25" s="1"/>
  <c r="AD5455" i="25" s="1"/>
  <c r="AD5456" i="25" s="1"/>
  <c r="AD5457" i="25" s="1"/>
  <c r="AD5458" i="25" s="1"/>
  <c r="AD5459" i="25" s="1"/>
  <c r="AD5460" i="25" s="1"/>
  <c r="AD5461" i="25" s="1"/>
  <c r="AD5462" i="25" s="1"/>
  <c r="AD5463" i="25" s="1"/>
  <c r="AD5464" i="25" s="1"/>
  <c r="AD5465" i="25" s="1"/>
  <c r="AD5466" i="25" s="1"/>
  <c r="AD5467" i="25" s="1"/>
  <c r="AD5468" i="25" s="1"/>
  <c r="AD5469" i="25" s="1"/>
  <c r="AD5470" i="25" s="1"/>
  <c r="AD5471" i="25" s="1"/>
  <c r="AD5472" i="25" s="1"/>
  <c r="AD5473" i="25" s="1"/>
  <c r="AD5474" i="25" s="1"/>
  <c r="AD5475" i="25" s="1"/>
  <c r="AD5476" i="25" s="1"/>
  <c r="AD5477" i="25" s="1"/>
  <c r="AD5478" i="25" s="1"/>
  <c r="AD5479" i="25" s="1"/>
  <c r="AD5480" i="25" s="1"/>
  <c r="AD5481" i="25" s="1"/>
  <c r="AD5482" i="25" s="1"/>
  <c r="AD5483" i="25" s="1"/>
  <c r="AD5484" i="25" s="1"/>
  <c r="AD5485" i="25" s="1"/>
  <c r="AD5486" i="25" s="1"/>
  <c r="AD5487" i="25" s="1"/>
  <c r="AD5488" i="25" s="1"/>
  <c r="AD5489" i="25" s="1"/>
  <c r="AD5490" i="25" s="1"/>
  <c r="AD5491" i="25" s="1"/>
  <c r="AD5492" i="25" s="1"/>
  <c r="AD5493" i="25" s="1"/>
  <c r="AD5494" i="25" s="1"/>
  <c r="AD5495" i="25" s="1"/>
  <c r="AD5496" i="25" s="1"/>
  <c r="AD5497" i="25" s="1"/>
  <c r="AD5498" i="25" s="1"/>
  <c r="AD5499" i="25" s="1"/>
  <c r="AD5500" i="25" s="1"/>
  <c r="AD5501" i="25" s="1"/>
  <c r="AD5502" i="25" s="1"/>
  <c r="AD5503" i="25" s="1"/>
  <c r="AD5504" i="25" s="1"/>
  <c r="AD5505" i="25" s="1"/>
  <c r="AD5506" i="25" s="1"/>
  <c r="AD5507" i="25" s="1"/>
  <c r="AD5508" i="25" s="1"/>
  <c r="AD5509" i="25" s="1"/>
  <c r="AD5510" i="25" s="1"/>
  <c r="AD5511" i="25" s="1"/>
  <c r="AD5512" i="25" s="1"/>
  <c r="AD5513" i="25" s="1"/>
  <c r="AD5514" i="25" s="1"/>
  <c r="AD5515" i="25" s="1"/>
  <c r="AD5516" i="25" s="1"/>
  <c r="AD5517" i="25" s="1"/>
  <c r="AD5518" i="25" s="1"/>
  <c r="AD5519" i="25" s="1"/>
  <c r="AD5520" i="25" s="1"/>
  <c r="AD5521" i="25" s="1"/>
  <c r="AD5522" i="25" s="1"/>
  <c r="AD5523" i="25" s="1"/>
  <c r="AD5524" i="25" s="1"/>
  <c r="AD5525" i="25" s="1"/>
  <c r="AD5526" i="25" s="1"/>
  <c r="AD5527" i="25" s="1"/>
  <c r="AD5528" i="25" s="1"/>
  <c r="AD5529" i="25" s="1"/>
  <c r="AD5530" i="25" s="1"/>
  <c r="AD5531" i="25" s="1"/>
  <c r="AD5532" i="25" s="1"/>
  <c r="AD5533" i="25" s="1"/>
  <c r="AD5534" i="25" s="1"/>
  <c r="AD5535" i="25" s="1"/>
  <c r="AD5536" i="25" s="1"/>
  <c r="AD5537" i="25" s="1"/>
  <c r="AD5538" i="25" s="1"/>
  <c r="AD5539" i="25" s="1"/>
  <c r="AD5540" i="25" s="1"/>
  <c r="AD5541" i="25" s="1"/>
  <c r="AD5542" i="25" s="1"/>
  <c r="AD5543" i="25" s="1"/>
  <c r="AD5544" i="25" s="1"/>
  <c r="AD5545" i="25" s="1"/>
  <c r="AD5546" i="25" s="1"/>
  <c r="AD5547" i="25" s="1"/>
  <c r="AD5548" i="25" s="1"/>
  <c r="AD5549" i="25" s="1"/>
  <c r="AD5550" i="25" s="1"/>
  <c r="AD5551" i="25" s="1"/>
  <c r="AD5552" i="25" s="1"/>
  <c r="AD5553" i="25" s="1"/>
  <c r="AD5554" i="25" s="1"/>
  <c r="AD5555" i="25" s="1"/>
  <c r="AD5556" i="25" s="1"/>
  <c r="AD5557" i="25" s="1"/>
  <c r="AD5558" i="25" s="1"/>
  <c r="AD5559" i="25" s="1"/>
  <c r="AD5560" i="25" s="1"/>
  <c r="AD5561" i="25" s="1"/>
  <c r="AD5562" i="25" s="1"/>
  <c r="AD5563" i="25" s="1"/>
  <c r="AD5564" i="25" s="1"/>
  <c r="AD5565" i="25" s="1"/>
  <c r="AD5566" i="25" s="1"/>
  <c r="AD5567" i="25" s="1"/>
  <c r="AD5568" i="25" s="1"/>
  <c r="AD5569" i="25" s="1"/>
  <c r="AD5570" i="25" s="1"/>
  <c r="AD5571" i="25" s="1"/>
  <c r="AD5572" i="25" s="1"/>
  <c r="AD5573" i="25" s="1"/>
  <c r="AD5574" i="25" s="1"/>
  <c r="AD5575" i="25" s="1"/>
  <c r="AD5576" i="25" s="1"/>
  <c r="AD5577" i="25" s="1"/>
  <c r="AD5578" i="25" s="1"/>
  <c r="AD5579" i="25" s="1"/>
  <c r="AD5580" i="25" s="1"/>
  <c r="AD5581" i="25" s="1"/>
  <c r="AD5582" i="25" s="1"/>
  <c r="AD5583" i="25" s="1"/>
  <c r="AD5584" i="25" s="1"/>
  <c r="AD5585" i="25" s="1"/>
  <c r="AD5586" i="25" s="1"/>
  <c r="AD5587" i="25" s="1"/>
  <c r="AD5588" i="25" s="1"/>
  <c r="AD5589" i="25" s="1"/>
  <c r="AD5590" i="25" s="1"/>
  <c r="AD5591" i="25" s="1"/>
  <c r="AD5592" i="25" s="1"/>
  <c r="AD5593" i="25" s="1"/>
  <c r="AD5594" i="25" s="1"/>
  <c r="AD5595" i="25" s="1"/>
  <c r="AD5596" i="25" s="1"/>
  <c r="AD5597" i="25" s="1"/>
  <c r="AD5598" i="25" s="1"/>
  <c r="AD5599" i="25" s="1"/>
  <c r="AD5600" i="25" s="1"/>
  <c r="AD5601" i="25" s="1"/>
  <c r="AD5602" i="25" s="1"/>
  <c r="AD5603" i="25" s="1"/>
  <c r="AD5604" i="25" s="1"/>
  <c r="AD5605" i="25" s="1"/>
  <c r="AD5606" i="25" s="1"/>
  <c r="AD5607" i="25" s="1"/>
  <c r="AD5608" i="25" s="1"/>
  <c r="AD5609" i="25" s="1"/>
  <c r="AD5610" i="25" s="1"/>
  <c r="AD5611" i="25" s="1"/>
  <c r="AD5612" i="25" s="1"/>
  <c r="AD5613" i="25" s="1"/>
  <c r="AD5614" i="25" s="1"/>
  <c r="AD5615" i="25" s="1"/>
  <c r="AD5616" i="25" s="1"/>
  <c r="AD5617" i="25" s="1"/>
  <c r="AD5618" i="25" s="1"/>
  <c r="AD5619" i="25" s="1"/>
  <c r="AD5620" i="25" s="1"/>
  <c r="AD5621" i="25" s="1"/>
  <c r="AD5622" i="25" s="1"/>
  <c r="AD5623" i="25" s="1"/>
  <c r="AD5624" i="25" s="1"/>
  <c r="AD5625" i="25" s="1"/>
  <c r="AD5626" i="25" s="1"/>
  <c r="AD5627" i="25" s="1"/>
  <c r="AD5628" i="25" s="1"/>
  <c r="AD5629" i="25" s="1"/>
  <c r="AD5630" i="25" s="1"/>
  <c r="AD5631" i="25" s="1"/>
  <c r="AD5632" i="25" s="1"/>
  <c r="AD5633" i="25" s="1"/>
  <c r="AD5634" i="25" s="1"/>
  <c r="AD5635" i="25" s="1"/>
  <c r="AD5636" i="25" s="1"/>
  <c r="AD5637" i="25" s="1"/>
  <c r="AD5638" i="25" s="1"/>
  <c r="AD5639" i="25" s="1"/>
  <c r="AD5640" i="25" s="1"/>
  <c r="AD5641" i="25" s="1"/>
  <c r="AD5642" i="25" s="1"/>
  <c r="AD5643" i="25" s="1"/>
  <c r="AD5644" i="25" s="1"/>
  <c r="AD5645" i="25" s="1"/>
  <c r="AD5646" i="25" s="1"/>
  <c r="AD5647" i="25" s="1"/>
  <c r="AD5648" i="25" s="1"/>
  <c r="AD5649" i="25" s="1"/>
  <c r="AD5650" i="25" s="1"/>
  <c r="AD5651" i="25" s="1"/>
  <c r="AD5652" i="25" s="1"/>
  <c r="AD5653" i="25" s="1"/>
  <c r="AD5654" i="25" s="1"/>
  <c r="AD5655" i="25" s="1"/>
  <c r="AD5656" i="25" s="1"/>
  <c r="AD5657" i="25" s="1"/>
  <c r="AD5658" i="25" s="1"/>
  <c r="AD5659" i="25" s="1"/>
  <c r="AD5660" i="25" s="1"/>
  <c r="AD5661" i="25" s="1"/>
  <c r="AD5662" i="25" s="1"/>
  <c r="AD5663" i="25" s="1"/>
  <c r="AD5664" i="25" s="1"/>
  <c r="AD5665" i="25" s="1"/>
  <c r="AD5666" i="25" s="1"/>
  <c r="AD5667" i="25" s="1"/>
  <c r="AD5668" i="25" s="1"/>
  <c r="AD5669" i="25" s="1"/>
  <c r="AD5670" i="25" s="1"/>
  <c r="AD5671" i="25" s="1"/>
  <c r="AD5672" i="25" s="1"/>
  <c r="AD5673" i="25" s="1"/>
  <c r="AD5674" i="25" s="1"/>
  <c r="AD5675" i="25" s="1"/>
  <c r="AD5676" i="25" s="1"/>
  <c r="AD5677" i="25" s="1"/>
  <c r="AD5678" i="25" s="1"/>
  <c r="AD5679" i="25" s="1"/>
  <c r="AD5680" i="25" s="1"/>
  <c r="AD5681" i="25" s="1"/>
  <c r="AD5682" i="25" s="1"/>
  <c r="AD5683" i="25" s="1"/>
  <c r="AD5684" i="25" s="1"/>
  <c r="AD5685" i="25" s="1"/>
  <c r="AD5686" i="25" s="1"/>
  <c r="AD5687" i="25" s="1"/>
  <c r="AD5688" i="25" s="1"/>
  <c r="AD5689" i="25" s="1"/>
  <c r="AD5690" i="25" s="1"/>
  <c r="AD5691" i="25" s="1"/>
  <c r="AD5692" i="25" s="1"/>
  <c r="AD5693" i="25" s="1"/>
  <c r="AD5694" i="25" s="1"/>
  <c r="AD5695" i="25" s="1"/>
  <c r="AD5696" i="25" s="1"/>
  <c r="AD5697" i="25" s="1"/>
  <c r="AD5698" i="25" s="1"/>
  <c r="AD5699" i="25" s="1"/>
  <c r="AD5700" i="25" s="1"/>
  <c r="AD5701" i="25" s="1"/>
  <c r="AD5702" i="25" s="1"/>
  <c r="AD5703" i="25" s="1"/>
  <c r="AD5704" i="25" s="1"/>
  <c r="AD5705" i="25" s="1"/>
  <c r="AD5706" i="25" s="1"/>
  <c r="AD5707" i="25" s="1"/>
  <c r="AD5708" i="25" s="1"/>
  <c r="AD5709" i="25" s="1"/>
  <c r="AD5710" i="25" s="1"/>
  <c r="AD5711" i="25" s="1"/>
  <c r="AD5712" i="25" s="1"/>
  <c r="AD5713" i="25" s="1"/>
  <c r="AD5714" i="25" s="1"/>
  <c r="AD5715" i="25" s="1"/>
  <c r="AD5716" i="25" s="1"/>
  <c r="AD5717" i="25" s="1"/>
  <c r="AD5718" i="25" s="1"/>
  <c r="AD5719" i="25" s="1"/>
  <c r="AD5720" i="25" s="1"/>
  <c r="AD5721" i="25" s="1"/>
  <c r="AD5722" i="25" s="1"/>
  <c r="AD5723" i="25" s="1"/>
  <c r="AD5724" i="25" s="1"/>
  <c r="AD5725" i="25" s="1"/>
  <c r="AD5726" i="25" s="1"/>
  <c r="AD5727" i="25" s="1"/>
  <c r="AD5728" i="25" s="1"/>
  <c r="AD5729" i="25" s="1"/>
  <c r="AD5730" i="25" s="1"/>
  <c r="AD5731" i="25" s="1"/>
  <c r="AD5732" i="25" s="1"/>
  <c r="AD5733" i="25" s="1"/>
  <c r="AD5734" i="25" s="1"/>
  <c r="AD5735" i="25" s="1"/>
  <c r="AD5736" i="25" s="1"/>
  <c r="AD5737" i="25" s="1"/>
  <c r="AD5738" i="25" s="1"/>
  <c r="AD5739" i="25" s="1"/>
  <c r="AD5740" i="25" s="1"/>
  <c r="AD5741" i="25" s="1"/>
  <c r="AD5742" i="25" s="1"/>
  <c r="AD5743" i="25" s="1"/>
  <c r="AD5744" i="25" s="1"/>
  <c r="AD5745" i="25" s="1"/>
  <c r="AD5746" i="25" s="1"/>
  <c r="AD5747" i="25" s="1"/>
  <c r="AD5748" i="25" s="1"/>
  <c r="AD5749" i="25" s="1"/>
  <c r="AD5750" i="25" s="1"/>
  <c r="AD5751" i="25" s="1"/>
  <c r="AD5752" i="25" s="1"/>
  <c r="AD5753" i="25" s="1"/>
  <c r="AD5754" i="25" s="1"/>
  <c r="AD5755" i="25" s="1"/>
  <c r="AD5756" i="25" s="1"/>
  <c r="AD5757" i="25" s="1"/>
  <c r="AD5758" i="25" s="1"/>
  <c r="AD5759" i="25" s="1"/>
  <c r="AD5760" i="25" s="1"/>
  <c r="AD5761" i="25" s="1"/>
  <c r="AD5762" i="25" s="1"/>
  <c r="AD5763" i="25" s="1"/>
  <c r="AD5764" i="25" s="1"/>
  <c r="AD5765" i="25" s="1"/>
  <c r="AD5766" i="25" s="1"/>
  <c r="AD5767" i="25" s="1"/>
  <c r="AD5768" i="25" s="1"/>
  <c r="AD5769" i="25" s="1"/>
  <c r="AD5770" i="25" s="1"/>
  <c r="AD5771" i="25" s="1"/>
  <c r="AD5772" i="25" s="1"/>
  <c r="AD5773" i="25" s="1"/>
  <c r="AD5774" i="25" s="1"/>
  <c r="AD5775" i="25" s="1"/>
  <c r="AD5776" i="25" s="1"/>
  <c r="AD5777" i="25" s="1"/>
  <c r="AD5778" i="25" s="1"/>
  <c r="AD5779" i="25" s="1"/>
  <c r="AD5780" i="25" s="1"/>
  <c r="AD5781" i="25" s="1"/>
  <c r="AD5782" i="25" s="1"/>
  <c r="AD5783" i="25" s="1"/>
  <c r="AD5784" i="25" s="1"/>
  <c r="AD5785" i="25" s="1"/>
  <c r="AD5786" i="25" s="1"/>
  <c r="AD5787" i="25" s="1"/>
  <c r="AD5788" i="25" s="1"/>
  <c r="AD5789" i="25" s="1"/>
  <c r="AD5790" i="25" s="1"/>
  <c r="AD5791" i="25" s="1"/>
  <c r="AD5792" i="25" s="1"/>
  <c r="AD5793" i="25" s="1"/>
  <c r="AD5794" i="25" s="1"/>
  <c r="AD5795" i="25" s="1"/>
  <c r="AD5796" i="25" s="1"/>
  <c r="AD5797" i="25" s="1"/>
  <c r="AD5798" i="25" s="1"/>
  <c r="AD5799" i="25" s="1"/>
  <c r="AD5800" i="25" s="1"/>
  <c r="AD5801" i="25" s="1"/>
  <c r="AD5802" i="25" s="1"/>
  <c r="AD5803" i="25" s="1"/>
  <c r="AD5804" i="25" s="1"/>
  <c r="AD5805" i="25" s="1"/>
  <c r="AD5806" i="25" s="1"/>
  <c r="AD5807" i="25" s="1"/>
  <c r="AD5808" i="25" s="1"/>
  <c r="AD5809" i="25" s="1"/>
  <c r="AD5810" i="25" s="1"/>
  <c r="AD5811" i="25" s="1"/>
  <c r="AD5812" i="25" s="1"/>
  <c r="AD5813" i="25" s="1"/>
  <c r="AD5814" i="25" s="1"/>
  <c r="AD5815" i="25" s="1"/>
  <c r="AD5816" i="25" s="1"/>
  <c r="AD5817" i="25" s="1"/>
  <c r="AD5818" i="25" s="1"/>
  <c r="AD5819" i="25" s="1"/>
  <c r="AD5820" i="25" s="1"/>
  <c r="AD5821" i="25" s="1"/>
  <c r="AD5822" i="25" s="1"/>
  <c r="AD5823" i="25" s="1"/>
  <c r="AD5824" i="25" s="1"/>
  <c r="AD5825" i="25" s="1"/>
  <c r="AD5826" i="25" s="1"/>
  <c r="AD5827" i="25" s="1"/>
  <c r="AD5828" i="25" s="1"/>
  <c r="AD5829" i="25" s="1"/>
  <c r="AD5830" i="25" s="1"/>
  <c r="AD5831" i="25" s="1"/>
  <c r="AD5832" i="25" s="1"/>
  <c r="AD5833" i="25" s="1"/>
  <c r="AD5834" i="25" s="1"/>
  <c r="AD5835" i="25" s="1"/>
  <c r="AD5836" i="25" s="1"/>
  <c r="AD5837" i="25" s="1"/>
  <c r="AD5838" i="25" s="1"/>
  <c r="AD5839" i="25" s="1"/>
  <c r="AD5840" i="25" s="1"/>
  <c r="AD5841" i="25" s="1"/>
  <c r="AD5842" i="25" s="1"/>
  <c r="AD5843" i="25" s="1"/>
  <c r="AD5844" i="25" s="1"/>
  <c r="AD5845" i="25" s="1"/>
  <c r="AD5846" i="25" s="1"/>
  <c r="AD5847" i="25" s="1"/>
  <c r="AD5848" i="25" s="1"/>
  <c r="AD5849" i="25" s="1"/>
  <c r="AD5850" i="25" s="1"/>
  <c r="AD5851" i="25" s="1"/>
  <c r="AD5852" i="25" s="1"/>
  <c r="AD5853" i="25" s="1"/>
  <c r="AD5854" i="25" s="1"/>
  <c r="AD5855" i="25" s="1"/>
  <c r="AD5856" i="25" s="1"/>
  <c r="AD5857" i="25" s="1"/>
  <c r="AD5858" i="25" s="1"/>
  <c r="AD5859" i="25" s="1"/>
  <c r="AD5860" i="25" s="1"/>
  <c r="AD5861" i="25" s="1"/>
  <c r="AD5862" i="25" s="1"/>
  <c r="AD5863" i="25" s="1"/>
  <c r="AD5864" i="25" s="1"/>
  <c r="AD5865" i="25" s="1"/>
  <c r="AD5866" i="25" s="1"/>
  <c r="AD5867" i="25" s="1"/>
  <c r="AD5868" i="25" s="1"/>
  <c r="AD5869" i="25" s="1"/>
  <c r="AD5870" i="25" s="1"/>
  <c r="AD5871" i="25" s="1"/>
  <c r="AD5872" i="25" s="1"/>
  <c r="AD5873" i="25" s="1"/>
  <c r="AD5874" i="25" s="1"/>
  <c r="AD5875" i="25" s="1"/>
  <c r="AD5876" i="25" s="1"/>
  <c r="AD5877" i="25" s="1"/>
  <c r="AD5878" i="25" s="1"/>
  <c r="AD5879" i="25" s="1"/>
  <c r="AD5880" i="25" s="1"/>
  <c r="AD5881" i="25" s="1"/>
  <c r="AD5882" i="25" s="1"/>
  <c r="AD5883" i="25" s="1"/>
  <c r="AD5884" i="25" s="1"/>
  <c r="AD5885" i="25" s="1"/>
  <c r="AD5886" i="25" s="1"/>
  <c r="AD5887" i="25" s="1"/>
  <c r="AD5888" i="25" s="1"/>
  <c r="AD5889" i="25" s="1"/>
  <c r="AD5890" i="25" s="1"/>
  <c r="AD5891" i="25" s="1"/>
  <c r="AD5892" i="25" s="1"/>
  <c r="AD5893" i="25" s="1"/>
  <c r="AD5894" i="25" s="1"/>
  <c r="AD5895" i="25" s="1"/>
  <c r="AD5896" i="25" s="1"/>
  <c r="AD5897" i="25" s="1"/>
  <c r="AD5898" i="25" s="1"/>
  <c r="AD5899" i="25" s="1"/>
  <c r="AD5900" i="25" s="1"/>
  <c r="AD5901" i="25" s="1"/>
  <c r="AD5902" i="25" s="1"/>
  <c r="AD5903" i="25" s="1"/>
  <c r="AD5904" i="25" s="1"/>
  <c r="AD5905" i="25" s="1"/>
  <c r="AD5906" i="25" s="1"/>
  <c r="AD5907" i="25" s="1"/>
  <c r="AD5908" i="25" s="1"/>
  <c r="AD5909" i="25" s="1"/>
  <c r="AD5910" i="25" s="1"/>
  <c r="AD5911" i="25" s="1"/>
  <c r="AD5912" i="25" s="1"/>
  <c r="AD5913" i="25" s="1"/>
  <c r="AD5914" i="25" s="1"/>
  <c r="AD5915" i="25" s="1"/>
  <c r="AD5916" i="25" s="1"/>
  <c r="AD5917" i="25" s="1"/>
  <c r="AD5918" i="25" s="1"/>
  <c r="AD5919" i="25" s="1"/>
  <c r="AD5920" i="25" s="1"/>
  <c r="AD5921" i="25" s="1"/>
  <c r="AD5922" i="25" s="1"/>
  <c r="AD5923" i="25" s="1"/>
  <c r="AD5924" i="25" s="1"/>
  <c r="AD5925" i="25" s="1"/>
  <c r="AD5926" i="25" s="1"/>
  <c r="AD5927" i="25" s="1"/>
  <c r="AD5928" i="25" s="1"/>
  <c r="AD5929" i="25" s="1"/>
  <c r="AD5930" i="25" s="1"/>
  <c r="AD5931" i="25" s="1"/>
  <c r="AD5932" i="25" s="1"/>
  <c r="AD5933" i="25" s="1"/>
  <c r="AD5934" i="25" s="1"/>
  <c r="AD5935" i="25" s="1"/>
  <c r="AD5936" i="25" s="1"/>
  <c r="AD5937" i="25" s="1"/>
  <c r="AD5938" i="25" s="1"/>
  <c r="AD5939" i="25" s="1"/>
  <c r="AD5940" i="25" s="1"/>
  <c r="AD5941" i="25" s="1"/>
  <c r="AD5942" i="25" s="1"/>
  <c r="AD5943" i="25" s="1"/>
  <c r="AD5944" i="25" s="1"/>
  <c r="AD5945" i="25" s="1"/>
  <c r="AD5946" i="25" s="1"/>
  <c r="AD5947" i="25" s="1"/>
  <c r="AD5948" i="25" s="1"/>
  <c r="AD5949" i="25" s="1"/>
  <c r="AD5950" i="25" s="1"/>
  <c r="AD5951" i="25" s="1"/>
  <c r="AD5952" i="25" s="1"/>
  <c r="AD5953" i="25" s="1"/>
  <c r="AD5954" i="25" s="1"/>
  <c r="AD5955" i="25" s="1"/>
  <c r="AD5956" i="25" s="1"/>
  <c r="AD5957" i="25" s="1"/>
  <c r="AD5958" i="25" s="1"/>
  <c r="AD5959" i="25" s="1"/>
  <c r="AD5960" i="25" s="1"/>
  <c r="AD5961" i="25" s="1"/>
  <c r="AD5962" i="25" s="1"/>
  <c r="AD5963" i="25" s="1"/>
  <c r="AD5964" i="25" s="1"/>
  <c r="AD5965" i="25" s="1"/>
  <c r="AD5966" i="25" s="1"/>
  <c r="AD5967" i="25" s="1"/>
  <c r="AD5968" i="25" s="1"/>
  <c r="AD5969" i="25" s="1"/>
  <c r="AD5970" i="25" s="1"/>
  <c r="AD5971" i="25" s="1"/>
  <c r="AD5972" i="25" s="1"/>
  <c r="AD5973" i="25" s="1"/>
  <c r="AD5974" i="25" s="1"/>
  <c r="AD5975" i="25" s="1"/>
  <c r="AD5976" i="25" s="1"/>
  <c r="AD5977" i="25" s="1"/>
  <c r="AD5978" i="25" s="1"/>
  <c r="AD5979" i="25" s="1"/>
  <c r="AD5980" i="25" s="1"/>
  <c r="AD5981" i="25" s="1"/>
  <c r="AD5982" i="25" s="1"/>
  <c r="AD5983" i="25" s="1"/>
  <c r="AD5984" i="25" s="1"/>
  <c r="AD5985" i="25" s="1"/>
  <c r="AD5986" i="25" s="1"/>
  <c r="AD5987" i="25" s="1"/>
  <c r="AD5988" i="25" s="1"/>
  <c r="AD5989" i="25" s="1"/>
  <c r="AD5990" i="25" s="1"/>
  <c r="AD5991" i="25" s="1"/>
  <c r="AD5992" i="25" s="1"/>
  <c r="AD5993" i="25" s="1"/>
  <c r="AD5994" i="25" s="1"/>
  <c r="AD5995" i="25" s="1"/>
  <c r="AD5996" i="25" s="1"/>
  <c r="AD5997" i="25" s="1"/>
  <c r="AD5998" i="25" s="1"/>
  <c r="AD5999" i="25" s="1"/>
  <c r="AD6000" i="25" s="1"/>
  <c r="AD6001" i="25" s="1"/>
  <c r="AD6002" i="25" s="1"/>
  <c r="AD6003" i="25" s="1"/>
  <c r="AD6004" i="25" s="1"/>
  <c r="AD6005" i="25" s="1"/>
  <c r="AD6006" i="25" s="1"/>
  <c r="AD6007" i="25" s="1"/>
  <c r="AD6008" i="25" s="1"/>
  <c r="AD6009" i="25" s="1"/>
  <c r="AD6010" i="25" s="1"/>
  <c r="AD6011" i="25" s="1"/>
  <c r="AD6012" i="25" s="1"/>
  <c r="AD6013" i="25" s="1"/>
  <c r="AD6014" i="25" s="1"/>
  <c r="AD6015" i="25" s="1"/>
  <c r="AD6016" i="25" s="1"/>
  <c r="AD6017" i="25" s="1"/>
  <c r="AD6018" i="25" s="1"/>
  <c r="AD6019" i="25" s="1"/>
  <c r="AD6020" i="25" s="1"/>
  <c r="AD6021" i="25" s="1"/>
  <c r="AD6022" i="25" s="1"/>
  <c r="AD6023" i="25" s="1"/>
  <c r="AD6024" i="25" s="1"/>
  <c r="AD6025" i="25" s="1"/>
  <c r="AD6026" i="25" s="1"/>
  <c r="AD6027" i="25" s="1"/>
  <c r="AD6028" i="25" s="1"/>
  <c r="AD6029" i="25" s="1"/>
  <c r="AD6030" i="25" s="1"/>
  <c r="AD6031" i="25" s="1"/>
  <c r="AD6032" i="25" s="1"/>
  <c r="AD6033" i="25" s="1"/>
  <c r="AD6034" i="25" s="1"/>
  <c r="AD6035" i="25" s="1"/>
  <c r="AD6036" i="25" s="1"/>
  <c r="AD6037" i="25" s="1"/>
  <c r="AD6038" i="25" s="1"/>
  <c r="AD6039" i="25" s="1"/>
  <c r="AD6040" i="25" s="1"/>
  <c r="AD6041" i="25" s="1"/>
  <c r="AD6042" i="25" s="1"/>
  <c r="AD6043" i="25" s="1"/>
  <c r="AD6044" i="25" s="1"/>
  <c r="AD6045" i="25" s="1"/>
  <c r="AD6046" i="25" s="1"/>
  <c r="AD6047" i="25" s="1"/>
  <c r="AD6048" i="25" s="1"/>
  <c r="AD6049" i="25" s="1"/>
  <c r="AD6050" i="25" s="1"/>
  <c r="AD6051" i="25" s="1"/>
  <c r="AD6052" i="25" s="1"/>
  <c r="AD6053" i="25" s="1"/>
  <c r="AD6054" i="25" s="1"/>
  <c r="AD6055" i="25" s="1"/>
  <c r="AD6056" i="25" s="1"/>
  <c r="AD6057" i="25" s="1"/>
  <c r="AD6058" i="25" s="1"/>
  <c r="AD6059" i="25" s="1"/>
  <c r="AD6060" i="25" s="1"/>
  <c r="AD6061" i="25" s="1"/>
  <c r="AD6062" i="25" s="1"/>
  <c r="AD6063" i="25" s="1"/>
  <c r="AD6064" i="25" s="1"/>
  <c r="AD6065" i="25" s="1"/>
  <c r="AD6066" i="25" s="1"/>
  <c r="AD6067" i="25" s="1"/>
  <c r="AD6068" i="25" s="1"/>
  <c r="AD6069" i="25" s="1"/>
  <c r="AD6070" i="25" s="1"/>
  <c r="AD6071" i="25" s="1"/>
  <c r="AD6072" i="25" s="1"/>
  <c r="AD6073" i="25" s="1"/>
  <c r="AD6074" i="25" s="1"/>
  <c r="AD6075" i="25" s="1"/>
  <c r="AD6076" i="25" s="1"/>
  <c r="AD6077" i="25" s="1"/>
  <c r="AD6078" i="25" s="1"/>
  <c r="AD6079" i="25" s="1"/>
  <c r="AD6080" i="25" s="1"/>
  <c r="AD6081" i="25" s="1"/>
  <c r="AD6082" i="25" s="1"/>
  <c r="AD6083" i="25" s="1"/>
  <c r="AD6084" i="25" s="1"/>
  <c r="AD6085" i="25" s="1"/>
  <c r="AD6086" i="25" s="1"/>
  <c r="AD6087" i="25" s="1"/>
  <c r="AD6088" i="25" s="1"/>
  <c r="AD6089" i="25" s="1"/>
  <c r="AD6090" i="25" s="1"/>
  <c r="AD6091" i="25" s="1"/>
  <c r="AD6092" i="25" s="1"/>
  <c r="AD6093" i="25" s="1"/>
  <c r="AD6094" i="25" s="1"/>
  <c r="AD6095" i="25" s="1"/>
  <c r="AD6096" i="25" s="1"/>
  <c r="AD6097" i="25" s="1"/>
  <c r="AD6098" i="25" s="1"/>
  <c r="AD6099" i="25" s="1"/>
  <c r="AD6100" i="25" s="1"/>
  <c r="AD6101" i="25" s="1"/>
  <c r="AD6102" i="25" s="1"/>
  <c r="AD6103" i="25" s="1"/>
  <c r="AD6104" i="25" s="1"/>
  <c r="AD6105" i="25" s="1"/>
  <c r="AD6106" i="25" s="1"/>
  <c r="AD6107" i="25" s="1"/>
  <c r="AD6108" i="25" s="1"/>
  <c r="AD6109" i="25" s="1"/>
  <c r="AD6110" i="25" s="1"/>
  <c r="AD6111" i="25" s="1"/>
  <c r="AD6112" i="25" s="1"/>
  <c r="AD6113" i="25" s="1"/>
  <c r="AD6114" i="25" s="1"/>
  <c r="AD6115" i="25" s="1"/>
  <c r="AD6116" i="25" s="1"/>
  <c r="AD6117" i="25" s="1"/>
  <c r="AD6118" i="25" s="1"/>
  <c r="AD6119" i="25" s="1"/>
  <c r="AD6120" i="25" s="1"/>
  <c r="AD6121" i="25" s="1"/>
  <c r="AD6122" i="25" s="1"/>
  <c r="AD6123" i="25" s="1"/>
  <c r="AD6124" i="25" s="1"/>
  <c r="AD6125" i="25" s="1"/>
  <c r="AD6126" i="25" s="1"/>
  <c r="AD6127" i="25" s="1"/>
  <c r="AD6128" i="25" s="1"/>
  <c r="AD6129" i="25" s="1"/>
  <c r="AD6130" i="25" s="1"/>
  <c r="AD6131" i="25" s="1"/>
  <c r="AD6132" i="25" s="1"/>
  <c r="AD6133" i="25" s="1"/>
  <c r="AD6134" i="25" s="1"/>
  <c r="AD6135" i="25" s="1"/>
  <c r="AD6136" i="25" s="1"/>
  <c r="AD6137" i="25" s="1"/>
  <c r="AD6138" i="25" s="1"/>
  <c r="AD6139" i="25" s="1"/>
  <c r="AD6140" i="25" s="1"/>
  <c r="AD6141" i="25" s="1"/>
  <c r="AD6142" i="25" s="1"/>
  <c r="AD6143" i="25" s="1"/>
  <c r="AD6144" i="25" s="1"/>
  <c r="AD6145" i="25" s="1"/>
  <c r="AD6146" i="25" s="1"/>
  <c r="AD6147" i="25" s="1"/>
  <c r="AD6148" i="25" s="1"/>
  <c r="AD6149" i="25" s="1"/>
  <c r="AD6150" i="25" s="1"/>
  <c r="AD6151" i="25" s="1"/>
  <c r="AD6152" i="25" s="1"/>
  <c r="AD6153" i="25" s="1"/>
  <c r="AD6154" i="25" s="1"/>
  <c r="AD6155" i="25" s="1"/>
  <c r="AD6156" i="25" s="1"/>
  <c r="AD6157" i="25" s="1"/>
  <c r="AD6158" i="25" s="1"/>
  <c r="AD6159" i="25" s="1"/>
  <c r="AD6160" i="25" s="1"/>
  <c r="AD6161" i="25" s="1"/>
  <c r="AD6162" i="25" s="1"/>
  <c r="AD6163" i="25" s="1"/>
  <c r="AD6164" i="25" s="1"/>
  <c r="AD6165" i="25" s="1"/>
  <c r="AD6166" i="25" s="1"/>
  <c r="AD6167" i="25" s="1"/>
  <c r="AD6168" i="25" s="1"/>
  <c r="AD6169" i="25" s="1"/>
  <c r="AD6170" i="25" s="1"/>
  <c r="AD6171" i="25" s="1"/>
  <c r="AD6172" i="25" s="1"/>
  <c r="AD6173" i="25" s="1"/>
  <c r="AD6174" i="25" s="1"/>
  <c r="AD6175" i="25" s="1"/>
  <c r="AD6176" i="25" s="1"/>
  <c r="AD6177" i="25" s="1"/>
  <c r="AD6178" i="25" s="1"/>
  <c r="AD6179" i="25" s="1"/>
  <c r="AD6180" i="25" s="1"/>
  <c r="AD6181" i="25" s="1"/>
  <c r="AD6182" i="25" s="1"/>
  <c r="AD6183" i="25" s="1"/>
  <c r="AD6184" i="25" s="1"/>
  <c r="AD6185" i="25" s="1"/>
  <c r="AD6186" i="25" s="1"/>
  <c r="AD6187" i="25" s="1"/>
  <c r="AD6188" i="25" s="1"/>
  <c r="AD6189" i="25" s="1"/>
  <c r="AD6190" i="25" s="1"/>
  <c r="AD6191" i="25" s="1"/>
  <c r="AD6192" i="25" s="1"/>
  <c r="AD6193" i="25" s="1"/>
  <c r="AD6194" i="25" s="1"/>
  <c r="AD6195" i="25" s="1"/>
  <c r="AD6196" i="25" s="1"/>
  <c r="AD6197" i="25" s="1"/>
  <c r="AD6198" i="25" s="1"/>
  <c r="AD6199" i="25" s="1"/>
  <c r="AD6200" i="25" s="1"/>
  <c r="AD6201" i="25" s="1"/>
  <c r="AD6202" i="25" s="1"/>
  <c r="AD6203" i="25" s="1"/>
  <c r="AD6204" i="25" s="1"/>
  <c r="AD6205" i="25" s="1"/>
  <c r="AD6206" i="25" s="1"/>
  <c r="AD6207" i="25" s="1"/>
  <c r="AD6208" i="25" s="1"/>
  <c r="AD6209" i="25" s="1"/>
  <c r="AD6210" i="25" s="1"/>
  <c r="AD6211" i="25" s="1"/>
  <c r="AD6212" i="25" s="1"/>
  <c r="AD6213" i="25" s="1"/>
  <c r="AD6214" i="25" s="1"/>
  <c r="AD6215" i="25" s="1"/>
  <c r="AD6216" i="25" s="1"/>
  <c r="AD6217" i="25" s="1"/>
  <c r="AD6218" i="25" s="1"/>
  <c r="AD6219" i="25" s="1"/>
  <c r="AD6220" i="25" s="1"/>
  <c r="AD6221" i="25" s="1"/>
  <c r="AD6222" i="25" s="1"/>
  <c r="AD6223" i="25" s="1"/>
  <c r="AD6224" i="25" s="1"/>
  <c r="AD6225" i="25" s="1"/>
  <c r="AD6226" i="25" s="1"/>
  <c r="AD6227" i="25" s="1"/>
  <c r="AD6228" i="25" s="1"/>
  <c r="AD6229" i="25" s="1"/>
  <c r="AD6230" i="25" s="1"/>
  <c r="AD6231" i="25" s="1"/>
  <c r="AD6232" i="25" s="1"/>
  <c r="AD6233" i="25" s="1"/>
  <c r="AD6234" i="25" s="1"/>
  <c r="AD6235" i="25" s="1"/>
  <c r="AD6236" i="25" s="1"/>
  <c r="AD6237" i="25" s="1"/>
  <c r="AD6238" i="25" s="1"/>
  <c r="AD6239" i="25" s="1"/>
  <c r="AD6240" i="25" s="1"/>
  <c r="AD6241" i="25" s="1"/>
  <c r="AD6242" i="25" s="1"/>
  <c r="AD6243" i="25" s="1"/>
  <c r="AD6244" i="25" s="1"/>
  <c r="AD6245" i="25" s="1"/>
  <c r="AD6246" i="25" s="1"/>
  <c r="AD6247" i="25" s="1"/>
  <c r="AD6248" i="25" s="1"/>
  <c r="AD6249" i="25" s="1"/>
  <c r="AD6250" i="25" s="1"/>
  <c r="AD6251" i="25" s="1"/>
  <c r="AD6252" i="25" s="1"/>
  <c r="AD6253" i="25" s="1"/>
  <c r="AD6254" i="25" s="1"/>
  <c r="AD6255" i="25" s="1"/>
  <c r="AD6256" i="25" s="1"/>
  <c r="AD6257" i="25" s="1"/>
  <c r="AD6258" i="25" s="1"/>
  <c r="AD6259" i="25" s="1"/>
  <c r="AD6260" i="25" s="1"/>
  <c r="AD6261" i="25" s="1"/>
  <c r="AD6262" i="25" s="1"/>
  <c r="AD6263" i="25" s="1"/>
  <c r="AD6264" i="25" s="1"/>
  <c r="AD6265" i="25" s="1"/>
  <c r="AD6266" i="25" s="1"/>
  <c r="AD6267" i="25" s="1"/>
  <c r="AD6268" i="25" s="1"/>
  <c r="AD6269" i="25" s="1"/>
  <c r="AD6270" i="25" s="1"/>
  <c r="AD6271" i="25" s="1"/>
  <c r="AD6272" i="25" s="1"/>
  <c r="AD6273" i="25" s="1"/>
  <c r="AD6274" i="25" s="1"/>
  <c r="AD6275" i="25" s="1"/>
  <c r="AD6276" i="25" s="1"/>
  <c r="AD6277" i="25" s="1"/>
  <c r="AD6278" i="25" s="1"/>
  <c r="AD6279" i="25" s="1"/>
  <c r="AD6280" i="25" s="1"/>
  <c r="AD6281" i="25" s="1"/>
  <c r="AD6282" i="25" s="1"/>
  <c r="AD6283" i="25" s="1"/>
  <c r="AD6284" i="25" s="1"/>
  <c r="AD6285" i="25" s="1"/>
  <c r="AD6286" i="25" s="1"/>
  <c r="AD6287" i="25" s="1"/>
  <c r="AD6288" i="25" s="1"/>
  <c r="AD6289" i="25" s="1"/>
  <c r="AD6290" i="25" s="1"/>
  <c r="AD6291" i="25" s="1"/>
  <c r="AD6292" i="25" s="1"/>
  <c r="AD6293" i="25" s="1"/>
  <c r="AD6294" i="25" s="1"/>
  <c r="AD6295" i="25" s="1"/>
  <c r="AD6296" i="25" s="1"/>
  <c r="AD6297" i="25" s="1"/>
  <c r="AD6298" i="25" s="1"/>
  <c r="AD6299" i="25" s="1"/>
  <c r="AD6300" i="25" s="1"/>
  <c r="AD6301" i="25" s="1"/>
  <c r="AD6302" i="25" s="1"/>
  <c r="AD6303" i="25" s="1"/>
  <c r="AD6304" i="25" s="1"/>
  <c r="AD6305" i="25" s="1"/>
  <c r="AD6306" i="25" s="1"/>
  <c r="AD6307" i="25" s="1"/>
  <c r="AD6308" i="25" s="1"/>
  <c r="AD6309" i="25" s="1"/>
  <c r="AD6310" i="25" s="1"/>
  <c r="AD6311" i="25" s="1"/>
  <c r="AD6312" i="25" s="1"/>
  <c r="AD6313" i="25" s="1"/>
  <c r="AD6314" i="25" s="1"/>
  <c r="AD6315" i="25" s="1"/>
  <c r="AD6316" i="25" s="1"/>
  <c r="AD6317" i="25" s="1"/>
  <c r="AD6318" i="25" s="1"/>
  <c r="AD6319" i="25" s="1"/>
  <c r="AD6320" i="25" s="1"/>
  <c r="AD6321" i="25" s="1"/>
  <c r="AD6322" i="25" s="1"/>
  <c r="AD6323" i="25" s="1"/>
  <c r="AD6324" i="25" s="1"/>
  <c r="AD6325" i="25" s="1"/>
  <c r="AD6326" i="25" s="1"/>
  <c r="AD6327" i="25" s="1"/>
  <c r="AD6328" i="25" s="1"/>
  <c r="AD6329" i="25" s="1"/>
  <c r="AD6330" i="25" s="1"/>
  <c r="AD6331" i="25" s="1"/>
  <c r="AD6332" i="25" s="1"/>
  <c r="AD6333" i="25" s="1"/>
  <c r="AD6334" i="25" s="1"/>
  <c r="AD6335" i="25" s="1"/>
  <c r="AD6336" i="25" s="1"/>
  <c r="AD6337" i="25" s="1"/>
  <c r="AD6338" i="25" s="1"/>
  <c r="AD6339" i="25" s="1"/>
  <c r="AD6340" i="25" s="1"/>
  <c r="AD6341" i="25" s="1"/>
  <c r="AD6342" i="25" s="1"/>
  <c r="AD6343" i="25" s="1"/>
  <c r="AD6344" i="25" s="1"/>
  <c r="AD6345" i="25" s="1"/>
  <c r="AD6346" i="25" s="1"/>
  <c r="AD6347" i="25" s="1"/>
  <c r="AD6348" i="25" s="1"/>
  <c r="AD6349" i="25" s="1"/>
  <c r="AD6350" i="25" s="1"/>
  <c r="AD6351" i="25" s="1"/>
  <c r="AD6352" i="25" s="1"/>
  <c r="AD6353" i="25" s="1"/>
  <c r="AD6354" i="25" s="1"/>
  <c r="AD6355" i="25" s="1"/>
  <c r="AD6356" i="25" s="1"/>
  <c r="AD6357" i="25" s="1"/>
  <c r="AD6358" i="25" s="1"/>
  <c r="AD6359" i="25" s="1"/>
  <c r="AD6360" i="25" s="1"/>
  <c r="AD6361" i="25" s="1"/>
  <c r="AD6362" i="25" s="1"/>
  <c r="AD6363" i="25" s="1"/>
  <c r="AD6364" i="25" s="1"/>
  <c r="AD6365" i="25" s="1"/>
  <c r="AD6366" i="25" s="1"/>
  <c r="AD6367" i="25" s="1"/>
  <c r="AD6368" i="25" s="1"/>
  <c r="AD6369" i="25" s="1"/>
  <c r="AD6370" i="25" s="1"/>
  <c r="AD6371" i="25" s="1"/>
  <c r="AD6372" i="25" s="1"/>
  <c r="AD6373" i="25" s="1"/>
  <c r="AD6374" i="25" s="1"/>
  <c r="AD6375" i="25" s="1"/>
  <c r="AD6376" i="25" s="1"/>
  <c r="AD6377" i="25" s="1"/>
  <c r="AD6378" i="25" s="1"/>
  <c r="AD6379" i="25" s="1"/>
  <c r="AD6380" i="25" s="1"/>
  <c r="AD6381" i="25" s="1"/>
  <c r="AD6382" i="25" s="1"/>
  <c r="AD6383" i="25" s="1"/>
  <c r="AD6384" i="25" s="1"/>
  <c r="AD6385" i="25" s="1"/>
  <c r="AD6386" i="25" s="1"/>
  <c r="AD6387" i="25" s="1"/>
  <c r="AD6388" i="25" s="1"/>
  <c r="AD6389" i="25" s="1"/>
  <c r="AD6390" i="25" s="1"/>
  <c r="AD6391" i="25" s="1"/>
  <c r="AD6392" i="25" s="1"/>
  <c r="AD6393" i="25" s="1"/>
  <c r="AD6394" i="25" s="1"/>
  <c r="AD6395" i="25" s="1"/>
  <c r="AD6396" i="25" s="1"/>
  <c r="AD6397" i="25" s="1"/>
  <c r="AD6398" i="25" s="1"/>
  <c r="AD6399" i="25" s="1"/>
  <c r="AD6400" i="25" s="1"/>
  <c r="AD6401" i="25" s="1"/>
  <c r="AD6402" i="25" s="1"/>
  <c r="AD6403" i="25" s="1"/>
  <c r="AD6404" i="25" s="1"/>
  <c r="AD6405" i="25" s="1"/>
  <c r="AD6406" i="25" s="1"/>
  <c r="AD6407" i="25" s="1"/>
  <c r="AD6408" i="25" s="1"/>
  <c r="AD6409" i="25" s="1"/>
  <c r="AD6410" i="25" s="1"/>
  <c r="AD6411" i="25" s="1"/>
  <c r="AD6412" i="25" s="1"/>
  <c r="AD6413" i="25" s="1"/>
  <c r="AD6414" i="25" s="1"/>
  <c r="AD6415" i="25" s="1"/>
  <c r="AD6416" i="25" s="1"/>
  <c r="AD6417" i="25" s="1"/>
  <c r="AD6418" i="25" s="1"/>
  <c r="AD6419" i="25" s="1"/>
  <c r="AD6420" i="25" s="1"/>
  <c r="AD6421" i="25" s="1"/>
  <c r="AD6422" i="25" s="1"/>
  <c r="AD6423" i="25" s="1"/>
  <c r="AD6424" i="25" s="1"/>
  <c r="AD6425" i="25" s="1"/>
  <c r="AD6426" i="25" s="1"/>
  <c r="AD6427" i="25" s="1"/>
  <c r="AD6428" i="25" s="1"/>
  <c r="AD6429" i="25" s="1"/>
  <c r="AD6430" i="25" s="1"/>
  <c r="AD6431" i="25" s="1"/>
  <c r="AD6432" i="25" s="1"/>
  <c r="AD6433" i="25" s="1"/>
  <c r="AD6434" i="25" s="1"/>
  <c r="AD6435" i="25" s="1"/>
  <c r="AD6436" i="25" s="1"/>
  <c r="AD6437" i="25" s="1"/>
  <c r="AD6438" i="25" s="1"/>
  <c r="AD6439" i="25" s="1"/>
  <c r="AD6440" i="25" s="1"/>
  <c r="AD6441" i="25" s="1"/>
  <c r="AD6442" i="25" s="1"/>
  <c r="AD6443" i="25" s="1"/>
  <c r="AD6444" i="25" s="1"/>
  <c r="AD6445" i="25" s="1"/>
  <c r="AD6446" i="25" s="1"/>
  <c r="AD6447" i="25" s="1"/>
  <c r="AD6448" i="25" s="1"/>
  <c r="AD6449" i="25" s="1"/>
  <c r="AD6450" i="25" s="1"/>
  <c r="AD6451" i="25" s="1"/>
  <c r="AD6452" i="25" s="1"/>
  <c r="AD6453" i="25" s="1"/>
  <c r="AD6454" i="25" s="1"/>
  <c r="AD6455" i="25" s="1"/>
  <c r="AD6456" i="25" s="1"/>
  <c r="AD6457" i="25" s="1"/>
  <c r="AD6458" i="25" s="1"/>
  <c r="AD6459" i="25" s="1"/>
  <c r="AD6460" i="25" s="1"/>
  <c r="AD6461" i="25" s="1"/>
  <c r="AD6462" i="25" s="1"/>
  <c r="AD6463" i="25" s="1"/>
  <c r="AD6464" i="25" s="1"/>
  <c r="AD6465" i="25" s="1"/>
  <c r="AD6466" i="25" s="1"/>
  <c r="AD6467" i="25" s="1"/>
  <c r="AD6468" i="25" s="1"/>
  <c r="AD6469" i="25" s="1"/>
  <c r="AD6470" i="25" s="1"/>
  <c r="AD6471" i="25" s="1"/>
  <c r="AD6472" i="25" s="1"/>
  <c r="AD6473" i="25" s="1"/>
  <c r="AD6474" i="25" s="1"/>
  <c r="AD6475" i="25" s="1"/>
  <c r="AD6476" i="25" s="1"/>
  <c r="AD6477" i="25" s="1"/>
  <c r="AD6478" i="25" s="1"/>
  <c r="AD6479" i="25" s="1"/>
  <c r="AD6480" i="25" s="1"/>
  <c r="AD6481" i="25" s="1"/>
  <c r="AD6482" i="25" s="1"/>
  <c r="AD6483" i="25" s="1"/>
  <c r="AD6484" i="25" s="1"/>
  <c r="AD6485" i="25" s="1"/>
  <c r="AD6486" i="25" s="1"/>
  <c r="AD6487" i="25" s="1"/>
  <c r="AD6488" i="25" s="1"/>
  <c r="AD6489" i="25" s="1"/>
  <c r="AD6490" i="25" s="1"/>
  <c r="AD6491" i="25" s="1"/>
  <c r="AD6492" i="25" s="1"/>
  <c r="AD6493" i="25" s="1"/>
  <c r="AD6494" i="25" s="1"/>
  <c r="AD6495" i="25" s="1"/>
  <c r="AD6496" i="25" s="1"/>
  <c r="AD6497" i="25" s="1"/>
  <c r="AD6498" i="25" s="1"/>
  <c r="AD6499" i="25" s="1"/>
  <c r="AD6500" i="25" s="1"/>
  <c r="AD6501" i="25" s="1"/>
  <c r="AD6502" i="25" s="1"/>
  <c r="AD6503" i="25" s="1"/>
  <c r="AD6504" i="25" s="1"/>
  <c r="AD6505" i="25" s="1"/>
  <c r="AD6506" i="25" s="1"/>
  <c r="AD6507" i="25" s="1"/>
  <c r="AD6508" i="25" s="1"/>
  <c r="AD6509" i="25" s="1"/>
  <c r="AD6510" i="25" s="1"/>
  <c r="AD6511" i="25" s="1"/>
  <c r="AD6512" i="25" s="1"/>
  <c r="AD6513" i="25" s="1"/>
  <c r="AD6514" i="25" s="1"/>
  <c r="AD6515" i="25" s="1"/>
  <c r="AD6516" i="25" s="1"/>
  <c r="AD6517" i="25" s="1"/>
  <c r="AD6518" i="25" s="1"/>
  <c r="AD6519" i="25" s="1"/>
  <c r="AD6520" i="25" s="1"/>
  <c r="AD6521" i="25" s="1"/>
  <c r="AD6522" i="25" s="1"/>
  <c r="AD6523" i="25" s="1"/>
  <c r="AD6524" i="25" s="1"/>
  <c r="AD6525" i="25" s="1"/>
  <c r="AD6526" i="25" s="1"/>
  <c r="AD6527" i="25" s="1"/>
  <c r="AD6528" i="25" s="1"/>
  <c r="AD6529" i="25" s="1"/>
  <c r="AD6530" i="25" s="1"/>
  <c r="AD6531" i="25" s="1"/>
  <c r="AD6532" i="25" s="1"/>
  <c r="AD6533" i="25" s="1"/>
  <c r="AD6534" i="25" s="1"/>
  <c r="AD6535" i="25" s="1"/>
  <c r="AD6536" i="25" s="1"/>
  <c r="AD6537" i="25" s="1"/>
  <c r="AD6538" i="25" s="1"/>
  <c r="AD6539" i="25" s="1"/>
  <c r="AD6540" i="25" s="1"/>
  <c r="AD6541" i="25" s="1"/>
  <c r="AD6542" i="25" s="1"/>
  <c r="AD6543" i="25" s="1"/>
  <c r="AD6544" i="25" s="1"/>
  <c r="AD6545" i="25" s="1"/>
  <c r="AD6546" i="25" s="1"/>
  <c r="AD6547" i="25" s="1"/>
  <c r="AD6548" i="25" s="1"/>
  <c r="AD6549" i="25" s="1"/>
  <c r="AD6550" i="25" s="1"/>
  <c r="AD6551" i="25" s="1"/>
  <c r="AD6552" i="25" s="1"/>
  <c r="AD6553" i="25" s="1"/>
  <c r="AD6554" i="25" s="1"/>
  <c r="AD6555" i="25" s="1"/>
  <c r="AD6556" i="25" s="1"/>
  <c r="AD6557" i="25" s="1"/>
  <c r="AD6558" i="25" s="1"/>
  <c r="AD6559" i="25" s="1"/>
  <c r="AD6560" i="25" s="1"/>
  <c r="AD6561" i="25" s="1"/>
  <c r="AD6562" i="25" s="1"/>
  <c r="AD6563" i="25" s="1"/>
  <c r="AD6564" i="25" s="1"/>
  <c r="AD6565" i="25" s="1"/>
  <c r="AD6566" i="25" s="1"/>
  <c r="AD6567" i="25" s="1"/>
  <c r="AD6568" i="25" s="1"/>
  <c r="AD6569" i="25" s="1"/>
  <c r="AD6570" i="25" s="1"/>
  <c r="AD6571" i="25" s="1"/>
  <c r="AD6572" i="25" s="1"/>
  <c r="AD6573" i="25" s="1"/>
  <c r="AD6574" i="25" s="1"/>
  <c r="AD6575" i="25" s="1"/>
  <c r="AD6576" i="25" s="1"/>
  <c r="AD6577" i="25" s="1"/>
  <c r="AD6578" i="25" s="1"/>
  <c r="AD6579" i="25" s="1"/>
  <c r="AD6580" i="25" s="1"/>
  <c r="AD6581" i="25" s="1"/>
  <c r="AD6582" i="25" s="1"/>
  <c r="AD6583" i="25" s="1"/>
  <c r="AD6584" i="25" s="1"/>
  <c r="AD6585" i="25" s="1"/>
  <c r="AD6586" i="25" s="1"/>
  <c r="AD6587" i="25" s="1"/>
  <c r="AD6588" i="25" s="1"/>
  <c r="AD6589" i="25" s="1"/>
  <c r="AD6590" i="25" s="1"/>
  <c r="AD6591" i="25" s="1"/>
  <c r="AD6592" i="25" s="1"/>
  <c r="AD6593" i="25" s="1"/>
  <c r="AD6594" i="25" s="1"/>
  <c r="AD6595" i="25" s="1"/>
  <c r="AD6596" i="25" s="1"/>
  <c r="AD6597" i="25" s="1"/>
  <c r="AD6598" i="25" s="1"/>
  <c r="AD6599" i="25" s="1"/>
  <c r="AD6600" i="25" s="1"/>
  <c r="AD6601" i="25" s="1"/>
  <c r="AD6602" i="25" s="1"/>
  <c r="AD6603" i="25" s="1"/>
  <c r="AD6604" i="25" s="1"/>
  <c r="AD6605" i="25" s="1"/>
  <c r="AD6606" i="25" s="1"/>
  <c r="AD6607" i="25" s="1"/>
  <c r="AD6608" i="25" s="1"/>
  <c r="AD6609" i="25" s="1"/>
  <c r="AD6610" i="25" s="1"/>
  <c r="AD6611" i="25" s="1"/>
  <c r="AD6612" i="25" s="1"/>
  <c r="AD6613" i="25" s="1"/>
  <c r="AD6614" i="25" s="1"/>
  <c r="AD6615" i="25" s="1"/>
  <c r="AD6616" i="25" s="1"/>
  <c r="AD6617" i="25" s="1"/>
  <c r="AD6618" i="25" s="1"/>
  <c r="AD6619" i="25" s="1"/>
  <c r="AD6620" i="25" s="1"/>
  <c r="AD6621" i="25" s="1"/>
  <c r="AD6622" i="25" s="1"/>
  <c r="AD6623" i="25" s="1"/>
  <c r="AD6624" i="25" s="1"/>
  <c r="AD6625" i="25" s="1"/>
  <c r="AD6626" i="25" s="1"/>
  <c r="AD6627" i="25" s="1"/>
  <c r="AD6628" i="25" s="1"/>
  <c r="AD6629" i="25" s="1"/>
  <c r="AD6630" i="25" s="1"/>
  <c r="AD6631" i="25" s="1"/>
  <c r="AD6632" i="25" s="1"/>
  <c r="AD6633" i="25" s="1"/>
  <c r="AD6634" i="25" s="1"/>
  <c r="AD6635" i="25" s="1"/>
  <c r="AD6636" i="25" s="1"/>
  <c r="AD6637" i="25" s="1"/>
  <c r="AD6638" i="25" s="1"/>
  <c r="AD6639" i="25" s="1"/>
  <c r="AD6640" i="25" s="1"/>
  <c r="AD6641" i="25" s="1"/>
  <c r="AD6642" i="25" s="1"/>
  <c r="AD6643" i="25" s="1"/>
  <c r="AD6644" i="25" s="1"/>
  <c r="AD6645" i="25" s="1"/>
  <c r="AD6646" i="25" s="1"/>
  <c r="AD6647" i="25" s="1"/>
  <c r="AD6648" i="25" s="1"/>
  <c r="AD6649" i="25" s="1"/>
  <c r="AD6650" i="25" s="1"/>
  <c r="AD6651" i="25" s="1"/>
  <c r="AD6652" i="25" s="1"/>
  <c r="AD6653" i="25" s="1"/>
  <c r="AD6654" i="25" s="1"/>
  <c r="AD6655" i="25" s="1"/>
  <c r="AD6656" i="25" s="1"/>
  <c r="AD6657" i="25" s="1"/>
  <c r="AD6658" i="25" s="1"/>
  <c r="AD6659" i="25" s="1"/>
  <c r="AD6660" i="25" s="1"/>
  <c r="AD6661" i="25" s="1"/>
  <c r="AD6662" i="25" s="1"/>
  <c r="AD6663" i="25" s="1"/>
  <c r="AD6664" i="25" s="1"/>
  <c r="AD6665" i="25" s="1"/>
  <c r="AD6666" i="25" s="1"/>
  <c r="AD6667" i="25" s="1"/>
  <c r="AD6668" i="25" s="1"/>
  <c r="AD6669" i="25" s="1"/>
  <c r="AD6670" i="25" s="1"/>
  <c r="AD6671" i="25" s="1"/>
  <c r="AD6672" i="25" s="1"/>
  <c r="AD6673" i="25" s="1"/>
  <c r="AD6674" i="25" s="1"/>
  <c r="AD6675" i="25" s="1"/>
  <c r="AD6676" i="25" s="1"/>
  <c r="AD6677" i="25" s="1"/>
  <c r="AD6678" i="25" s="1"/>
  <c r="AD6679" i="25" s="1"/>
  <c r="AD6680" i="25" s="1"/>
  <c r="AD6681" i="25" s="1"/>
  <c r="AD6682" i="25" s="1"/>
  <c r="AD6683" i="25" s="1"/>
  <c r="AD6684" i="25" s="1"/>
  <c r="AD6685" i="25" s="1"/>
  <c r="AD6686" i="25" s="1"/>
  <c r="AD6687" i="25" s="1"/>
  <c r="AD6688" i="25" s="1"/>
  <c r="AD6689" i="25" s="1"/>
  <c r="AD6690" i="25" s="1"/>
  <c r="AD6691" i="25" s="1"/>
  <c r="AD6692" i="25" s="1"/>
  <c r="AD6693" i="25" s="1"/>
  <c r="AD6694" i="25" s="1"/>
  <c r="AD6695" i="25" s="1"/>
  <c r="AD6696" i="25" s="1"/>
  <c r="AD6697" i="25" s="1"/>
  <c r="AD6698" i="25" s="1"/>
  <c r="AD6699" i="25" s="1"/>
  <c r="AD6700" i="25" s="1"/>
  <c r="AD6701" i="25" s="1"/>
  <c r="AD6702" i="25" s="1"/>
  <c r="AD6703" i="25" s="1"/>
  <c r="AD6704" i="25" s="1"/>
  <c r="AD6705" i="25" s="1"/>
  <c r="AD6706" i="25" s="1"/>
  <c r="AD6707" i="25" s="1"/>
  <c r="AD6708" i="25" s="1"/>
  <c r="AD6709" i="25" s="1"/>
  <c r="AD6710" i="25" s="1"/>
  <c r="AD6711" i="25" s="1"/>
  <c r="AD6712" i="25" s="1"/>
  <c r="AD6713" i="25" s="1"/>
  <c r="AD6714" i="25" s="1"/>
  <c r="AD6715" i="25" s="1"/>
  <c r="AD6716" i="25" s="1"/>
  <c r="AD6717" i="25" s="1"/>
  <c r="AD6718" i="25" s="1"/>
  <c r="AD6719" i="25" s="1"/>
  <c r="AD6720" i="25" s="1"/>
  <c r="AD6721" i="25" s="1"/>
  <c r="AD6722" i="25" s="1"/>
  <c r="AD6723" i="25" s="1"/>
  <c r="AD6724" i="25" s="1"/>
  <c r="AD6725" i="25" s="1"/>
  <c r="AD6726" i="25" s="1"/>
  <c r="AD6727" i="25" s="1"/>
  <c r="AD6728" i="25" s="1"/>
  <c r="AD6729" i="25" s="1"/>
  <c r="AD6730" i="25" s="1"/>
  <c r="AD6731" i="25" s="1"/>
  <c r="AD6732" i="25" s="1"/>
  <c r="AD6733" i="25" s="1"/>
  <c r="AD6734" i="25" s="1"/>
  <c r="AD6735" i="25" s="1"/>
  <c r="AD6736" i="25" s="1"/>
  <c r="AD6737" i="25" s="1"/>
  <c r="AD6738" i="25" s="1"/>
  <c r="AD6739" i="25" s="1"/>
  <c r="AD6740" i="25" s="1"/>
  <c r="AD6741" i="25" s="1"/>
  <c r="AD6742" i="25" s="1"/>
  <c r="AD6743" i="25" s="1"/>
  <c r="AD6744" i="25" s="1"/>
  <c r="AD6745" i="25" s="1"/>
  <c r="AD6746" i="25" s="1"/>
  <c r="AD6747" i="25" s="1"/>
  <c r="AD6748" i="25" s="1"/>
  <c r="AD6749" i="25" s="1"/>
  <c r="AD6750" i="25" s="1"/>
  <c r="AD6751" i="25" s="1"/>
  <c r="AD6752" i="25" s="1"/>
  <c r="AD6753" i="25" s="1"/>
  <c r="AD6754" i="25" s="1"/>
  <c r="AD6755" i="25" s="1"/>
  <c r="AD6756" i="25" s="1"/>
  <c r="AD6757" i="25" s="1"/>
  <c r="AD6758" i="25" s="1"/>
  <c r="AD6759" i="25" s="1"/>
  <c r="AD6760" i="25" s="1"/>
  <c r="AD6761" i="25" s="1"/>
  <c r="AD6762" i="25" s="1"/>
  <c r="AD6763" i="25" s="1"/>
  <c r="AD6764" i="25" s="1"/>
  <c r="AD6765" i="25" s="1"/>
  <c r="AD6766" i="25" s="1"/>
  <c r="AD6767" i="25" s="1"/>
  <c r="AD6768" i="25" s="1"/>
  <c r="AD6769" i="25" s="1"/>
  <c r="AD6770" i="25" s="1"/>
  <c r="AD6771" i="25" s="1"/>
  <c r="AD6772" i="25" s="1"/>
  <c r="AD6773" i="25" s="1"/>
  <c r="AD6774" i="25" s="1"/>
  <c r="AD6775" i="25" s="1"/>
  <c r="AD6776" i="25" s="1"/>
  <c r="AD6777" i="25" s="1"/>
  <c r="AD6778" i="25" s="1"/>
  <c r="AD6779" i="25" s="1"/>
  <c r="AD6780" i="25" s="1"/>
  <c r="AD6781" i="25" s="1"/>
  <c r="AD6782" i="25" s="1"/>
  <c r="AD6783" i="25" s="1"/>
  <c r="AD6784" i="25" s="1"/>
  <c r="AD6785" i="25" s="1"/>
  <c r="AD6786" i="25" s="1"/>
  <c r="AD6787" i="25" s="1"/>
  <c r="AD6788" i="25" s="1"/>
  <c r="AD6789" i="25" s="1"/>
  <c r="AD6790" i="25" s="1"/>
  <c r="AD6791" i="25" s="1"/>
  <c r="AD6792" i="25" s="1"/>
  <c r="AD6793" i="25" s="1"/>
  <c r="AD6794" i="25" s="1"/>
  <c r="AD6795" i="25" s="1"/>
  <c r="AD6796" i="25" s="1"/>
  <c r="AD6797" i="25" s="1"/>
  <c r="AD6798" i="25" s="1"/>
  <c r="AD6799" i="25" s="1"/>
  <c r="AD6800" i="25" s="1"/>
  <c r="AD6801" i="25" s="1"/>
  <c r="AD6802" i="25" s="1"/>
  <c r="AD6803" i="25" s="1"/>
  <c r="AD6804" i="25" s="1"/>
  <c r="AD6805" i="25" s="1"/>
  <c r="AD6806" i="25" s="1"/>
  <c r="AD6807" i="25" s="1"/>
  <c r="AD6808" i="25" s="1"/>
  <c r="AD6809" i="25" s="1"/>
  <c r="AD6810" i="25" s="1"/>
  <c r="AD6811" i="25" s="1"/>
  <c r="AD6812" i="25" s="1"/>
  <c r="AD6813" i="25" s="1"/>
  <c r="AD6814" i="25" s="1"/>
  <c r="AD6815" i="25" s="1"/>
  <c r="AD6816" i="25" s="1"/>
  <c r="AD6817" i="25" s="1"/>
  <c r="AD6818" i="25" s="1"/>
  <c r="AD6819" i="25" s="1"/>
  <c r="AD6820" i="25" s="1"/>
  <c r="AD6821" i="25" s="1"/>
  <c r="AD6822" i="25" s="1"/>
  <c r="AD6823" i="25" s="1"/>
  <c r="AD6824" i="25" s="1"/>
  <c r="AD6825" i="25" s="1"/>
  <c r="AD6826" i="25" s="1"/>
  <c r="AD6827" i="25" s="1"/>
  <c r="AD6828" i="25" s="1"/>
  <c r="AD6829" i="25" s="1"/>
  <c r="AD6830" i="25" s="1"/>
  <c r="AD6831" i="25" s="1"/>
  <c r="AD6832" i="25" s="1"/>
  <c r="AD6833" i="25" s="1"/>
  <c r="AD6834" i="25" s="1"/>
  <c r="AD6835" i="25" s="1"/>
  <c r="AD6836" i="25" s="1"/>
  <c r="AD6837" i="25" s="1"/>
  <c r="AD6838" i="25" s="1"/>
  <c r="AD6839" i="25" s="1"/>
  <c r="AD6840" i="25" s="1"/>
  <c r="AD6841" i="25" s="1"/>
  <c r="AD6842" i="25" s="1"/>
  <c r="AD6843" i="25" s="1"/>
  <c r="AD6844" i="25" s="1"/>
  <c r="AD6845" i="25" s="1"/>
  <c r="AD6846" i="25" s="1"/>
  <c r="AD6847" i="25" s="1"/>
  <c r="AD6848" i="25" s="1"/>
  <c r="AD6849" i="25" s="1"/>
  <c r="AD6850" i="25" s="1"/>
  <c r="AD6851" i="25" s="1"/>
  <c r="AD6852" i="25" s="1"/>
  <c r="AD6853" i="25" s="1"/>
  <c r="AD6854" i="25" s="1"/>
  <c r="AD6855" i="25" s="1"/>
  <c r="AD6856" i="25" s="1"/>
  <c r="AD6857" i="25" s="1"/>
  <c r="AD6858" i="25" s="1"/>
  <c r="AD6859" i="25" s="1"/>
  <c r="AD6860" i="25" s="1"/>
  <c r="AD6861" i="25" s="1"/>
  <c r="AD6862" i="25" s="1"/>
  <c r="AD6863" i="25" s="1"/>
  <c r="AD6864" i="25" s="1"/>
  <c r="AD6865" i="25" s="1"/>
  <c r="AD6866" i="25" s="1"/>
  <c r="AD6867" i="25" s="1"/>
  <c r="AD6868" i="25" s="1"/>
  <c r="AD6869" i="25" s="1"/>
  <c r="AD6870" i="25" s="1"/>
  <c r="AD6871" i="25" s="1"/>
  <c r="AD6872" i="25" s="1"/>
  <c r="AD6873" i="25" s="1"/>
  <c r="AD6874" i="25" s="1"/>
  <c r="AD6875" i="25" s="1"/>
  <c r="AD6876" i="25" s="1"/>
  <c r="AD6877" i="25" s="1"/>
  <c r="AD6878" i="25" s="1"/>
  <c r="AD6879" i="25" s="1"/>
  <c r="AD6880" i="25" s="1"/>
  <c r="AD6881" i="25" s="1"/>
  <c r="AD6882" i="25" s="1"/>
  <c r="AD6883" i="25" s="1"/>
  <c r="AD6884" i="25" s="1"/>
  <c r="AD6885" i="25" s="1"/>
  <c r="AD6886" i="25" s="1"/>
  <c r="AD6887" i="25" s="1"/>
  <c r="AD6888" i="25" s="1"/>
  <c r="AD6889" i="25" s="1"/>
  <c r="AD6890" i="25" s="1"/>
  <c r="AD6891" i="25" s="1"/>
  <c r="AD6892" i="25" s="1"/>
  <c r="AD6893" i="25" s="1"/>
  <c r="AD6894" i="25" s="1"/>
  <c r="AD6895" i="25" s="1"/>
  <c r="AD6896" i="25" s="1"/>
  <c r="AD6897" i="25" s="1"/>
  <c r="AD6898" i="25" s="1"/>
  <c r="AD6899" i="25" s="1"/>
  <c r="AD6900" i="25" s="1"/>
  <c r="AD6901" i="25" s="1"/>
  <c r="AD6902" i="25" s="1"/>
  <c r="AD6903" i="25" s="1"/>
  <c r="AD6904" i="25" s="1"/>
  <c r="AD6905" i="25" s="1"/>
  <c r="AD6906" i="25" s="1"/>
  <c r="AD6907" i="25" s="1"/>
  <c r="AD6908" i="25" s="1"/>
  <c r="AD6909" i="25" s="1"/>
  <c r="AD6910" i="25" s="1"/>
  <c r="AD6911" i="25" s="1"/>
  <c r="AD6912" i="25" s="1"/>
  <c r="AD6913" i="25" s="1"/>
  <c r="AD6914" i="25" s="1"/>
  <c r="AD6915" i="25" s="1"/>
  <c r="AD6916" i="25" s="1"/>
  <c r="AD6917" i="25" s="1"/>
  <c r="AD6918" i="25" s="1"/>
  <c r="AD6919" i="25" s="1"/>
  <c r="AD6920" i="25" s="1"/>
  <c r="AD6921" i="25" s="1"/>
  <c r="AD6922" i="25" s="1"/>
  <c r="AD6923" i="25" s="1"/>
  <c r="AD6924" i="25" s="1"/>
  <c r="AD6925" i="25" s="1"/>
  <c r="AD6926" i="25" s="1"/>
  <c r="AD6927" i="25" s="1"/>
  <c r="AD6928" i="25" s="1"/>
  <c r="AD6929" i="25" s="1"/>
  <c r="AD6930" i="25" s="1"/>
  <c r="AD6931" i="25" s="1"/>
  <c r="AD6932" i="25" s="1"/>
  <c r="AD6933" i="25" s="1"/>
  <c r="AD6934" i="25" s="1"/>
  <c r="AD6935" i="25" s="1"/>
  <c r="AD6936" i="25" s="1"/>
  <c r="AD6937" i="25" s="1"/>
  <c r="AD6938" i="25" s="1"/>
  <c r="AD6939" i="25" s="1"/>
  <c r="AD6940" i="25" s="1"/>
  <c r="AD6941" i="25" s="1"/>
  <c r="AD6942" i="25" s="1"/>
  <c r="AD6943" i="25" s="1"/>
  <c r="AD6944" i="25" s="1"/>
  <c r="AD6945" i="25" s="1"/>
  <c r="AD6946" i="25" s="1"/>
  <c r="AD6947" i="25" s="1"/>
  <c r="AD6948" i="25" s="1"/>
  <c r="AD6949" i="25" s="1"/>
  <c r="AD6950" i="25" s="1"/>
  <c r="AD6951" i="25" s="1"/>
  <c r="AD6952" i="25" s="1"/>
  <c r="AD6953" i="25" s="1"/>
  <c r="AD6954" i="25" s="1"/>
  <c r="AD6955" i="25" s="1"/>
  <c r="AD6956" i="25" s="1"/>
  <c r="AD6957" i="25" s="1"/>
  <c r="AD6958" i="25" s="1"/>
  <c r="AD6959" i="25" s="1"/>
  <c r="AD6960" i="25" s="1"/>
  <c r="AD6961" i="25" s="1"/>
  <c r="AD6962" i="25" s="1"/>
  <c r="AD6963" i="25" s="1"/>
  <c r="AD6964" i="25" s="1"/>
  <c r="AD6965" i="25" s="1"/>
  <c r="AD6966" i="25" s="1"/>
  <c r="AD6967" i="25" s="1"/>
  <c r="AD6968" i="25" s="1"/>
  <c r="AD6969" i="25" s="1"/>
  <c r="AD6970" i="25" s="1"/>
  <c r="AD6971" i="25" s="1"/>
  <c r="AD6972" i="25" s="1"/>
  <c r="AD6973" i="25" s="1"/>
  <c r="AD6974" i="25" s="1"/>
  <c r="AD6975" i="25" s="1"/>
  <c r="AD6976" i="25" s="1"/>
  <c r="AD6977" i="25" s="1"/>
  <c r="AD6978" i="25" s="1"/>
  <c r="AD6979" i="25" s="1"/>
  <c r="AD6980" i="25" s="1"/>
  <c r="AD6981" i="25" s="1"/>
  <c r="AD6982" i="25" s="1"/>
  <c r="AD6983" i="25" s="1"/>
  <c r="AD6984" i="25" s="1"/>
  <c r="AD6985" i="25" s="1"/>
  <c r="AD6986" i="25" s="1"/>
  <c r="AD6987" i="25" s="1"/>
  <c r="AD6988" i="25" s="1"/>
  <c r="AD6989" i="25" s="1"/>
  <c r="AD6990" i="25" s="1"/>
  <c r="AD6991" i="25" s="1"/>
  <c r="AD6992" i="25" s="1"/>
  <c r="AD6993" i="25" s="1"/>
  <c r="AD6994" i="25" s="1"/>
  <c r="AD6995" i="25" s="1"/>
  <c r="AD6996" i="25" s="1"/>
  <c r="AD6997" i="25" s="1"/>
  <c r="AD6998" i="25" s="1"/>
  <c r="AD6999" i="25" s="1"/>
  <c r="AD7000" i="25" s="1"/>
  <c r="AD7001" i="25" s="1"/>
  <c r="AD7002" i="25" s="1"/>
  <c r="AD7003" i="25" s="1"/>
  <c r="AD7004" i="25" s="1"/>
  <c r="AD7005" i="25" s="1"/>
  <c r="AD7006" i="25" s="1"/>
  <c r="AD7007" i="25" s="1"/>
  <c r="AD7008" i="25" s="1"/>
  <c r="AD7009" i="25" s="1"/>
  <c r="AD7010" i="25" s="1"/>
  <c r="AD7011" i="25" s="1"/>
  <c r="AD7012" i="25" s="1"/>
  <c r="AD7013" i="25" s="1"/>
  <c r="AD7014" i="25" s="1"/>
  <c r="AD7015" i="25" s="1"/>
  <c r="AD7016" i="25" s="1"/>
  <c r="AD7017" i="25" s="1"/>
  <c r="AD7018" i="25" s="1"/>
  <c r="AD7019" i="25" s="1"/>
  <c r="AD7020" i="25" s="1"/>
  <c r="AD7021" i="25" s="1"/>
  <c r="AD7022" i="25" s="1"/>
  <c r="AD7023" i="25" s="1"/>
  <c r="AD7024" i="25" s="1"/>
  <c r="AD7025" i="25" s="1"/>
  <c r="AD7026" i="25" s="1"/>
  <c r="AD7027" i="25" s="1"/>
  <c r="AD7028" i="25" s="1"/>
  <c r="AD7029" i="25" s="1"/>
  <c r="AD7030" i="25" s="1"/>
  <c r="AD7031" i="25" s="1"/>
  <c r="AD7032" i="25" s="1"/>
  <c r="AD7033" i="25" s="1"/>
  <c r="AD7034" i="25" s="1"/>
  <c r="AD7035" i="25" s="1"/>
  <c r="AD7036" i="25" s="1"/>
  <c r="AD7037" i="25" s="1"/>
  <c r="AD7038" i="25" s="1"/>
  <c r="AD7039" i="25" s="1"/>
  <c r="AD7040" i="25" s="1"/>
  <c r="AD7041" i="25" s="1"/>
  <c r="AD7042" i="25" s="1"/>
  <c r="AD7043" i="25" s="1"/>
  <c r="AD7044" i="25" s="1"/>
  <c r="AD7045" i="25" s="1"/>
  <c r="AD7046" i="25" s="1"/>
  <c r="AD7047" i="25" s="1"/>
  <c r="AD7048" i="25" s="1"/>
  <c r="AD7049" i="25" s="1"/>
  <c r="AD7050" i="25" s="1"/>
  <c r="AD7051" i="25" s="1"/>
  <c r="AD7052" i="25" s="1"/>
  <c r="AD7053" i="25" s="1"/>
  <c r="AD7054" i="25" s="1"/>
  <c r="AD7055" i="25" s="1"/>
  <c r="AD7056" i="25" s="1"/>
  <c r="AD7057" i="25" s="1"/>
  <c r="AD7058" i="25" s="1"/>
  <c r="AD7059" i="25" s="1"/>
  <c r="AD7060" i="25" s="1"/>
  <c r="AD7061" i="25" s="1"/>
  <c r="AD7062" i="25" s="1"/>
  <c r="AD7063" i="25" s="1"/>
  <c r="AD7064" i="25" s="1"/>
  <c r="AD7065" i="25" s="1"/>
  <c r="AD7066" i="25" s="1"/>
  <c r="AD7067" i="25" s="1"/>
  <c r="AD7068" i="25" s="1"/>
  <c r="AD7069" i="25" s="1"/>
  <c r="AD7070" i="25" s="1"/>
  <c r="AD7071" i="25" s="1"/>
  <c r="AD7072" i="25" s="1"/>
  <c r="AD7073" i="25" s="1"/>
  <c r="AD7074" i="25" s="1"/>
  <c r="AD7075" i="25" s="1"/>
  <c r="AD7076" i="25" s="1"/>
  <c r="AD7077" i="25" s="1"/>
  <c r="AD7078" i="25" s="1"/>
  <c r="AD7079" i="25" s="1"/>
  <c r="AD7080" i="25" s="1"/>
  <c r="AD7081" i="25" s="1"/>
  <c r="AD7082" i="25" s="1"/>
  <c r="AD7083" i="25" s="1"/>
  <c r="AD7084" i="25" s="1"/>
  <c r="AD7085" i="25" s="1"/>
  <c r="AD7086" i="25" s="1"/>
  <c r="AD7087" i="25" s="1"/>
  <c r="AD7088" i="25" s="1"/>
  <c r="AD7089" i="25" s="1"/>
  <c r="AD7090" i="25" s="1"/>
  <c r="AD7091" i="25" s="1"/>
  <c r="AD7092" i="25" s="1"/>
  <c r="AD7093" i="25" s="1"/>
  <c r="AD7094" i="25" s="1"/>
  <c r="AD7095" i="25" s="1"/>
  <c r="AD7096" i="25" s="1"/>
  <c r="AD7097" i="25" s="1"/>
  <c r="AD7098" i="25" s="1"/>
  <c r="AD7099" i="25" s="1"/>
  <c r="AD7100" i="25" s="1"/>
  <c r="AD7101" i="25" s="1"/>
  <c r="AD7102" i="25" s="1"/>
  <c r="AD7103" i="25" s="1"/>
  <c r="AD7104" i="25" s="1"/>
  <c r="AD7105" i="25" s="1"/>
  <c r="AD7106" i="25" s="1"/>
  <c r="AD7107" i="25" s="1"/>
  <c r="AD7108" i="25" s="1"/>
  <c r="AD7109" i="25" s="1"/>
  <c r="AD7110" i="25" s="1"/>
  <c r="AD7111" i="25" s="1"/>
  <c r="AD7112" i="25" s="1"/>
  <c r="AD7113" i="25" s="1"/>
  <c r="AD7114" i="25" s="1"/>
  <c r="AD7115" i="25" s="1"/>
  <c r="AD7116" i="25" s="1"/>
  <c r="AD7117" i="25" s="1"/>
  <c r="AD7118" i="25" s="1"/>
  <c r="AD7119" i="25" s="1"/>
  <c r="AD7120" i="25" s="1"/>
  <c r="AD7121" i="25" s="1"/>
  <c r="AD7122" i="25" s="1"/>
  <c r="AD7123" i="25" s="1"/>
  <c r="AD7124" i="25" s="1"/>
  <c r="AD7125" i="25" s="1"/>
  <c r="AD7126" i="25" s="1"/>
  <c r="AD7127" i="25" s="1"/>
  <c r="AD7128" i="25" s="1"/>
  <c r="AD7129" i="25" s="1"/>
  <c r="AD7130" i="25" s="1"/>
  <c r="AD7131" i="25" s="1"/>
  <c r="AD7132" i="25" s="1"/>
  <c r="AD7133" i="25" s="1"/>
  <c r="AD7134" i="25" s="1"/>
  <c r="AD7135" i="25" s="1"/>
  <c r="AD7136" i="25" s="1"/>
  <c r="AD7137" i="25" s="1"/>
  <c r="AD7138" i="25" s="1"/>
  <c r="AD7139" i="25" s="1"/>
  <c r="AD7140" i="25" s="1"/>
  <c r="AD7141" i="25" s="1"/>
  <c r="AD7142" i="25" s="1"/>
  <c r="AD7143" i="25" s="1"/>
  <c r="AD7144" i="25" s="1"/>
  <c r="AD7145" i="25" s="1"/>
  <c r="AD7146" i="25" s="1"/>
  <c r="AD7147" i="25" s="1"/>
  <c r="AD7148" i="25" s="1"/>
  <c r="AD7149" i="25" s="1"/>
  <c r="AD7150" i="25" s="1"/>
  <c r="AD7151" i="25" s="1"/>
  <c r="AD7152" i="25" s="1"/>
  <c r="AD7153" i="25" s="1"/>
  <c r="AD7154" i="25" s="1"/>
  <c r="AD7155" i="25" s="1"/>
  <c r="AD7156" i="25" s="1"/>
  <c r="AD7157" i="25" s="1"/>
  <c r="AD7158" i="25" s="1"/>
  <c r="AD7159" i="25" s="1"/>
  <c r="AD7160" i="25" s="1"/>
  <c r="AD7161" i="25" s="1"/>
  <c r="AD7162" i="25" s="1"/>
  <c r="AD7163" i="25" s="1"/>
  <c r="AD7164" i="25" s="1"/>
  <c r="AD7165" i="25" s="1"/>
  <c r="AD7166" i="25" s="1"/>
  <c r="AD7167" i="25" s="1"/>
  <c r="AD7168" i="25" s="1"/>
  <c r="AD7169" i="25" s="1"/>
  <c r="AD7170" i="25" s="1"/>
  <c r="AD7171" i="25" s="1"/>
  <c r="AD7172" i="25" s="1"/>
  <c r="AD7173" i="25" s="1"/>
  <c r="AD7174" i="25" s="1"/>
  <c r="AD7175" i="25" s="1"/>
  <c r="AD7176" i="25" s="1"/>
  <c r="AD7177" i="25" s="1"/>
  <c r="AD7178" i="25" s="1"/>
  <c r="AD7179" i="25" s="1"/>
  <c r="AD7180" i="25" s="1"/>
  <c r="AD7181" i="25" s="1"/>
  <c r="AD7182" i="25" s="1"/>
  <c r="AD7183" i="25" s="1"/>
  <c r="AD7184" i="25" s="1"/>
  <c r="AD7185" i="25" s="1"/>
  <c r="AD7186" i="25" s="1"/>
  <c r="AD7187" i="25" s="1"/>
  <c r="AD7188" i="25" s="1"/>
  <c r="AD7189" i="25" s="1"/>
  <c r="AD7190" i="25" s="1"/>
  <c r="AD7191" i="25" s="1"/>
  <c r="AD7192" i="25" s="1"/>
  <c r="AD7193" i="25" s="1"/>
  <c r="AD7194" i="25" s="1"/>
  <c r="AD7195" i="25" s="1"/>
  <c r="AD7196" i="25" s="1"/>
  <c r="AD7197" i="25" s="1"/>
  <c r="AD7198" i="25" s="1"/>
  <c r="AD7199" i="25" s="1"/>
  <c r="AD7200" i="25" s="1"/>
  <c r="AD7201" i="25" s="1"/>
  <c r="AD7202" i="25" s="1"/>
  <c r="AD7203" i="25" s="1"/>
  <c r="AD7204" i="25" s="1"/>
  <c r="AD7205" i="25" s="1"/>
  <c r="AD7206" i="25" s="1"/>
  <c r="AD7207" i="25" s="1"/>
  <c r="AD7208" i="25" s="1"/>
  <c r="AD7209" i="25" s="1"/>
  <c r="AD7210" i="25" s="1"/>
  <c r="AD7211" i="25" s="1"/>
  <c r="AD7212" i="25" s="1"/>
  <c r="AD7213" i="25" s="1"/>
  <c r="AD7214" i="25" s="1"/>
  <c r="AD7215" i="25" s="1"/>
  <c r="AD7216" i="25" s="1"/>
  <c r="AD7217" i="25" s="1"/>
  <c r="AD7218" i="25" s="1"/>
  <c r="AD7219" i="25" s="1"/>
  <c r="AD7220" i="25" s="1"/>
  <c r="AD7221" i="25" s="1"/>
  <c r="AD7222" i="25" s="1"/>
  <c r="AD7223" i="25" s="1"/>
  <c r="AD7224" i="25" s="1"/>
  <c r="AD7225" i="25" s="1"/>
  <c r="AD7226" i="25" s="1"/>
  <c r="AD7227" i="25" s="1"/>
  <c r="AD7228" i="25" s="1"/>
  <c r="AD7229" i="25" s="1"/>
  <c r="AD7230" i="25" s="1"/>
  <c r="AD7231" i="25" s="1"/>
  <c r="AD7232" i="25" s="1"/>
  <c r="AD7233" i="25" s="1"/>
  <c r="AD7234" i="25" s="1"/>
  <c r="AD7235" i="25" s="1"/>
  <c r="AD7236" i="25" s="1"/>
  <c r="AD7237" i="25" s="1"/>
  <c r="AD7238" i="25" s="1"/>
  <c r="AD7239" i="25" s="1"/>
  <c r="AD7240" i="25" s="1"/>
  <c r="AD7241" i="25" s="1"/>
  <c r="AD7242" i="25" s="1"/>
  <c r="AD7243" i="25" s="1"/>
  <c r="AD7244" i="25" s="1"/>
  <c r="AD7245" i="25" s="1"/>
  <c r="AD7246" i="25" s="1"/>
  <c r="AD7247" i="25" s="1"/>
  <c r="AD7248" i="25" s="1"/>
  <c r="AD7249" i="25" s="1"/>
  <c r="AD7250" i="25" s="1"/>
  <c r="AD7251" i="25" s="1"/>
  <c r="AD7252" i="25" s="1"/>
  <c r="AD7253" i="25" s="1"/>
  <c r="AD7254" i="25" s="1"/>
  <c r="AD7255" i="25" s="1"/>
  <c r="AD7256" i="25" s="1"/>
  <c r="AD7257" i="25" s="1"/>
  <c r="AD7258" i="25" s="1"/>
  <c r="AD7259" i="25" s="1"/>
  <c r="AD7260" i="25" s="1"/>
  <c r="AD7261" i="25" s="1"/>
  <c r="AD7262" i="25" s="1"/>
  <c r="AD7263" i="25" s="1"/>
  <c r="AD7264" i="25" s="1"/>
  <c r="AD7265" i="25" s="1"/>
  <c r="AD7266" i="25" s="1"/>
  <c r="AD7267" i="25" s="1"/>
  <c r="AD7268" i="25" s="1"/>
  <c r="AD7269" i="25" s="1"/>
  <c r="AD7270" i="25" s="1"/>
  <c r="AD7271" i="25" s="1"/>
  <c r="AD7272" i="25" s="1"/>
  <c r="AD7273" i="25" s="1"/>
  <c r="AD7274" i="25" s="1"/>
  <c r="AD7275" i="25" s="1"/>
  <c r="AD7276" i="25" s="1"/>
  <c r="AD7277" i="25" s="1"/>
  <c r="AD7278" i="25" s="1"/>
  <c r="AD7279" i="25" s="1"/>
  <c r="AD7280" i="25" s="1"/>
  <c r="AD7281" i="25" s="1"/>
  <c r="AD7282" i="25" s="1"/>
  <c r="AD7283" i="25" s="1"/>
  <c r="AD7284" i="25" s="1"/>
  <c r="AD7285" i="25" s="1"/>
  <c r="AD7286" i="25" s="1"/>
  <c r="AD7287" i="25" s="1"/>
  <c r="AD7288" i="25" s="1"/>
  <c r="AD7289" i="25" s="1"/>
  <c r="AD7290" i="25" s="1"/>
  <c r="AD7291" i="25" s="1"/>
  <c r="AD7292" i="25" s="1"/>
  <c r="AD7293" i="25" s="1"/>
  <c r="AD7294" i="25" s="1"/>
  <c r="AD7295" i="25" s="1"/>
  <c r="AD7296" i="25" s="1"/>
  <c r="AD7297" i="25" s="1"/>
  <c r="AD7298" i="25" s="1"/>
  <c r="AD7299" i="25" s="1"/>
  <c r="AD7300" i="25" s="1"/>
  <c r="AD7301" i="25" s="1"/>
  <c r="AD7302" i="25" s="1"/>
  <c r="AD7303" i="25" s="1"/>
  <c r="AD7304" i="25" s="1"/>
  <c r="AD7305" i="25" s="1"/>
  <c r="AD7306" i="25" s="1"/>
  <c r="AD7307" i="25" s="1"/>
  <c r="AD7308" i="25" s="1"/>
  <c r="AD7309" i="25" s="1"/>
  <c r="AD7310" i="25" s="1"/>
  <c r="AD7311" i="25" s="1"/>
  <c r="AD7312" i="25" s="1"/>
  <c r="AD7313" i="25" s="1"/>
  <c r="AD7314" i="25" s="1"/>
  <c r="AD7315" i="25" s="1"/>
  <c r="AD7316" i="25" s="1"/>
  <c r="AD7317" i="25" s="1"/>
  <c r="AD7318" i="25" s="1"/>
  <c r="AD7319" i="25" s="1"/>
  <c r="AD7320" i="25" s="1"/>
  <c r="AD7321" i="25" s="1"/>
  <c r="AD7322" i="25" s="1"/>
  <c r="AD7323" i="25" s="1"/>
  <c r="AD7324" i="25" s="1"/>
  <c r="AD7325" i="25" s="1"/>
  <c r="AD7326" i="25" s="1"/>
  <c r="AD7327" i="25" s="1"/>
  <c r="AD7328" i="25" s="1"/>
  <c r="AD7329" i="25" s="1"/>
  <c r="AD7330" i="25" s="1"/>
  <c r="AD7331" i="25" s="1"/>
  <c r="AD7332" i="25" s="1"/>
  <c r="AD7333" i="25" s="1"/>
  <c r="AD7334" i="25" s="1"/>
  <c r="AD7335" i="25" s="1"/>
  <c r="AD7336" i="25" s="1"/>
  <c r="AD7337" i="25" s="1"/>
  <c r="AD7338" i="25" s="1"/>
  <c r="AD7339" i="25" s="1"/>
  <c r="AD7340" i="25" s="1"/>
  <c r="AD7341" i="25" s="1"/>
  <c r="AD7342" i="25" s="1"/>
  <c r="AD7343" i="25" s="1"/>
  <c r="AD7344" i="25" s="1"/>
  <c r="AD7345" i="25" s="1"/>
  <c r="AD7346" i="25" s="1"/>
  <c r="AD7347" i="25" s="1"/>
  <c r="AD7348" i="25" s="1"/>
  <c r="AD7349" i="25" s="1"/>
  <c r="AD7350" i="25" s="1"/>
  <c r="AD7351" i="25" s="1"/>
  <c r="AD7352" i="25" s="1"/>
  <c r="AD7353" i="25" s="1"/>
  <c r="AD7354" i="25" s="1"/>
  <c r="AD7355" i="25" s="1"/>
  <c r="AD7356" i="25" s="1"/>
  <c r="AD7357" i="25" s="1"/>
  <c r="AD7358" i="25" s="1"/>
  <c r="AD7359" i="25" s="1"/>
  <c r="AD7360" i="25" s="1"/>
  <c r="AD7361" i="25" s="1"/>
  <c r="AD7362" i="25" s="1"/>
  <c r="AD7363" i="25" s="1"/>
  <c r="AD7364" i="25" s="1"/>
  <c r="AD7365" i="25" s="1"/>
  <c r="AD7366" i="25" s="1"/>
  <c r="AD7367" i="25" s="1"/>
  <c r="AD7368" i="25" s="1"/>
  <c r="AD7369" i="25" s="1"/>
  <c r="AD7370" i="25" s="1"/>
  <c r="AD7371" i="25" s="1"/>
  <c r="AD7372" i="25" s="1"/>
  <c r="AD7373" i="25" s="1"/>
  <c r="AD7374" i="25" s="1"/>
  <c r="AD7375" i="25" s="1"/>
  <c r="AD7376" i="25" s="1"/>
  <c r="AD7377" i="25" s="1"/>
  <c r="AD7378" i="25" s="1"/>
  <c r="AD7379" i="25" s="1"/>
  <c r="AD7380" i="25" s="1"/>
  <c r="AD7381" i="25" s="1"/>
  <c r="AD7382" i="25" s="1"/>
  <c r="AD7383" i="25" s="1"/>
  <c r="AD7384" i="25" s="1"/>
  <c r="AD7385" i="25" s="1"/>
  <c r="AD7386" i="25" s="1"/>
  <c r="AD7387" i="25" s="1"/>
  <c r="AD7388" i="25" s="1"/>
  <c r="AD7389" i="25" s="1"/>
  <c r="AD7390" i="25" s="1"/>
  <c r="AD7391" i="25" s="1"/>
  <c r="AD7392" i="25" s="1"/>
  <c r="AD7393" i="25" s="1"/>
  <c r="AD7394" i="25" s="1"/>
  <c r="AD7395" i="25" s="1"/>
  <c r="AD7396" i="25" s="1"/>
  <c r="AD7397" i="25" s="1"/>
  <c r="AD7398" i="25" s="1"/>
  <c r="AD7399" i="25" s="1"/>
  <c r="AD7400" i="25" s="1"/>
  <c r="AD7401" i="25" s="1"/>
  <c r="AD7402" i="25" s="1"/>
  <c r="AD7403" i="25" s="1"/>
  <c r="AD7404" i="25" s="1"/>
  <c r="AD7405" i="25" s="1"/>
  <c r="AD7406" i="25" s="1"/>
  <c r="AD7407" i="25" s="1"/>
  <c r="AD7408" i="25" s="1"/>
  <c r="AD7409" i="25" s="1"/>
  <c r="AD7410" i="25" s="1"/>
  <c r="AD7411" i="25" s="1"/>
  <c r="AD7412" i="25" s="1"/>
  <c r="AD7413" i="25" s="1"/>
  <c r="AD7414" i="25" s="1"/>
  <c r="AD7415" i="25" s="1"/>
  <c r="AD7416" i="25" s="1"/>
  <c r="AD7417" i="25" s="1"/>
  <c r="AD7418" i="25" s="1"/>
  <c r="AD7419" i="25" s="1"/>
  <c r="AD7420" i="25" s="1"/>
  <c r="AD7421" i="25" s="1"/>
  <c r="AD7422" i="25" s="1"/>
  <c r="AD7423" i="25" s="1"/>
  <c r="AD7424" i="25" s="1"/>
  <c r="AD7425" i="25" s="1"/>
  <c r="AD7426" i="25" s="1"/>
  <c r="AD7427" i="25" s="1"/>
  <c r="AD7428" i="25" s="1"/>
  <c r="AD7429" i="25" s="1"/>
  <c r="AD7430" i="25" s="1"/>
  <c r="AD7431" i="25" s="1"/>
  <c r="AD7432" i="25" s="1"/>
  <c r="AD7433" i="25" s="1"/>
  <c r="AD7434" i="25" s="1"/>
  <c r="AD7435" i="25" s="1"/>
  <c r="AD7436" i="25" s="1"/>
  <c r="AD7437" i="25" s="1"/>
  <c r="AD7438" i="25" s="1"/>
  <c r="AD7439" i="25" s="1"/>
  <c r="AD7440" i="25" s="1"/>
  <c r="AD7441" i="25" s="1"/>
  <c r="AD7442" i="25" s="1"/>
  <c r="AD7443" i="25" s="1"/>
  <c r="AD7444" i="25" s="1"/>
  <c r="AD7445" i="25" s="1"/>
  <c r="AD7446" i="25" s="1"/>
  <c r="AD7447" i="25" s="1"/>
  <c r="AD7448" i="25" s="1"/>
  <c r="AD7449" i="25" s="1"/>
  <c r="AD7450" i="25" s="1"/>
  <c r="AD7451" i="25" s="1"/>
  <c r="AD7452" i="25" s="1"/>
  <c r="AD7453" i="25" s="1"/>
  <c r="AD7454" i="25" s="1"/>
  <c r="AD7455" i="25" s="1"/>
  <c r="AD7456" i="25" s="1"/>
  <c r="AD7457" i="25" s="1"/>
  <c r="AD7458" i="25" s="1"/>
  <c r="AD7459" i="25" s="1"/>
  <c r="AD7460" i="25" s="1"/>
  <c r="AD7461" i="25" s="1"/>
  <c r="AD7462" i="25" s="1"/>
  <c r="AD7463" i="25" s="1"/>
  <c r="AD7464" i="25" s="1"/>
  <c r="AD7465" i="25" s="1"/>
  <c r="AD7466" i="25" s="1"/>
  <c r="AD7467" i="25" s="1"/>
  <c r="AD7468" i="25" s="1"/>
  <c r="AD7469" i="25" s="1"/>
  <c r="AD7470" i="25" s="1"/>
  <c r="AD7471" i="25" s="1"/>
  <c r="AD7472" i="25" s="1"/>
  <c r="AD7473" i="25" s="1"/>
  <c r="AD7474" i="25" s="1"/>
  <c r="AD7475" i="25" s="1"/>
  <c r="AD7476" i="25" s="1"/>
  <c r="AD7477" i="25" s="1"/>
  <c r="AD7478" i="25" s="1"/>
  <c r="AD7479" i="25" s="1"/>
  <c r="AD7480" i="25" s="1"/>
  <c r="AD7481" i="25" s="1"/>
  <c r="AD7482" i="25" s="1"/>
  <c r="AD7483" i="25" s="1"/>
  <c r="AD7484" i="25" s="1"/>
  <c r="AD7485" i="25" s="1"/>
  <c r="AD7486" i="25" s="1"/>
  <c r="AD7487" i="25" s="1"/>
  <c r="AD7488" i="25" s="1"/>
  <c r="AD7489" i="25" s="1"/>
  <c r="AD7490" i="25" s="1"/>
  <c r="AD7491" i="25" s="1"/>
  <c r="AD7492" i="25" s="1"/>
  <c r="AD7493" i="25" s="1"/>
  <c r="AD7494" i="25" s="1"/>
  <c r="AD7495" i="25" s="1"/>
  <c r="AD7496" i="25" s="1"/>
  <c r="AD7497" i="25" s="1"/>
  <c r="AD7498" i="25" s="1"/>
  <c r="AD7499" i="25" s="1"/>
  <c r="AD7500" i="25" s="1"/>
  <c r="AD7501" i="25" s="1"/>
  <c r="AD7502" i="25" s="1"/>
  <c r="AD7503" i="25" s="1"/>
  <c r="AD7504" i="25" s="1"/>
  <c r="AD7505" i="25" s="1"/>
  <c r="AD7506" i="25" s="1"/>
  <c r="AD7507" i="25" s="1"/>
  <c r="AD7508" i="25" s="1"/>
  <c r="AD7509" i="25" s="1"/>
  <c r="AD7510" i="25" s="1"/>
  <c r="AD7511" i="25" s="1"/>
  <c r="AD7512" i="25" s="1"/>
  <c r="AD7513" i="25" s="1"/>
  <c r="AD7514" i="25" s="1"/>
  <c r="AD7515" i="25" s="1"/>
  <c r="AD7516" i="25" s="1"/>
  <c r="AD7517" i="25" s="1"/>
  <c r="AD7518" i="25" s="1"/>
  <c r="AD7519" i="25" s="1"/>
  <c r="AD7520" i="25" s="1"/>
  <c r="AD7521" i="25" s="1"/>
  <c r="AD7522" i="25" s="1"/>
  <c r="AD7523" i="25" s="1"/>
  <c r="AD7524" i="25" s="1"/>
  <c r="AD7525" i="25" s="1"/>
  <c r="AD7526" i="25" s="1"/>
  <c r="AD7527" i="25" s="1"/>
  <c r="AD7528" i="25" s="1"/>
  <c r="AD7529" i="25" s="1"/>
  <c r="AD7530" i="25" s="1"/>
  <c r="AD7531" i="25" s="1"/>
  <c r="AD7532" i="25" s="1"/>
  <c r="AD7533" i="25" s="1"/>
  <c r="AD7534" i="25" s="1"/>
  <c r="AD7535" i="25" s="1"/>
  <c r="AD7536" i="25" s="1"/>
  <c r="AD7537" i="25" s="1"/>
  <c r="AD7538" i="25" s="1"/>
  <c r="AD7539" i="25" s="1"/>
  <c r="AD7540" i="25" s="1"/>
  <c r="AD7541" i="25" s="1"/>
  <c r="AD7542" i="25" s="1"/>
  <c r="AD7543" i="25" s="1"/>
  <c r="AD7544" i="25" s="1"/>
  <c r="AD7545" i="25" s="1"/>
  <c r="AD7546" i="25" s="1"/>
  <c r="AD7547" i="25" s="1"/>
  <c r="AD7548" i="25" s="1"/>
  <c r="AD7549" i="25" s="1"/>
  <c r="AD7550" i="25" s="1"/>
  <c r="AD7551" i="25" s="1"/>
  <c r="AD7552" i="25" s="1"/>
  <c r="AD7553" i="25" s="1"/>
  <c r="AD7554" i="25" s="1"/>
  <c r="AD7555" i="25" s="1"/>
  <c r="AD7556" i="25" s="1"/>
  <c r="AD7557" i="25" s="1"/>
  <c r="AD7558" i="25" s="1"/>
  <c r="AD7559" i="25" s="1"/>
  <c r="AD7560" i="25" s="1"/>
  <c r="AD7561" i="25" s="1"/>
  <c r="AD7562" i="25" s="1"/>
  <c r="AD7563" i="25" s="1"/>
  <c r="AD7564" i="25" s="1"/>
  <c r="AD7565" i="25" s="1"/>
  <c r="AD7566" i="25" s="1"/>
  <c r="AD7567" i="25" s="1"/>
  <c r="AD7568" i="25" s="1"/>
  <c r="AD7569" i="25" s="1"/>
  <c r="AD7570" i="25" s="1"/>
  <c r="AD7571" i="25" s="1"/>
  <c r="AD7572" i="25" s="1"/>
  <c r="AD7573" i="25" s="1"/>
  <c r="AD7574" i="25" s="1"/>
  <c r="AD7575" i="25" s="1"/>
  <c r="AD7576" i="25" s="1"/>
  <c r="AD7577" i="25" s="1"/>
  <c r="AD7578" i="25" s="1"/>
  <c r="AD7579" i="25" s="1"/>
  <c r="AD7580" i="25" s="1"/>
  <c r="AD7581" i="25" s="1"/>
  <c r="AD7582" i="25" s="1"/>
  <c r="AD7583" i="25" s="1"/>
  <c r="AD7584" i="25" s="1"/>
  <c r="AD7585" i="25" s="1"/>
  <c r="AD7586" i="25" s="1"/>
  <c r="AD7587" i="25" s="1"/>
  <c r="AD7588" i="25" s="1"/>
  <c r="AD7589" i="25" s="1"/>
  <c r="AD7590" i="25" s="1"/>
  <c r="AD7591" i="25" s="1"/>
  <c r="AD7592" i="25" s="1"/>
  <c r="AD7593" i="25" s="1"/>
  <c r="AD7594" i="25" s="1"/>
  <c r="AD7595" i="25" s="1"/>
  <c r="AD7596" i="25" s="1"/>
  <c r="AD7597" i="25" s="1"/>
  <c r="AD7598" i="25" s="1"/>
  <c r="AD7599" i="25" s="1"/>
  <c r="AD7600" i="25" s="1"/>
  <c r="AD7601" i="25" s="1"/>
  <c r="AD7602" i="25" s="1"/>
  <c r="AD7603" i="25" s="1"/>
  <c r="AD7604" i="25" s="1"/>
  <c r="AD7605" i="25" s="1"/>
  <c r="AD7606" i="25" s="1"/>
  <c r="AD7607" i="25" s="1"/>
  <c r="AD7608" i="25" s="1"/>
  <c r="AD7609" i="25" s="1"/>
  <c r="AD7610" i="25" s="1"/>
  <c r="AD7611" i="25" s="1"/>
  <c r="AD7612" i="25" s="1"/>
  <c r="AD7613" i="25" s="1"/>
  <c r="AD7614" i="25" s="1"/>
  <c r="AD7615" i="25" s="1"/>
  <c r="AD7616" i="25" s="1"/>
  <c r="AD7617" i="25" s="1"/>
  <c r="AD7618" i="25" s="1"/>
  <c r="AD7619" i="25" s="1"/>
  <c r="AD7620" i="25" s="1"/>
  <c r="AD7621" i="25" s="1"/>
  <c r="AD7622" i="25" s="1"/>
  <c r="AD7623" i="25" s="1"/>
  <c r="AD7624" i="25" s="1"/>
  <c r="AD7625" i="25" s="1"/>
  <c r="AD7626" i="25" s="1"/>
  <c r="AD7627" i="25" s="1"/>
  <c r="AD7628" i="25" s="1"/>
  <c r="AD7629" i="25" s="1"/>
  <c r="AD7630" i="25" s="1"/>
  <c r="AD7631" i="25" s="1"/>
  <c r="AD7632" i="25" s="1"/>
  <c r="AD7633" i="25" s="1"/>
  <c r="AD7634" i="25" s="1"/>
  <c r="AD7635" i="25" s="1"/>
  <c r="AD7636" i="25" s="1"/>
  <c r="AD7637" i="25" s="1"/>
  <c r="AD7638" i="25" s="1"/>
  <c r="AD7639" i="25" s="1"/>
  <c r="AD7640" i="25" s="1"/>
  <c r="AD7641" i="25" s="1"/>
  <c r="AD7642" i="25" s="1"/>
  <c r="AD7643" i="25" s="1"/>
  <c r="AD7644" i="25" s="1"/>
  <c r="AD7645" i="25" s="1"/>
  <c r="AD7646" i="25" s="1"/>
  <c r="AD7647" i="25" s="1"/>
  <c r="AD7648" i="25" s="1"/>
  <c r="AD7649" i="25" s="1"/>
  <c r="AD7650" i="25" s="1"/>
  <c r="AD7651" i="25" s="1"/>
  <c r="AD7652" i="25" s="1"/>
  <c r="AD7653" i="25" s="1"/>
  <c r="AD7654" i="25" s="1"/>
  <c r="AD7655" i="25" s="1"/>
  <c r="AD7656" i="25" s="1"/>
  <c r="AD7657" i="25" s="1"/>
  <c r="AD7658" i="25" s="1"/>
  <c r="AD7659" i="25" s="1"/>
  <c r="AD7660" i="25" s="1"/>
  <c r="AD7661" i="25" s="1"/>
  <c r="AD7662" i="25" s="1"/>
  <c r="AD7663" i="25" s="1"/>
  <c r="AD7664" i="25" s="1"/>
  <c r="AD7665" i="25" s="1"/>
  <c r="AD7666" i="25" s="1"/>
  <c r="AD7667" i="25" s="1"/>
  <c r="AD7668" i="25" s="1"/>
  <c r="AD7669" i="25" s="1"/>
  <c r="AD7670" i="25" s="1"/>
  <c r="AD7671" i="25" s="1"/>
  <c r="AD7672" i="25" s="1"/>
  <c r="AD7673" i="25" s="1"/>
  <c r="AD7674" i="25" s="1"/>
  <c r="AD7675" i="25" s="1"/>
  <c r="AD7676" i="25" s="1"/>
  <c r="AD7677" i="25" s="1"/>
  <c r="AD7678" i="25" s="1"/>
  <c r="AD7679" i="25" s="1"/>
  <c r="AD7680" i="25" s="1"/>
  <c r="AD7681" i="25" s="1"/>
  <c r="AD7682" i="25" s="1"/>
  <c r="AD7683" i="25" s="1"/>
  <c r="AD7684" i="25" s="1"/>
  <c r="AD7685" i="25" s="1"/>
  <c r="AD7686" i="25" s="1"/>
  <c r="AD7687" i="25" s="1"/>
  <c r="AD7688" i="25" s="1"/>
  <c r="AD7689" i="25" s="1"/>
  <c r="AD7690" i="25" s="1"/>
  <c r="AD7691" i="25" s="1"/>
  <c r="AD7692" i="25" s="1"/>
  <c r="AD7693" i="25" s="1"/>
  <c r="AD7694" i="25" s="1"/>
  <c r="AD7695" i="25" s="1"/>
  <c r="AD7696" i="25" s="1"/>
  <c r="AD7697" i="25" s="1"/>
  <c r="AD7698" i="25" s="1"/>
  <c r="AD7699" i="25" s="1"/>
  <c r="AD7700" i="25" s="1"/>
  <c r="AD7701" i="25" s="1"/>
  <c r="AD7702" i="25" s="1"/>
  <c r="AD7703" i="25" s="1"/>
  <c r="AD7704" i="25" s="1"/>
  <c r="AD7705" i="25" s="1"/>
  <c r="AD7706" i="25" s="1"/>
  <c r="AD7707" i="25" s="1"/>
  <c r="AD7708" i="25" s="1"/>
  <c r="AD7709" i="25" s="1"/>
  <c r="AD7710" i="25" s="1"/>
  <c r="AD7711" i="25" s="1"/>
  <c r="AD7712" i="25" s="1"/>
  <c r="AD7713" i="25" s="1"/>
  <c r="AD7714" i="25" s="1"/>
  <c r="AD7715" i="25" s="1"/>
  <c r="AD7716" i="25" s="1"/>
  <c r="AD7717" i="25" s="1"/>
  <c r="AD7718" i="25" s="1"/>
  <c r="AD7719" i="25" s="1"/>
  <c r="AD7720" i="25" s="1"/>
  <c r="AD7721" i="25" s="1"/>
  <c r="AD7722" i="25" s="1"/>
  <c r="AD7723" i="25" s="1"/>
  <c r="AD7724" i="25" s="1"/>
  <c r="AD7725" i="25" s="1"/>
  <c r="AD7726" i="25" s="1"/>
  <c r="AD7727" i="25" s="1"/>
  <c r="AD7728" i="25" s="1"/>
  <c r="AD7729" i="25" s="1"/>
  <c r="AD7730" i="25" s="1"/>
  <c r="AD7731" i="25" s="1"/>
  <c r="AD7732" i="25" s="1"/>
  <c r="AD7733" i="25" s="1"/>
  <c r="AD7734" i="25" s="1"/>
  <c r="AD7735" i="25" s="1"/>
  <c r="AD7736" i="25" s="1"/>
  <c r="AD7737" i="25" s="1"/>
  <c r="AD7738" i="25" s="1"/>
  <c r="AD7739" i="25" s="1"/>
  <c r="AD7740" i="25" s="1"/>
  <c r="AD7741" i="25" s="1"/>
  <c r="AD7742" i="25" s="1"/>
  <c r="AD7743" i="25" s="1"/>
  <c r="AD7744" i="25" s="1"/>
  <c r="AD7745" i="25" s="1"/>
  <c r="AD7746" i="25" s="1"/>
  <c r="AD7747" i="25" s="1"/>
  <c r="AD7748" i="25" s="1"/>
  <c r="AD7749" i="25" s="1"/>
  <c r="AD7750" i="25" s="1"/>
  <c r="AD7751" i="25" s="1"/>
  <c r="AD7752" i="25" s="1"/>
  <c r="AD7753" i="25" s="1"/>
  <c r="AD7754" i="25" s="1"/>
  <c r="AD7755" i="25" s="1"/>
  <c r="AD7756" i="25" s="1"/>
  <c r="AD7757" i="25" s="1"/>
  <c r="AD7758" i="25" s="1"/>
  <c r="AD7759" i="25" s="1"/>
  <c r="AD7760" i="25" s="1"/>
  <c r="AD7761" i="25" s="1"/>
  <c r="AD7762" i="25" s="1"/>
  <c r="AD7763" i="25" s="1"/>
  <c r="AD7764" i="25" s="1"/>
  <c r="AD7765" i="25" s="1"/>
  <c r="AD7766" i="25" s="1"/>
  <c r="AD7767" i="25" s="1"/>
  <c r="AD7768" i="25" s="1"/>
  <c r="AD7769" i="25" s="1"/>
  <c r="AD7770" i="25" s="1"/>
  <c r="AD7771" i="25" s="1"/>
  <c r="AD7772" i="25" s="1"/>
  <c r="AD7773" i="25" s="1"/>
  <c r="AD7774" i="25" s="1"/>
  <c r="AD7775" i="25" s="1"/>
  <c r="AD7776" i="25" s="1"/>
  <c r="AD7777" i="25" s="1"/>
  <c r="AD7778" i="25" s="1"/>
  <c r="AD7779" i="25" s="1"/>
  <c r="AD7780" i="25" s="1"/>
  <c r="AD7781" i="25" s="1"/>
  <c r="AD7782" i="25" s="1"/>
  <c r="AD7783" i="25" s="1"/>
  <c r="AD7784" i="25" s="1"/>
  <c r="AD7785" i="25" s="1"/>
  <c r="AD7786" i="25" s="1"/>
  <c r="AD7787" i="25" s="1"/>
  <c r="AD7788" i="25" s="1"/>
  <c r="AD7789" i="25" s="1"/>
  <c r="AD7790" i="25" s="1"/>
  <c r="AD7791" i="25" s="1"/>
  <c r="AD7792" i="25" s="1"/>
  <c r="AD7793" i="25" s="1"/>
  <c r="AD7794" i="25" s="1"/>
  <c r="AD7795" i="25" s="1"/>
  <c r="AD7796" i="25" s="1"/>
  <c r="AD7797" i="25" s="1"/>
  <c r="AD7798" i="25" s="1"/>
  <c r="AD7799" i="25" s="1"/>
  <c r="AD7800" i="25" s="1"/>
  <c r="AD7801" i="25" s="1"/>
  <c r="AD7802" i="25" s="1"/>
  <c r="AD7803" i="25" s="1"/>
  <c r="AD7804" i="25" s="1"/>
  <c r="AD7805" i="25" s="1"/>
  <c r="AD7806" i="25" s="1"/>
  <c r="AD7807" i="25" s="1"/>
  <c r="AD7808" i="25" s="1"/>
  <c r="AD7809" i="25" s="1"/>
  <c r="AD7810" i="25" s="1"/>
  <c r="AD7811" i="25" s="1"/>
  <c r="AD7812" i="25" s="1"/>
  <c r="AD7813" i="25" s="1"/>
  <c r="AD7814" i="25" s="1"/>
  <c r="AD7815" i="25" s="1"/>
  <c r="AD7816" i="25" s="1"/>
  <c r="AD7817" i="25" s="1"/>
  <c r="AD7818" i="25" s="1"/>
  <c r="AD7819" i="25" s="1"/>
  <c r="AD7820" i="25" s="1"/>
  <c r="AD7821" i="25" s="1"/>
  <c r="AD7822" i="25" s="1"/>
  <c r="AD7823" i="25" s="1"/>
  <c r="AD7824" i="25" s="1"/>
  <c r="AD7825" i="25" s="1"/>
  <c r="AD7826" i="25" s="1"/>
  <c r="AD7827" i="25" s="1"/>
  <c r="AD7828" i="25" s="1"/>
  <c r="AD7829" i="25" s="1"/>
  <c r="AD7830" i="25" s="1"/>
  <c r="AD7831" i="25" s="1"/>
  <c r="AD7832" i="25" s="1"/>
  <c r="AD7833" i="25" s="1"/>
  <c r="AD7834" i="25" s="1"/>
  <c r="AD7835" i="25" s="1"/>
  <c r="AD7836" i="25" s="1"/>
  <c r="AD7837" i="25" s="1"/>
  <c r="AD7838" i="25" s="1"/>
  <c r="AD7839" i="25" s="1"/>
  <c r="AD7840" i="25" s="1"/>
  <c r="AD7841" i="25" s="1"/>
  <c r="AD7842" i="25" s="1"/>
  <c r="AD7843" i="25" s="1"/>
  <c r="AD7844" i="25" s="1"/>
  <c r="AD7845" i="25" s="1"/>
  <c r="AD7846" i="25" s="1"/>
  <c r="AD7847" i="25" s="1"/>
  <c r="AD7848" i="25" s="1"/>
  <c r="AD7849" i="25" s="1"/>
  <c r="AD7850" i="25" s="1"/>
  <c r="AD7851" i="25" s="1"/>
  <c r="AD7852" i="25" s="1"/>
  <c r="AD7853" i="25" s="1"/>
  <c r="AD7854" i="25" s="1"/>
  <c r="AD7855" i="25" s="1"/>
  <c r="AD7856" i="25" s="1"/>
  <c r="AD7857" i="25" s="1"/>
  <c r="AD7858" i="25" s="1"/>
  <c r="AD7859" i="25" s="1"/>
  <c r="AD7860" i="25" s="1"/>
  <c r="AD7861" i="25" s="1"/>
  <c r="AD7862" i="25" s="1"/>
  <c r="AD7863" i="25" s="1"/>
  <c r="AD7864" i="25" s="1"/>
  <c r="AD7865" i="25" s="1"/>
  <c r="AD7866" i="25" s="1"/>
  <c r="AD7867" i="25" s="1"/>
  <c r="AD7868" i="25" s="1"/>
  <c r="AD7869" i="25" s="1"/>
  <c r="AD7870" i="25" s="1"/>
  <c r="AD7871" i="25" s="1"/>
  <c r="AD7872" i="25" s="1"/>
  <c r="AD7873" i="25" s="1"/>
  <c r="AD7874" i="25" s="1"/>
  <c r="AD7875" i="25" s="1"/>
  <c r="AD7876" i="25" s="1"/>
  <c r="AD7877" i="25" s="1"/>
  <c r="AD7878" i="25" s="1"/>
  <c r="AD7879" i="25" s="1"/>
  <c r="AD7880" i="25" s="1"/>
  <c r="AD7881" i="25" s="1"/>
  <c r="AD7882" i="25" s="1"/>
  <c r="AD7883" i="25" s="1"/>
  <c r="AD7884" i="25" s="1"/>
  <c r="AD7885" i="25" s="1"/>
  <c r="AD7886" i="25" s="1"/>
  <c r="AD7887" i="25" s="1"/>
  <c r="AD7888" i="25" s="1"/>
  <c r="AD7889" i="25" s="1"/>
  <c r="AD7890" i="25" s="1"/>
  <c r="AD7891" i="25" s="1"/>
  <c r="AD7892" i="25" s="1"/>
  <c r="AD7893" i="25" s="1"/>
  <c r="AD7894" i="25" s="1"/>
  <c r="AD7895" i="25" s="1"/>
  <c r="AD7896" i="25" s="1"/>
  <c r="AD7897" i="25" s="1"/>
  <c r="AD7898" i="25" s="1"/>
  <c r="AD7899" i="25" s="1"/>
  <c r="AD7900" i="25" s="1"/>
  <c r="AD7901" i="25" s="1"/>
  <c r="AD7902" i="25" s="1"/>
  <c r="AD7903" i="25" s="1"/>
  <c r="AD7904" i="25" s="1"/>
  <c r="AD7905" i="25" s="1"/>
  <c r="AD7906" i="25" s="1"/>
  <c r="AD7907" i="25" s="1"/>
  <c r="AD7908" i="25" s="1"/>
  <c r="AD7909" i="25" s="1"/>
  <c r="AD7910" i="25" s="1"/>
  <c r="AD7911" i="25" s="1"/>
  <c r="AD7912" i="25" s="1"/>
  <c r="AD7913" i="25" s="1"/>
  <c r="AD7914" i="25" s="1"/>
  <c r="AD7915" i="25" s="1"/>
  <c r="AD7916" i="25" s="1"/>
  <c r="AD7917" i="25" s="1"/>
  <c r="AD7918" i="25" s="1"/>
  <c r="AD7919" i="25" s="1"/>
  <c r="AD7920" i="25" s="1"/>
  <c r="AD7921" i="25" s="1"/>
  <c r="AD7922" i="25" s="1"/>
  <c r="AD7923" i="25" s="1"/>
  <c r="AD7924" i="25" s="1"/>
  <c r="AD7925" i="25" s="1"/>
  <c r="AD7926" i="25" s="1"/>
  <c r="AD7927" i="25" s="1"/>
  <c r="AD7928" i="25" s="1"/>
  <c r="AD7929" i="25" s="1"/>
  <c r="AD7930" i="25" s="1"/>
  <c r="AD7931" i="25" s="1"/>
  <c r="AD7932" i="25" s="1"/>
  <c r="AD7933" i="25" s="1"/>
  <c r="AD7934" i="25" s="1"/>
  <c r="AD7935" i="25" s="1"/>
  <c r="AD7936" i="25" s="1"/>
  <c r="AD7937" i="25" s="1"/>
  <c r="AD7938" i="25" s="1"/>
  <c r="AD7939" i="25" s="1"/>
  <c r="AD7940" i="25" s="1"/>
  <c r="AD7941" i="25" s="1"/>
  <c r="AD7942" i="25" s="1"/>
  <c r="AD7943" i="25" s="1"/>
  <c r="AD7944" i="25" s="1"/>
  <c r="AD7945" i="25" s="1"/>
  <c r="AD7946" i="25" s="1"/>
  <c r="AD7947" i="25" s="1"/>
  <c r="AD7948" i="25" s="1"/>
  <c r="AD7949" i="25" s="1"/>
  <c r="AD7950" i="25" s="1"/>
  <c r="AD7951" i="25" s="1"/>
  <c r="AD7952" i="25" s="1"/>
  <c r="AD7953" i="25" s="1"/>
  <c r="AD7954" i="25" s="1"/>
  <c r="AD7955" i="25" s="1"/>
  <c r="AD7956" i="25" s="1"/>
  <c r="AD7957" i="25" s="1"/>
  <c r="AD7958" i="25" s="1"/>
  <c r="AD7959" i="25" s="1"/>
  <c r="AD7960" i="25" s="1"/>
  <c r="AD7961" i="25" s="1"/>
  <c r="AD7962" i="25" s="1"/>
  <c r="AD7963" i="25" s="1"/>
  <c r="AD7964" i="25" s="1"/>
  <c r="AD7965" i="25" s="1"/>
  <c r="AD7966" i="25" s="1"/>
  <c r="AD7967" i="25" s="1"/>
  <c r="AD7968" i="25" s="1"/>
  <c r="AD7969" i="25" s="1"/>
  <c r="AD7970" i="25" s="1"/>
  <c r="AD7971" i="25" s="1"/>
  <c r="AD7972" i="25" s="1"/>
  <c r="AD7973" i="25" s="1"/>
  <c r="AD7974" i="25" s="1"/>
  <c r="AD7975" i="25" s="1"/>
  <c r="AD7976" i="25" s="1"/>
  <c r="AD7977" i="25" s="1"/>
  <c r="AD7978" i="25" s="1"/>
  <c r="AD7979" i="25" s="1"/>
  <c r="AD7980" i="25" s="1"/>
  <c r="AD7981" i="25" s="1"/>
  <c r="AD7982" i="25" s="1"/>
  <c r="AD7983" i="25" s="1"/>
  <c r="AD7984" i="25" s="1"/>
  <c r="AD7985" i="25" s="1"/>
  <c r="AD7986" i="25" s="1"/>
  <c r="AD7987" i="25" s="1"/>
  <c r="AD7988" i="25" s="1"/>
  <c r="AD7989" i="25" s="1"/>
  <c r="AD7990" i="25" s="1"/>
  <c r="AD7991" i="25" s="1"/>
  <c r="AD7992" i="25" s="1"/>
  <c r="AD7993" i="25" s="1"/>
  <c r="AD7994" i="25" s="1"/>
  <c r="AD7995" i="25" s="1"/>
  <c r="AD7996" i="25" s="1"/>
  <c r="AD7997" i="25" s="1"/>
  <c r="AD7998" i="25" s="1"/>
  <c r="AD7999" i="25" s="1"/>
  <c r="AD8000" i="25" s="1"/>
  <c r="AD8001" i="25" s="1"/>
  <c r="AD8002" i="25" s="1"/>
  <c r="AD8003" i="25" s="1"/>
  <c r="AD8004" i="25" s="1"/>
  <c r="AD8005" i="25" s="1"/>
  <c r="AD8006" i="25" s="1"/>
  <c r="AD8007" i="25" s="1"/>
  <c r="AD8008" i="25" s="1"/>
  <c r="AD8009" i="25" s="1"/>
  <c r="AD8010" i="25" s="1"/>
  <c r="AD8011" i="25" s="1"/>
  <c r="AD8012" i="25" s="1"/>
  <c r="AD8013" i="25" s="1"/>
  <c r="AD8014" i="25" s="1"/>
  <c r="AD8015" i="25" s="1"/>
  <c r="AD8016" i="25" s="1"/>
  <c r="AD8017" i="25" s="1"/>
  <c r="AD8018" i="25" s="1"/>
  <c r="AD8019" i="25" s="1"/>
  <c r="AD8020" i="25" s="1"/>
  <c r="AD8021" i="25" s="1"/>
  <c r="AD8022" i="25" s="1"/>
  <c r="AD8023" i="25" s="1"/>
  <c r="AD8024" i="25" s="1"/>
  <c r="AD8025" i="25" s="1"/>
  <c r="AD8026" i="25" s="1"/>
  <c r="AD8027" i="25" s="1"/>
  <c r="AD8028" i="25" s="1"/>
  <c r="AD8029" i="25" s="1"/>
  <c r="AD8030" i="25" s="1"/>
  <c r="AD8031" i="25" s="1"/>
  <c r="AD8032" i="25" s="1"/>
  <c r="AD8033" i="25" s="1"/>
  <c r="AD8034" i="25" s="1"/>
  <c r="AD8035" i="25" s="1"/>
  <c r="AD8036" i="25" s="1"/>
  <c r="AD8037" i="25" s="1"/>
  <c r="AD8038" i="25" s="1"/>
  <c r="AD8039" i="25" s="1"/>
  <c r="AD8040" i="25" s="1"/>
  <c r="AD8041" i="25" s="1"/>
  <c r="AD8042" i="25" s="1"/>
  <c r="AD8043" i="25" s="1"/>
  <c r="AD8044" i="25" s="1"/>
  <c r="AD8045" i="25" s="1"/>
  <c r="AD8046" i="25" s="1"/>
  <c r="AD8047" i="25" s="1"/>
  <c r="AD8048" i="25" s="1"/>
  <c r="AD8049" i="25" s="1"/>
  <c r="AD8050" i="25" s="1"/>
  <c r="AD8051" i="25" s="1"/>
  <c r="AD8052" i="25" s="1"/>
  <c r="AD8053" i="25" s="1"/>
  <c r="AD8054" i="25" s="1"/>
  <c r="AD8055" i="25" s="1"/>
  <c r="AD8056" i="25" s="1"/>
  <c r="AD8057" i="25" s="1"/>
  <c r="AD8058" i="25" s="1"/>
  <c r="AD8059" i="25" s="1"/>
  <c r="AD8060" i="25" s="1"/>
  <c r="AD8061" i="25" s="1"/>
  <c r="AD8062" i="25" s="1"/>
  <c r="AD8063" i="25" s="1"/>
  <c r="AD8064" i="25" s="1"/>
  <c r="AD8065" i="25" s="1"/>
  <c r="AD8066" i="25" s="1"/>
  <c r="AD8067" i="25" s="1"/>
  <c r="AD8068" i="25" s="1"/>
  <c r="AD8069" i="25" s="1"/>
  <c r="AD8070" i="25" s="1"/>
  <c r="AD8071" i="25" s="1"/>
  <c r="AD8072" i="25" s="1"/>
  <c r="AD8073" i="25" s="1"/>
  <c r="AD8074" i="25" s="1"/>
  <c r="AD8075" i="25" s="1"/>
  <c r="AD8076" i="25" s="1"/>
  <c r="AD8077" i="25" s="1"/>
  <c r="AD8078" i="25" s="1"/>
  <c r="AD8079" i="25" s="1"/>
  <c r="AD8080" i="25" s="1"/>
  <c r="AD8081" i="25" s="1"/>
  <c r="AD8082" i="25" s="1"/>
  <c r="AD8083" i="25" s="1"/>
  <c r="AD8084" i="25" s="1"/>
  <c r="AD8085" i="25" s="1"/>
  <c r="AD8086" i="25" s="1"/>
  <c r="AD8087" i="25" s="1"/>
  <c r="AD8088" i="25" s="1"/>
  <c r="AD8089" i="25" s="1"/>
  <c r="AD8090" i="25" s="1"/>
  <c r="AD8091" i="25" s="1"/>
  <c r="AD8092" i="25" s="1"/>
  <c r="AD8093" i="25" s="1"/>
  <c r="AD8094" i="25" s="1"/>
  <c r="AD8095" i="25" s="1"/>
  <c r="AD8096" i="25" s="1"/>
  <c r="AD8097" i="25" s="1"/>
  <c r="AD8098" i="25" s="1"/>
  <c r="AD8099" i="25" s="1"/>
  <c r="AD8100" i="25" s="1"/>
  <c r="AD8101" i="25" s="1"/>
  <c r="AD8102" i="25" s="1"/>
  <c r="AD8103" i="25" s="1"/>
  <c r="AD8104" i="25" s="1"/>
  <c r="AD8105" i="25" s="1"/>
  <c r="AD8106" i="25" s="1"/>
  <c r="AD8107" i="25" s="1"/>
  <c r="AD8108" i="25" s="1"/>
  <c r="AD8109" i="25" s="1"/>
  <c r="AD8110" i="25" s="1"/>
  <c r="AD8111" i="25" s="1"/>
  <c r="AD8112" i="25" s="1"/>
  <c r="AD8113" i="25" s="1"/>
  <c r="AD8114" i="25" s="1"/>
  <c r="AD8115" i="25" s="1"/>
  <c r="AD8116" i="25" s="1"/>
  <c r="AD8117" i="25" s="1"/>
  <c r="AD8118" i="25" s="1"/>
  <c r="AD8119" i="25" s="1"/>
  <c r="AD8120" i="25" s="1"/>
  <c r="AD8121" i="25" s="1"/>
  <c r="AD8122" i="25" s="1"/>
  <c r="AD8123" i="25" s="1"/>
  <c r="AD8124" i="25" s="1"/>
  <c r="AD8125" i="25" s="1"/>
  <c r="AD8126" i="25" s="1"/>
  <c r="AD8127" i="25" s="1"/>
  <c r="AD8128" i="25" s="1"/>
  <c r="AD8129" i="25" s="1"/>
  <c r="AD8130" i="25" s="1"/>
  <c r="AD8131" i="25" s="1"/>
  <c r="AD8132" i="25" s="1"/>
  <c r="AD8133" i="25" s="1"/>
  <c r="AD8134" i="25" s="1"/>
  <c r="AD8135" i="25" s="1"/>
  <c r="AD8136" i="25" s="1"/>
  <c r="AD8137" i="25" s="1"/>
  <c r="AD8138" i="25" s="1"/>
  <c r="AD8139" i="25" s="1"/>
  <c r="AD8140" i="25" s="1"/>
  <c r="AD8141" i="25" s="1"/>
  <c r="AD8142" i="25" s="1"/>
  <c r="AD8143" i="25" s="1"/>
  <c r="AD8144" i="25" s="1"/>
  <c r="AD8145" i="25" s="1"/>
  <c r="AD8146" i="25" s="1"/>
  <c r="AD8147" i="25" s="1"/>
  <c r="AD8148" i="25" s="1"/>
  <c r="AD8149" i="25" s="1"/>
  <c r="AD8150" i="25" s="1"/>
  <c r="AD8151" i="25" s="1"/>
  <c r="AD8152" i="25" s="1"/>
  <c r="AD8153" i="25" s="1"/>
  <c r="AD8154" i="25" s="1"/>
  <c r="AD8155" i="25" s="1"/>
  <c r="AD8156" i="25" s="1"/>
  <c r="AD8157" i="25" s="1"/>
  <c r="AD8158" i="25" s="1"/>
  <c r="AD8159" i="25" s="1"/>
  <c r="AD8160" i="25" s="1"/>
  <c r="AD8161" i="25" s="1"/>
  <c r="AD8162" i="25" s="1"/>
  <c r="AD8163" i="25" s="1"/>
  <c r="AD8164" i="25" s="1"/>
  <c r="AD8165" i="25" s="1"/>
  <c r="AD8166" i="25" s="1"/>
  <c r="AD8167" i="25" s="1"/>
  <c r="AD8168" i="25" s="1"/>
  <c r="AD8169" i="25" s="1"/>
  <c r="AD8170" i="25" s="1"/>
  <c r="AD8171" i="25" s="1"/>
  <c r="AD8172" i="25" s="1"/>
  <c r="AD8173" i="25" s="1"/>
  <c r="AD8174" i="25" s="1"/>
  <c r="AD8175" i="25" s="1"/>
  <c r="AD8176" i="25" s="1"/>
  <c r="AD8177" i="25" s="1"/>
  <c r="AD8178" i="25" s="1"/>
  <c r="AD8179" i="25" s="1"/>
  <c r="AD8180" i="25" s="1"/>
  <c r="AD8181" i="25" s="1"/>
  <c r="AD8182" i="25" s="1"/>
  <c r="AD8183" i="25" s="1"/>
  <c r="AD8184" i="25" s="1"/>
  <c r="AD8185" i="25" s="1"/>
  <c r="AD8186" i="25" s="1"/>
  <c r="AD8187" i="25" s="1"/>
  <c r="AD8188" i="25" s="1"/>
  <c r="AD8189" i="25" s="1"/>
  <c r="AD8190" i="25" s="1"/>
  <c r="AD8191" i="25" s="1"/>
  <c r="AD8192" i="25" s="1"/>
  <c r="AD8193" i="25" s="1"/>
  <c r="AD8194" i="25" s="1"/>
  <c r="AD8195" i="25" s="1"/>
  <c r="AD8196" i="25" s="1"/>
  <c r="AD8197" i="25" s="1"/>
  <c r="AD8198" i="25" s="1"/>
  <c r="AD8199" i="25" s="1"/>
  <c r="AD8200" i="25" s="1"/>
  <c r="AD8201" i="25" s="1"/>
  <c r="AD8202" i="25" s="1"/>
  <c r="AD8203" i="25" s="1"/>
  <c r="AD8204" i="25" s="1"/>
  <c r="AD8205" i="25" s="1"/>
  <c r="AD8206" i="25" s="1"/>
  <c r="AD8207" i="25" s="1"/>
  <c r="AD8208" i="25" s="1"/>
  <c r="AD8209" i="25" s="1"/>
  <c r="AD8210" i="25" s="1"/>
  <c r="AD8211" i="25" s="1"/>
  <c r="AD8212" i="25" s="1"/>
  <c r="AD8213" i="25" s="1"/>
  <c r="AD8214" i="25" s="1"/>
  <c r="AD8215" i="25" s="1"/>
  <c r="AD8216" i="25" s="1"/>
  <c r="AD8217" i="25" s="1"/>
  <c r="AD8218" i="25" s="1"/>
  <c r="AD8219" i="25" s="1"/>
  <c r="AD8220" i="25" s="1"/>
  <c r="AD8221" i="25" s="1"/>
  <c r="AD8222" i="25" s="1"/>
  <c r="AD8223" i="25" s="1"/>
  <c r="AD8224" i="25" s="1"/>
  <c r="AD8225" i="25" s="1"/>
  <c r="AD8226" i="25" s="1"/>
  <c r="AD8227" i="25" s="1"/>
  <c r="AD8228" i="25" s="1"/>
  <c r="AD8229" i="25" s="1"/>
  <c r="AD8230" i="25" s="1"/>
  <c r="AD8231" i="25" s="1"/>
  <c r="AD8232" i="25" s="1"/>
  <c r="AD8233" i="25" s="1"/>
  <c r="AD8234" i="25" s="1"/>
  <c r="AD8235" i="25" s="1"/>
  <c r="AD8236" i="25" s="1"/>
  <c r="AD8237" i="25" s="1"/>
  <c r="AD8238" i="25" s="1"/>
  <c r="AD8239" i="25" s="1"/>
  <c r="AD8240" i="25" s="1"/>
  <c r="AD8241" i="25" s="1"/>
  <c r="AD8242" i="25" s="1"/>
  <c r="AD8243" i="25" s="1"/>
  <c r="AD8244" i="25" s="1"/>
  <c r="AD8245" i="25" s="1"/>
  <c r="AD8246" i="25" s="1"/>
  <c r="AD8247" i="25" s="1"/>
  <c r="AD8248" i="25" s="1"/>
  <c r="AD8249" i="25" s="1"/>
  <c r="AD8250" i="25" s="1"/>
  <c r="AD8251" i="25" s="1"/>
  <c r="AD8252" i="25" s="1"/>
  <c r="AD8253" i="25" s="1"/>
  <c r="AD8254" i="25" s="1"/>
  <c r="AD8255" i="25" s="1"/>
  <c r="AD8256" i="25" s="1"/>
  <c r="AD8257" i="25" s="1"/>
  <c r="AD8258" i="25" s="1"/>
  <c r="AD8259" i="25" s="1"/>
  <c r="AD8260" i="25" s="1"/>
  <c r="AD8261" i="25" s="1"/>
  <c r="AD8262" i="25" s="1"/>
  <c r="AD8263" i="25" s="1"/>
  <c r="AD8264" i="25" s="1"/>
  <c r="AD8265" i="25" s="1"/>
  <c r="AD8266" i="25" s="1"/>
  <c r="AD8267" i="25" s="1"/>
  <c r="AD8268" i="25" s="1"/>
  <c r="AD8269" i="25" s="1"/>
  <c r="AD8270" i="25" s="1"/>
  <c r="AD8271" i="25" s="1"/>
  <c r="AD8272" i="25" s="1"/>
  <c r="AD8273" i="25" s="1"/>
  <c r="AD8274" i="25" s="1"/>
  <c r="AD8275" i="25" s="1"/>
  <c r="AD8276" i="25" s="1"/>
  <c r="AD8277" i="25" s="1"/>
  <c r="AD8278" i="25" s="1"/>
  <c r="AD8279" i="25" s="1"/>
  <c r="AD8280" i="25" s="1"/>
  <c r="AD8281" i="25" s="1"/>
  <c r="AD8282" i="25" s="1"/>
  <c r="AD8283" i="25" s="1"/>
  <c r="AD8284" i="25" s="1"/>
  <c r="AD8285" i="25" s="1"/>
  <c r="AD8286" i="25" s="1"/>
  <c r="AD8287" i="25" s="1"/>
  <c r="AD8288" i="25" s="1"/>
  <c r="AD8289" i="25" s="1"/>
  <c r="AD8290" i="25" s="1"/>
  <c r="AD8291" i="25" s="1"/>
  <c r="AD8292" i="25" s="1"/>
  <c r="AD8293" i="25" s="1"/>
  <c r="AD8294" i="25" s="1"/>
  <c r="AD8295" i="25" s="1"/>
  <c r="AD8296" i="25" s="1"/>
  <c r="AD8297" i="25" s="1"/>
  <c r="AD8298" i="25" s="1"/>
  <c r="AD8299" i="25" s="1"/>
  <c r="AD8300" i="25" s="1"/>
  <c r="AD8301" i="25" s="1"/>
  <c r="AD8302" i="25" s="1"/>
  <c r="AD8303" i="25" s="1"/>
  <c r="AD8304" i="25" s="1"/>
  <c r="AD8305" i="25" s="1"/>
  <c r="AD8306" i="25" s="1"/>
  <c r="AD8307" i="25" s="1"/>
  <c r="AD8308" i="25" s="1"/>
  <c r="AD8309" i="25" s="1"/>
  <c r="AD8310" i="25" s="1"/>
  <c r="AD8311" i="25" s="1"/>
  <c r="AD8312" i="25" s="1"/>
  <c r="AD8313" i="25" s="1"/>
  <c r="AD8314" i="25" s="1"/>
  <c r="AD8315" i="25" s="1"/>
  <c r="AD8316" i="25" s="1"/>
  <c r="AD8317" i="25" s="1"/>
  <c r="AD8318" i="25" s="1"/>
  <c r="AD8319" i="25" s="1"/>
  <c r="AD8320" i="25" s="1"/>
  <c r="AD8321" i="25" s="1"/>
  <c r="AD8322" i="25" s="1"/>
  <c r="AD8323" i="25" s="1"/>
  <c r="AD8324" i="25" s="1"/>
  <c r="AD8325" i="25" s="1"/>
  <c r="AD8326" i="25" s="1"/>
  <c r="AD8327" i="25" s="1"/>
  <c r="AD8328" i="25" s="1"/>
  <c r="AD8329" i="25" s="1"/>
  <c r="AD8330" i="25" s="1"/>
  <c r="AD8331" i="25" s="1"/>
  <c r="AD8332" i="25" s="1"/>
  <c r="AD8333" i="25" s="1"/>
  <c r="AD8334" i="25" s="1"/>
  <c r="AD8335" i="25" s="1"/>
  <c r="AD8336" i="25" s="1"/>
  <c r="AD8337" i="25" s="1"/>
  <c r="AD8338" i="25" s="1"/>
  <c r="AD8339" i="25" s="1"/>
  <c r="AD8340" i="25" s="1"/>
  <c r="AD8341" i="25" s="1"/>
  <c r="AD8342" i="25" s="1"/>
  <c r="AD8343" i="25" s="1"/>
  <c r="AD8344" i="25" s="1"/>
  <c r="AD8345" i="25" s="1"/>
  <c r="AD8346" i="25" s="1"/>
  <c r="AD8347" i="25" s="1"/>
  <c r="AD8348" i="25" s="1"/>
  <c r="AD8349" i="25" s="1"/>
  <c r="AD8350" i="25" s="1"/>
  <c r="AD8351" i="25" s="1"/>
  <c r="AD8352" i="25" s="1"/>
  <c r="AD8353" i="25" s="1"/>
  <c r="AD8354" i="25" s="1"/>
  <c r="AD8355" i="25" s="1"/>
  <c r="AD8356" i="25" s="1"/>
  <c r="AD8357" i="25" s="1"/>
  <c r="AD8358" i="25" s="1"/>
  <c r="AD8359" i="25" s="1"/>
  <c r="AD8360" i="25" s="1"/>
  <c r="AD8361" i="25" s="1"/>
  <c r="AD8362" i="25" s="1"/>
  <c r="AD8363" i="25" s="1"/>
  <c r="AD8364" i="25" s="1"/>
  <c r="AD8365" i="25" s="1"/>
  <c r="AD8366" i="25" s="1"/>
  <c r="AD8367" i="25" s="1"/>
  <c r="AD8368" i="25" s="1"/>
  <c r="AD8369" i="25" s="1"/>
  <c r="AD8370" i="25" s="1"/>
  <c r="AD8371" i="25" s="1"/>
  <c r="AD8372" i="25" s="1"/>
  <c r="AD8373" i="25" s="1"/>
  <c r="AD8374" i="25" s="1"/>
  <c r="AD8375" i="25" s="1"/>
  <c r="AD8376" i="25" s="1"/>
  <c r="AD8377" i="25" s="1"/>
  <c r="AD8378" i="25" s="1"/>
  <c r="AD8379" i="25" s="1"/>
  <c r="AD8380" i="25" s="1"/>
  <c r="AD8381" i="25" s="1"/>
  <c r="AD8382" i="25" s="1"/>
  <c r="AD8383" i="25" s="1"/>
  <c r="AD8384" i="25" s="1"/>
  <c r="AD8385" i="25" s="1"/>
  <c r="AD8386" i="25" s="1"/>
  <c r="AD8387" i="25" s="1"/>
  <c r="AD8388" i="25" s="1"/>
  <c r="AD8389" i="25" s="1"/>
  <c r="AD8390" i="25" s="1"/>
  <c r="AD8391" i="25" s="1"/>
  <c r="AD8392" i="25" s="1"/>
  <c r="AD8393" i="25" s="1"/>
  <c r="AD8394" i="25" s="1"/>
  <c r="AD8395" i="25" s="1"/>
  <c r="AD8396" i="25" s="1"/>
  <c r="AD8397" i="25" s="1"/>
  <c r="AD8398" i="25" s="1"/>
  <c r="AD8399" i="25" s="1"/>
  <c r="AD8400" i="25" s="1"/>
  <c r="AD8401" i="25" s="1"/>
  <c r="AD8402" i="25" s="1"/>
  <c r="AD8403" i="25" s="1"/>
  <c r="AD8404" i="25" s="1"/>
  <c r="AD8405" i="25" s="1"/>
  <c r="AD8406" i="25" s="1"/>
  <c r="AD8407" i="25" s="1"/>
  <c r="AD8408" i="25" s="1"/>
  <c r="AD8409" i="25" s="1"/>
  <c r="AD8410" i="25" s="1"/>
  <c r="AD8411" i="25" s="1"/>
  <c r="AD8412" i="25" s="1"/>
  <c r="AD8413" i="25" s="1"/>
  <c r="AD8414" i="25" s="1"/>
  <c r="AD8415" i="25" s="1"/>
  <c r="AD8416" i="25" s="1"/>
  <c r="AD8417" i="25" s="1"/>
  <c r="AD8418" i="25" s="1"/>
  <c r="AD8419" i="25" s="1"/>
  <c r="AD8420" i="25" s="1"/>
  <c r="AD8421" i="25" s="1"/>
  <c r="AD8422" i="25" s="1"/>
  <c r="AD8423" i="25" s="1"/>
  <c r="AD8424" i="25" s="1"/>
  <c r="AD8425" i="25" s="1"/>
  <c r="AD8426" i="25" s="1"/>
  <c r="AD8427" i="25" s="1"/>
  <c r="AD8428" i="25" s="1"/>
  <c r="AD8429" i="25" s="1"/>
  <c r="AD8430" i="25" s="1"/>
  <c r="AD8431" i="25" s="1"/>
  <c r="AD8432" i="25" s="1"/>
  <c r="AD8433" i="25" s="1"/>
  <c r="AD8434" i="25" s="1"/>
  <c r="AD8435" i="25" s="1"/>
  <c r="AD8436" i="25" s="1"/>
  <c r="AD8437" i="25" s="1"/>
  <c r="AD8438" i="25" s="1"/>
  <c r="AD8439" i="25" s="1"/>
  <c r="AD8440" i="25" s="1"/>
  <c r="AD8441" i="25" s="1"/>
  <c r="AD8442" i="25" s="1"/>
  <c r="AD8443" i="25" s="1"/>
  <c r="AD8444" i="25" s="1"/>
  <c r="AD8445" i="25" s="1"/>
  <c r="AD8446" i="25" s="1"/>
  <c r="AD8447" i="25" s="1"/>
  <c r="AD8448" i="25" s="1"/>
  <c r="AD8449" i="25" s="1"/>
  <c r="AD8450" i="25" s="1"/>
  <c r="N186" i="25"/>
  <c r="I207" i="25"/>
  <c r="I204" i="25" s="1"/>
  <c r="J207" i="25"/>
  <c r="J204" i="25" s="1"/>
  <c r="L188" i="25"/>
  <c r="L185" i="25" s="1"/>
  <c r="I186" i="25"/>
  <c r="K207" i="25"/>
  <c r="K204" i="25" s="1"/>
  <c r="K188" i="25"/>
  <c r="K185" i="25" s="1"/>
  <c r="Q188" i="25"/>
  <c r="Q185" i="25" s="1"/>
  <c r="Q187" i="25" s="1"/>
  <c r="O186" i="25"/>
  <c r="R188" i="25"/>
  <c r="R185" i="25" s="1"/>
  <c r="N207" i="25"/>
  <c r="N204" i="25" s="1"/>
  <c r="K186" i="25"/>
  <c r="L207" i="25"/>
  <c r="L204" i="25" s="1"/>
  <c r="N188" i="25"/>
  <c r="N185" i="25" s="1"/>
  <c r="N187" i="25" s="1"/>
  <c r="J205" i="25"/>
  <c r="L205" i="25"/>
  <c r="R205" i="25"/>
  <c r="M186" i="25"/>
  <c r="H205" i="25"/>
  <c r="P205" i="25"/>
  <c r="H186" i="25"/>
  <c r="R186" i="25"/>
  <c r="P186" i="25"/>
  <c r="N205" i="25"/>
  <c r="J186" i="25"/>
  <c r="M188" i="25"/>
  <c r="M185" i="25" s="1"/>
  <c r="M187" i="25" s="1"/>
  <c r="I188" i="25"/>
  <c r="I185" i="25" s="1"/>
  <c r="I187" i="25" s="1"/>
  <c r="I205" i="25"/>
  <c r="Q205" i="25"/>
  <c r="H188" i="25"/>
  <c r="H185" i="25" s="1"/>
  <c r="H187" i="25" s="1"/>
  <c r="O188" i="25"/>
  <c r="O185" i="25" s="1"/>
  <c r="O187" i="25" s="1"/>
  <c r="J188" i="25"/>
  <c r="J185" i="25" s="1"/>
  <c r="J187" i="25" s="1"/>
  <c r="Q186" i="25"/>
  <c r="O205" i="25"/>
  <c r="K205" i="25"/>
  <c r="H207" i="25"/>
  <c r="H204" i="25" s="1"/>
  <c r="M205" i="25"/>
  <c r="P188" i="25"/>
  <c r="P185" i="25" s="1"/>
  <c r="P187" i="25" s="1"/>
  <c r="L186" i="25"/>
  <c r="M207" i="25"/>
  <c r="M204" i="25" s="1"/>
  <c r="M206" i="25" s="1"/>
  <c r="O207" i="25"/>
  <c r="O204" i="25" s="1"/>
  <c r="P207" i="25"/>
  <c r="P204" i="25" s="1"/>
  <c r="P206" i="25" s="1"/>
  <c r="Q207" i="25"/>
  <c r="Q204" i="25" s="1"/>
  <c r="Q206" i="25" s="1"/>
  <c r="R207" i="25"/>
  <c r="R204" i="25" s="1"/>
  <c r="R206" i="25" s="1"/>
  <c r="D144" i="25"/>
  <c r="AE10" i="22"/>
  <c r="AD7" i="22"/>
  <c r="AD24" i="22"/>
  <c r="AE27" i="22"/>
  <c r="AE43" i="22"/>
  <c r="AD40" i="22"/>
  <c r="K206" i="25" l="1"/>
  <c r="L206" i="25"/>
  <c r="H206" i="25"/>
  <c r="L187" i="25"/>
  <c r="N206" i="25"/>
  <c r="J206" i="25"/>
  <c r="R187" i="25"/>
  <c r="I206" i="25"/>
  <c r="O206" i="25"/>
  <c r="K187" i="25"/>
  <c r="AF27" i="22"/>
  <c r="AE24" i="22"/>
  <c r="AF10" i="22"/>
  <c r="AE7" i="22"/>
  <c r="AF43" i="22"/>
  <c r="AE40" i="22"/>
  <c r="D182" i="25" l="1"/>
  <c r="D201" i="25"/>
  <c r="AF7" i="22"/>
  <c r="AG10" i="22"/>
  <c r="AF40" i="22"/>
  <c r="AG43" i="22"/>
  <c r="AG27" i="22"/>
  <c r="AF24" i="22"/>
  <c r="AG40" i="22" l="1"/>
  <c r="AH43" i="22"/>
  <c r="AH27" i="22"/>
  <c r="AG24" i="22"/>
  <c r="AG7" i="22"/>
  <c r="AH10" i="22"/>
  <c r="AI10" i="22" l="1"/>
  <c r="AH7" i="22"/>
  <c r="AI27" i="22"/>
  <c r="AH24" i="22"/>
  <c r="AH40" i="22"/>
  <c r="AI43" i="22"/>
  <c r="AJ43" i="22" l="1"/>
  <c r="AJ40" i="22" s="1"/>
  <c r="AI40" i="22"/>
  <c r="AJ27" i="22"/>
  <c r="AI24" i="22"/>
  <c r="AI7" i="22"/>
  <c r="AJ10" i="22"/>
  <c r="AK27" i="22" l="1"/>
  <c r="AJ24" i="22"/>
  <c r="AJ7" i="22"/>
  <c r="AK10" i="22"/>
  <c r="AK7" i="22" l="1"/>
  <c r="AL10" i="22"/>
  <c r="AK24" i="22"/>
  <c r="AL27" i="22"/>
  <c r="AM10" i="22" l="1"/>
  <c r="AL7" i="22"/>
  <c r="AL24" i="22"/>
  <c r="AM27" i="22"/>
  <c r="AM24" i="22" l="1"/>
  <c r="AN27" i="22"/>
  <c r="AN10" i="22"/>
  <c r="AM7" i="22"/>
  <c r="AO10" i="22" l="1"/>
  <c r="AN7" i="22"/>
  <c r="AO27" i="22"/>
  <c r="AO24" i="22" s="1"/>
  <c r="AN24" i="22"/>
  <c r="AO7" i="22" l="1"/>
  <c r="AP10" i="22"/>
  <c r="AQ10" i="22" l="1"/>
  <c r="AP7" i="22"/>
  <c r="AQ7" i="22" l="1"/>
  <c r="AR10" i="22"/>
  <c r="AR7" i="22" l="1"/>
  <c r="AS10" i="22"/>
  <c r="AS7" i="22" l="1"/>
  <c r="AT10" i="22"/>
  <c r="AU10" i="22" l="1"/>
  <c r="AT7" i="22"/>
  <c r="AV10" i="22" l="1"/>
  <c r="AV7" i="22" s="1"/>
  <c r="AU7" i="22"/>
  <c r="B11" i="18" l="1"/>
  <c r="G9" i="18" s="1"/>
  <c r="B28" i="18"/>
  <c r="G26" i="18" s="1"/>
  <c r="B44" i="18"/>
  <c r="B61" i="18"/>
  <c r="G59" i="18" s="1"/>
  <c r="B77" i="18"/>
  <c r="G75" i="18" s="1"/>
  <c r="B11" i="7"/>
  <c r="G9" i="7" s="1"/>
  <c r="B28" i="7"/>
  <c r="G26" i="7" s="1"/>
  <c r="B44" i="7"/>
  <c r="G42" i="7" s="1"/>
  <c r="B61" i="7"/>
  <c r="G59" i="7" s="1"/>
  <c r="B77" i="7"/>
  <c r="G75" i="7" s="1"/>
  <c r="B4" i="18"/>
  <c r="B21" i="18"/>
  <c r="B37" i="18"/>
  <c r="B54" i="18"/>
  <c r="B70" i="18"/>
  <c r="B4" i="7"/>
  <c r="H49" i="7" s="1"/>
  <c r="B21" i="7"/>
  <c r="B37" i="7"/>
  <c r="B54" i="7"/>
  <c r="B70" i="7"/>
  <c r="H82" i="7" s="1"/>
  <c r="H81" i="18"/>
  <c r="K76" i="18"/>
  <c r="L76" i="18" s="1"/>
  <c r="I76" i="18"/>
  <c r="J76" i="18" s="1"/>
  <c r="H76" i="18"/>
  <c r="H75" i="18"/>
  <c r="B74" i="18"/>
  <c r="B73" i="18"/>
  <c r="H65" i="18"/>
  <c r="J60" i="18"/>
  <c r="K60" i="18" s="1"/>
  <c r="L60" i="18" s="1"/>
  <c r="I60" i="18"/>
  <c r="H60" i="18"/>
  <c r="H59" i="18"/>
  <c r="B58" i="18"/>
  <c r="B57" i="18"/>
  <c r="H48" i="18"/>
  <c r="M43" i="18"/>
  <c r="L43" i="18"/>
  <c r="L40" i="18" s="1"/>
  <c r="K43" i="18"/>
  <c r="I43" i="18"/>
  <c r="J43" i="18" s="1"/>
  <c r="H43" i="18"/>
  <c r="H42" i="18"/>
  <c r="G42" i="18"/>
  <c r="B41" i="18"/>
  <c r="B40" i="18"/>
  <c r="H32" i="18"/>
  <c r="K27" i="18"/>
  <c r="L27" i="18" s="1"/>
  <c r="J27" i="18"/>
  <c r="I27" i="18"/>
  <c r="H27" i="18"/>
  <c r="H26" i="18"/>
  <c r="B25" i="18"/>
  <c r="B24" i="18"/>
  <c r="H15" i="18"/>
  <c r="I10" i="18"/>
  <c r="J10" i="18" s="1"/>
  <c r="K10" i="18" s="1"/>
  <c r="L10" i="18" s="1"/>
  <c r="H10" i="18"/>
  <c r="H9" i="18"/>
  <c r="B8" i="18"/>
  <c r="B7" i="18"/>
  <c r="H49" i="18"/>
  <c r="B75" i="7"/>
  <c r="B73" i="7"/>
  <c r="B74" i="7"/>
  <c r="H75" i="7"/>
  <c r="H76" i="7"/>
  <c r="I76" i="7"/>
  <c r="J76" i="7"/>
  <c r="K76" i="7" s="1"/>
  <c r="L76" i="7" s="1"/>
  <c r="H81" i="7"/>
  <c r="H66" i="7"/>
  <c r="B59" i="7"/>
  <c r="H65" i="7"/>
  <c r="J60" i="7"/>
  <c r="K60" i="7" s="1"/>
  <c r="L60" i="7" s="1"/>
  <c r="H60" i="7"/>
  <c r="I60" i="7" s="1"/>
  <c r="H59" i="7"/>
  <c r="B58" i="7"/>
  <c r="B57" i="7"/>
  <c r="H48" i="7"/>
  <c r="H43" i="7"/>
  <c r="I43" i="7" s="1"/>
  <c r="J43" i="7" s="1"/>
  <c r="K43" i="7" s="1"/>
  <c r="L43" i="7" s="1"/>
  <c r="H42" i="7"/>
  <c r="B41" i="7"/>
  <c r="B40" i="7"/>
  <c r="B24" i="7"/>
  <c r="B25" i="7"/>
  <c r="H26" i="7"/>
  <c r="H27" i="7"/>
  <c r="I27" i="7" s="1"/>
  <c r="J27" i="7" s="1"/>
  <c r="K27" i="7" s="1"/>
  <c r="L27" i="7" s="1"/>
  <c r="L24" i="7" s="1"/>
  <c r="H32" i="7"/>
  <c r="B7" i="7"/>
  <c r="B8" i="7"/>
  <c r="H15" i="7"/>
  <c r="H9" i="7"/>
  <c r="H10" i="7"/>
  <c r="I10" i="7" s="1"/>
  <c r="J10" i="7" s="1"/>
  <c r="K10" i="7" s="1"/>
  <c r="L10" i="7" s="1"/>
  <c r="M10" i="7" s="1"/>
  <c r="N10" i="7" s="1"/>
  <c r="O10" i="7" s="1"/>
  <c r="P10" i="7" s="1"/>
  <c r="Q10" i="7" s="1"/>
  <c r="R10" i="7" s="1"/>
  <c r="S10" i="7" s="1"/>
  <c r="T10" i="7" s="1"/>
  <c r="U10" i="7" s="1"/>
  <c r="V10" i="7" s="1"/>
  <c r="W10" i="7" s="1"/>
  <c r="X10" i="7" s="1"/>
  <c r="Y10" i="7" s="1"/>
  <c r="Z10" i="7" s="1"/>
  <c r="AA10" i="7" s="1"/>
  <c r="AB10" i="7" s="1"/>
  <c r="AC10" i="7" s="1"/>
  <c r="AD10" i="7" s="1"/>
  <c r="AE10" i="7" s="1"/>
  <c r="AF10" i="7" s="1"/>
  <c r="AG10" i="7" s="1"/>
  <c r="AH10" i="7" s="1"/>
  <c r="AI10" i="7" s="1"/>
  <c r="AJ10" i="7" s="1"/>
  <c r="AK10" i="7" s="1"/>
  <c r="AL10" i="7" s="1"/>
  <c r="AM10" i="7" s="1"/>
  <c r="AN10" i="7" s="1"/>
  <c r="AO10" i="7" s="1"/>
  <c r="AP10" i="7" s="1"/>
  <c r="AQ10" i="7" s="1"/>
  <c r="AR10" i="7" s="1"/>
  <c r="AS10" i="7" s="1"/>
  <c r="AT10" i="7" s="1"/>
  <c r="AU10" i="7" s="1"/>
  <c r="AV10" i="7" s="1"/>
  <c r="AV7" i="7" s="1"/>
  <c r="D6" i="25" l="1"/>
  <c r="E35" i="19"/>
  <c r="B71" i="22"/>
  <c r="B55" i="22"/>
  <c r="B38" i="22"/>
  <c r="B22" i="22"/>
  <c r="B5" i="22"/>
  <c r="E34" i="19"/>
  <c r="E31" i="19"/>
  <c r="E33" i="19"/>
  <c r="E32" i="19"/>
  <c r="E30" i="19"/>
  <c r="E29" i="19"/>
  <c r="E28" i="19"/>
  <c r="E27" i="19"/>
  <c r="E26" i="19"/>
  <c r="B71" i="18"/>
  <c r="R71" i="18" s="1"/>
  <c r="R81" i="18" s="1"/>
  <c r="F34" i="19"/>
  <c r="H34" i="19" s="1"/>
  <c r="F32" i="19"/>
  <c r="H32" i="19" s="1"/>
  <c r="Q7" i="7"/>
  <c r="AG7" i="7"/>
  <c r="AO7" i="7"/>
  <c r="R7" i="7"/>
  <c r="AH7" i="7"/>
  <c r="S7" i="7"/>
  <c r="T7" i="7"/>
  <c r="AJ7" i="7"/>
  <c r="M7" i="7"/>
  <c r="U7" i="7"/>
  <c r="AC7" i="7"/>
  <c r="AK7" i="7"/>
  <c r="AS7" i="7"/>
  <c r="Y7" i="7"/>
  <c r="AA7" i="7"/>
  <c r="AQ7" i="7"/>
  <c r="N7" i="7"/>
  <c r="V7" i="7"/>
  <c r="AD7" i="7"/>
  <c r="AL7" i="7"/>
  <c r="AT7" i="7"/>
  <c r="Z7" i="7"/>
  <c r="AP7" i="7"/>
  <c r="AI7" i="7"/>
  <c r="L7" i="7"/>
  <c r="AB7" i="7"/>
  <c r="AR7" i="7"/>
  <c r="O7" i="7"/>
  <c r="W7" i="7"/>
  <c r="AE7" i="7"/>
  <c r="AM7" i="7"/>
  <c r="AU7" i="7"/>
  <c r="H33" i="7"/>
  <c r="P7" i="7"/>
  <c r="X7" i="7"/>
  <c r="AF7" i="7"/>
  <c r="AN7" i="7"/>
  <c r="F35" i="19"/>
  <c r="H35" i="19" s="1"/>
  <c r="F33" i="19"/>
  <c r="H33" i="19" s="1"/>
  <c r="F31" i="19"/>
  <c r="H31" i="19" s="1"/>
  <c r="F28" i="19"/>
  <c r="H28" i="19" s="1"/>
  <c r="F27" i="19"/>
  <c r="H27" i="19" s="1"/>
  <c r="F26" i="19"/>
  <c r="H26" i="19" s="1"/>
  <c r="H28" i="7"/>
  <c r="H31" i="7" s="1"/>
  <c r="H16" i="7"/>
  <c r="B22" i="7"/>
  <c r="U22" i="7" s="1"/>
  <c r="U32" i="7" s="1"/>
  <c r="B55" i="18"/>
  <c r="R55" i="18" s="1"/>
  <c r="R65" i="18" s="1"/>
  <c r="B22" i="18"/>
  <c r="K22" i="18" s="1"/>
  <c r="K26" i="18" s="1"/>
  <c r="B71" i="7"/>
  <c r="M71" i="7" s="1"/>
  <c r="M81" i="7" s="1"/>
  <c r="B38" i="18"/>
  <c r="AI38" i="18" s="1"/>
  <c r="AI48" i="18" s="1"/>
  <c r="B5" i="18"/>
  <c r="AT5" i="18" s="1"/>
  <c r="AT15" i="18" s="1"/>
  <c r="B55" i="7"/>
  <c r="G54" i="7" s="1"/>
  <c r="B38" i="7"/>
  <c r="AH38" i="7" s="1"/>
  <c r="AH48" i="7" s="1"/>
  <c r="B5" i="7"/>
  <c r="AG5" i="7" s="1"/>
  <c r="AG15" i="7" s="1"/>
  <c r="H82" i="18"/>
  <c r="M27" i="18"/>
  <c r="L24" i="18"/>
  <c r="L7" i="18"/>
  <c r="M10" i="18"/>
  <c r="H33" i="18"/>
  <c r="H28" i="18"/>
  <c r="H16" i="18"/>
  <c r="N43" i="18"/>
  <c r="M40" i="18"/>
  <c r="H11" i="18"/>
  <c r="H44" i="18"/>
  <c r="L57" i="18"/>
  <c r="B59" i="18" s="1"/>
  <c r="M60" i="18"/>
  <c r="L73" i="18"/>
  <c r="B75" i="18" s="1"/>
  <c r="M76" i="18"/>
  <c r="H61" i="18"/>
  <c r="H66" i="18"/>
  <c r="H77" i="18"/>
  <c r="L73" i="7"/>
  <c r="M76" i="7"/>
  <c r="H77" i="7"/>
  <c r="M43" i="7"/>
  <c r="L40" i="7"/>
  <c r="H44" i="7"/>
  <c r="M60" i="7"/>
  <c r="L57" i="7"/>
  <c r="H61" i="7"/>
  <c r="M27" i="7"/>
  <c r="M24" i="7" s="1"/>
  <c r="H6" i="25" l="1"/>
  <c r="D68" i="25" s="1"/>
  <c r="M6" i="25"/>
  <c r="I6" i="25"/>
  <c r="L6" i="25"/>
  <c r="K6" i="25"/>
  <c r="J6" i="25"/>
  <c r="N6" i="25"/>
  <c r="AS5" i="22"/>
  <c r="AK5" i="22"/>
  <c r="AC5" i="22"/>
  <c r="U5" i="22"/>
  <c r="M5" i="22"/>
  <c r="AB5" i="22"/>
  <c r="L5" i="22"/>
  <c r="AR5" i="22"/>
  <c r="AJ5" i="22"/>
  <c r="T5" i="22"/>
  <c r="AQ5" i="22"/>
  <c r="AI5" i="22"/>
  <c r="AA5" i="22"/>
  <c r="S5" i="22"/>
  <c r="K5" i="22"/>
  <c r="AO5" i="22"/>
  <c r="AG5" i="22"/>
  <c r="Y5" i="22"/>
  <c r="Q5" i="22"/>
  <c r="I5" i="22"/>
  <c r="AN5" i="22"/>
  <c r="X5" i="22"/>
  <c r="P5" i="22"/>
  <c r="AV5" i="22"/>
  <c r="AF5" i="22"/>
  <c r="D5" i="22"/>
  <c r="AU5" i="22"/>
  <c r="AM5" i="22"/>
  <c r="AE5" i="22"/>
  <c r="W5" i="22"/>
  <c r="O5" i="22"/>
  <c r="AH5" i="22"/>
  <c r="Z5" i="22"/>
  <c r="N5" i="22"/>
  <c r="V5" i="22"/>
  <c r="R5" i="22"/>
  <c r="AT5" i="22"/>
  <c r="AD5" i="22"/>
  <c r="AP5" i="22"/>
  <c r="J5" i="22"/>
  <c r="AL5" i="22"/>
  <c r="G4" i="22"/>
  <c r="AK22" i="22"/>
  <c r="AC22" i="22"/>
  <c r="U22" i="22"/>
  <c r="M22" i="22"/>
  <c r="AJ22" i="22"/>
  <c r="AB22" i="22"/>
  <c r="T22" i="22"/>
  <c r="L22" i="22"/>
  <c r="AO22" i="22"/>
  <c r="AG22" i="22"/>
  <c r="Y22" i="22"/>
  <c r="Q22" i="22"/>
  <c r="I22" i="22"/>
  <c r="AL22" i="22"/>
  <c r="X22" i="22"/>
  <c r="K22" i="22"/>
  <c r="AI22" i="22"/>
  <c r="W22" i="22"/>
  <c r="J22" i="22"/>
  <c r="AH22" i="22"/>
  <c r="V22" i="22"/>
  <c r="D22" i="22"/>
  <c r="AF22" i="22"/>
  <c r="S22" i="22"/>
  <c r="AE22" i="22"/>
  <c r="R22" i="22"/>
  <c r="G21" i="22"/>
  <c r="AM22" i="22"/>
  <c r="N22" i="22"/>
  <c r="AD22" i="22"/>
  <c r="P22" i="22"/>
  <c r="AN22" i="22"/>
  <c r="AA22" i="22"/>
  <c r="O22" i="22"/>
  <c r="Z22" i="22"/>
  <c r="AD38" i="22"/>
  <c r="V38" i="22"/>
  <c r="N38" i="22"/>
  <c r="G37" i="22"/>
  <c r="AE38" i="22"/>
  <c r="U38" i="22"/>
  <c r="L38" i="22"/>
  <c r="AI38" i="22"/>
  <c r="Z38" i="22"/>
  <c r="Q38" i="22"/>
  <c r="D38" i="22"/>
  <c r="AH38" i="22"/>
  <c r="W38" i="22"/>
  <c r="J38" i="22"/>
  <c r="AF38" i="22"/>
  <c r="S38" i="22"/>
  <c r="AC38" i="22"/>
  <c r="R38" i="22"/>
  <c r="AB38" i="22"/>
  <c r="P38" i="22"/>
  <c r="AA38" i="22"/>
  <c r="O38" i="22"/>
  <c r="Y38" i="22"/>
  <c r="M38" i="22"/>
  <c r="AG38" i="22"/>
  <c r="X38" i="22"/>
  <c r="T38" i="22"/>
  <c r="K38" i="22"/>
  <c r="I38" i="22"/>
  <c r="AJ38" i="22"/>
  <c r="Y55" i="22"/>
  <c r="Q55" i="22"/>
  <c r="I55" i="22"/>
  <c r="V55" i="22"/>
  <c r="M55" i="22"/>
  <c r="T55" i="22"/>
  <c r="K55" i="22"/>
  <c r="S55" i="22"/>
  <c r="J55" i="22"/>
  <c r="R55" i="22"/>
  <c r="X55" i="22"/>
  <c r="O55" i="22"/>
  <c r="G54" i="22"/>
  <c r="Z55" i="22"/>
  <c r="W55" i="22"/>
  <c r="U55" i="22"/>
  <c r="P55" i="22"/>
  <c r="N55" i="22"/>
  <c r="L55" i="22"/>
  <c r="D55" i="22"/>
  <c r="X71" i="22"/>
  <c r="P71" i="22"/>
  <c r="W71" i="22"/>
  <c r="O71" i="22"/>
  <c r="S71" i="22"/>
  <c r="I71" i="22"/>
  <c r="R71" i="22"/>
  <c r="G70" i="22"/>
  <c r="Q71" i="22"/>
  <c r="N71" i="22"/>
  <c r="M71" i="22"/>
  <c r="V71" i="22"/>
  <c r="L71" i="22"/>
  <c r="U71" i="22"/>
  <c r="K71" i="22"/>
  <c r="T71" i="22"/>
  <c r="J71" i="22"/>
  <c r="D71" i="22"/>
  <c r="D71" i="18"/>
  <c r="P71" i="18"/>
  <c r="P81" i="18" s="1"/>
  <c r="G70" i="18"/>
  <c r="O71" i="18"/>
  <c r="O81" i="18" s="1"/>
  <c r="U71" i="18"/>
  <c r="U81" i="18" s="1"/>
  <c r="X71" i="18"/>
  <c r="X81" i="18" s="1"/>
  <c r="I71" i="18"/>
  <c r="I81" i="18" s="1"/>
  <c r="J71" i="18"/>
  <c r="J81" i="18" s="1"/>
  <c r="W71" i="18"/>
  <c r="W81" i="18" s="1"/>
  <c r="K71" i="18"/>
  <c r="K75" i="18" s="1"/>
  <c r="S71" i="18"/>
  <c r="S81" i="18" s="1"/>
  <c r="Q71" i="18"/>
  <c r="Q81" i="18" s="1"/>
  <c r="L71" i="18"/>
  <c r="L81" i="18" s="1"/>
  <c r="T71" i="18"/>
  <c r="T81" i="18" s="1"/>
  <c r="N71" i="18"/>
  <c r="N81" i="18" s="1"/>
  <c r="M71" i="18"/>
  <c r="M75" i="18" s="1"/>
  <c r="V71" i="18"/>
  <c r="V81" i="18" s="1"/>
  <c r="F30" i="19"/>
  <c r="H30" i="19" s="1"/>
  <c r="K71" i="7"/>
  <c r="K81" i="7" s="1"/>
  <c r="O71" i="7"/>
  <c r="O81" i="7" s="1"/>
  <c r="X71" i="7"/>
  <c r="X81" i="7" s="1"/>
  <c r="V55" i="7"/>
  <c r="V65" i="7" s="1"/>
  <c r="N55" i="7"/>
  <c r="N65" i="7" s="1"/>
  <c r="Y55" i="7"/>
  <c r="Y65" i="7" s="1"/>
  <c r="P55" i="7"/>
  <c r="P65" i="7" s="1"/>
  <c r="O55" i="7"/>
  <c r="O65" i="7" s="1"/>
  <c r="W55" i="7"/>
  <c r="W65" i="7" s="1"/>
  <c r="AU5" i="18"/>
  <c r="AU15" i="18" s="1"/>
  <c r="AA5" i="18"/>
  <c r="AA15" i="18" s="1"/>
  <c r="O38" i="18"/>
  <c r="O48" i="18" s="1"/>
  <c r="U55" i="18"/>
  <c r="U65" i="18" s="1"/>
  <c r="AB5" i="18"/>
  <c r="AB15" i="18" s="1"/>
  <c r="S22" i="7"/>
  <c r="S32" i="7" s="1"/>
  <c r="J5" i="18"/>
  <c r="J15" i="18" s="1"/>
  <c r="S22" i="18"/>
  <c r="S32" i="18" s="1"/>
  <c r="G21" i="7"/>
  <c r="S5" i="18"/>
  <c r="S15" i="18" s="1"/>
  <c r="Z38" i="18"/>
  <c r="Z48" i="18" s="1"/>
  <c r="AE38" i="18"/>
  <c r="AE48" i="18" s="1"/>
  <c r="K5" i="18"/>
  <c r="K15" i="18" s="1"/>
  <c r="AG38" i="18"/>
  <c r="AG48" i="18" s="1"/>
  <c r="AG5" i="18"/>
  <c r="AG15" i="18" s="1"/>
  <c r="M5" i="18"/>
  <c r="M15" i="18" s="1"/>
  <c r="AQ5" i="18"/>
  <c r="AQ15" i="18" s="1"/>
  <c r="Q5" i="18"/>
  <c r="Q15" i="18" s="1"/>
  <c r="AD5" i="18"/>
  <c r="AD15" i="18" s="1"/>
  <c r="K22" i="7"/>
  <c r="K26" i="7" s="1"/>
  <c r="K28" i="7" s="1"/>
  <c r="K31" i="7" s="1"/>
  <c r="AC5" i="18"/>
  <c r="AC15" i="18" s="1"/>
  <c r="AF5" i="18"/>
  <c r="AF15" i="18" s="1"/>
  <c r="Q71" i="7"/>
  <c r="Q81" i="7" s="1"/>
  <c r="J55" i="18"/>
  <c r="J59" i="18" s="1"/>
  <c r="I55" i="18"/>
  <c r="I65" i="18" s="1"/>
  <c r="X5" i="7"/>
  <c r="X15" i="7" s="1"/>
  <c r="V22" i="7"/>
  <c r="V32" i="7" s="1"/>
  <c r="AM22" i="7"/>
  <c r="AM32" i="7" s="1"/>
  <c r="AA38" i="18"/>
  <c r="AA48" i="18" s="1"/>
  <c r="AL22" i="18"/>
  <c r="AL32" i="18" s="1"/>
  <c r="M22" i="7"/>
  <c r="M32" i="7" s="1"/>
  <c r="AF22" i="7"/>
  <c r="AF32" i="7" s="1"/>
  <c r="T22" i="7"/>
  <c r="T32" i="7" s="1"/>
  <c r="S38" i="18"/>
  <c r="S48" i="18" s="1"/>
  <c r="P55" i="18"/>
  <c r="P65" i="18" s="1"/>
  <c r="J22" i="7"/>
  <c r="J32" i="7" s="1"/>
  <c r="AB22" i="7"/>
  <c r="AB32" i="7" s="1"/>
  <c r="K55" i="18"/>
  <c r="K59" i="18" s="1"/>
  <c r="K61" i="18" s="1"/>
  <c r="K64" i="18" s="1"/>
  <c r="W38" i="18"/>
  <c r="W48" i="18" s="1"/>
  <c r="R22" i="7"/>
  <c r="R32" i="7" s="1"/>
  <c r="AL22" i="7"/>
  <c r="AL32" i="7" s="1"/>
  <c r="Z22" i="7"/>
  <c r="Z32" i="7" s="1"/>
  <c r="AJ22" i="7"/>
  <c r="AJ32" i="7" s="1"/>
  <c r="AC22" i="7"/>
  <c r="AC32" i="7" s="1"/>
  <c r="AO22" i="7"/>
  <c r="AO32" i="7" s="1"/>
  <c r="T38" i="7"/>
  <c r="T48" i="7" s="1"/>
  <c r="W22" i="7"/>
  <c r="W32" i="7" s="1"/>
  <c r="D22" i="7"/>
  <c r="AH22" i="7"/>
  <c r="AH32" i="7" s="1"/>
  <c r="L22" i="7"/>
  <c r="L32" i="7" s="1"/>
  <c r="AI22" i="7"/>
  <c r="AI32" i="7" s="1"/>
  <c r="J38" i="7"/>
  <c r="J42" i="7" s="1"/>
  <c r="J44" i="7" s="1"/>
  <c r="J47" i="7" s="1"/>
  <c r="AD22" i="7"/>
  <c r="AD32" i="7" s="1"/>
  <c r="AG22" i="7"/>
  <c r="AG32" i="7" s="1"/>
  <c r="P22" i="7"/>
  <c r="P32" i="7" s="1"/>
  <c r="Y22" i="7"/>
  <c r="Y32" i="7" s="1"/>
  <c r="I22" i="7"/>
  <c r="I26" i="7" s="1"/>
  <c r="I28" i="7" s="1"/>
  <c r="I31" i="7" s="1"/>
  <c r="Q22" i="7"/>
  <c r="Q32" i="7" s="1"/>
  <c r="AV5" i="7"/>
  <c r="AV9" i="7" s="1"/>
  <c r="X22" i="7"/>
  <c r="X32" i="7" s="1"/>
  <c r="AK22" i="7"/>
  <c r="AK32" i="7" s="1"/>
  <c r="O22" i="7"/>
  <c r="O32" i="7" s="1"/>
  <c r="N22" i="7"/>
  <c r="N32" i="7" s="1"/>
  <c r="AN22" i="7"/>
  <c r="AN32" i="7" s="1"/>
  <c r="AE22" i="7"/>
  <c r="AE32" i="7" s="1"/>
  <c r="AA22" i="7"/>
  <c r="AA32" i="7" s="1"/>
  <c r="AL5" i="18"/>
  <c r="AL15" i="18" s="1"/>
  <c r="AS5" i="18"/>
  <c r="AS15" i="18" s="1"/>
  <c r="T5" i="18"/>
  <c r="T15" i="18" s="1"/>
  <c r="D5" i="18"/>
  <c r="S55" i="7"/>
  <c r="S65" i="7" s="1"/>
  <c r="Z38" i="7"/>
  <c r="Z48" i="7" s="1"/>
  <c r="AM5" i="18"/>
  <c r="AM15" i="18" s="1"/>
  <c r="AK5" i="18"/>
  <c r="AK15" i="18" s="1"/>
  <c r="Z5" i="18"/>
  <c r="Z15" i="18" s="1"/>
  <c r="Y5" i="18"/>
  <c r="Y15" i="18" s="1"/>
  <c r="N5" i="18"/>
  <c r="N15" i="18" s="1"/>
  <c r="I38" i="7"/>
  <c r="I48" i="7" s="1"/>
  <c r="U5" i="18"/>
  <c r="U15" i="18" s="1"/>
  <c r="Q55" i="7"/>
  <c r="Q65" i="7" s="1"/>
  <c r="K55" i="7"/>
  <c r="K65" i="7" s="1"/>
  <c r="D55" i="7"/>
  <c r="Z55" i="7"/>
  <c r="Z65" i="7" s="1"/>
  <c r="AE5" i="18"/>
  <c r="AE15" i="18" s="1"/>
  <c r="AP5" i="18"/>
  <c r="AP15" i="18" s="1"/>
  <c r="P5" i="18"/>
  <c r="P15" i="18" s="1"/>
  <c r="L5" i="18"/>
  <c r="L15" i="18" s="1"/>
  <c r="AJ5" i="18"/>
  <c r="AJ15" i="18" s="1"/>
  <c r="S38" i="7"/>
  <c r="S48" i="7" s="1"/>
  <c r="AJ38" i="7"/>
  <c r="AJ48" i="7" s="1"/>
  <c r="AA38" i="7"/>
  <c r="AA48" i="7" s="1"/>
  <c r="U55" i="7"/>
  <c r="U65" i="7" s="1"/>
  <c r="Q38" i="7"/>
  <c r="Q48" i="7" s="1"/>
  <c r="U38" i="7"/>
  <c r="U48" i="7" s="1"/>
  <c r="M55" i="7"/>
  <c r="M65" i="7" s="1"/>
  <c r="R55" i="7"/>
  <c r="R65" i="7" s="1"/>
  <c r="AF38" i="7"/>
  <c r="AF48" i="7" s="1"/>
  <c r="I55" i="7"/>
  <c r="I59" i="7" s="1"/>
  <c r="T55" i="7"/>
  <c r="T65" i="7" s="1"/>
  <c r="J55" i="7"/>
  <c r="J65" i="7" s="1"/>
  <c r="S71" i="7"/>
  <c r="S81" i="7" s="1"/>
  <c r="AF38" i="18"/>
  <c r="AF48" i="18" s="1"/>
  <c r="W5" i="18"/>
  <c r="W15" i="18" s="1"/>
  <c r="AR5" i="18"/>
  <c r="AR15" i="18" s="1"/>
  <c r="AC38" i="18"/>
  <c r="AC48" i="18" s="1"/>
  <c r="G4" i="18"/>
  <c r="AO5" i="18"/>
  <c r="AO15" i="18" s="1"/>
  <c r="I5" i="18"/>
  <c r="I9" i="18" s="1"/>
  <c r="I11" i="18" s="1"/>
  <c r="I14" i="18" s="1"/>
  <c r="P38" i="7"/>
  <c r="P48" i="7" s="1"/>
  <c r="K38" i="7"/>
  <c r="K48" i="7" s="1"/>
  <c r="L55" i="7"/>
  <c r="L59" i="7" s="1"/>
  <c r="X55" i="7"/>
  <c r="X65" i="7" s="1"/>
  <c r="D38" i="18"/>
  <c r="O5" i="18"/>
  <c r="O15" i="18" s="1"/>
  <c r="AI5" i="18"/>
  <c r="AI15" i="18" s="1"/>
  <c r="AN5" i="18"/>
  <c r="AN15" i="18" s="1"/>
  <c r="AV5" i="18"/>
  <c r="AV15" i="18" s="1"/>
  <c r="X5" i="18"/>
  <c r="X15" i="18" s="1"/>
  <c r="AH5" i="18"/>
  <c r="AH15" i="18" s="1"/>
  <c r="D38" i="7"/>
  <c r="G37" i="7"/>
  <c r="AC38" i="7"/>
  <c r="AC48" i="7" s="1"/>
  <c r="M38" i="7"/>
  <c r="M48" i="7" s="1"/>
  <c r="S55" i="18"/>
  <c r="S65" i="18" s="1"/>
  <c r="G54" i="18"/>
  <c r="Z55" i="18"/>
  <c r="Z65" i="18" s="1"/>
  <c r="D55" i="18"/>
  <c r="M22" i="18"/>
  <c r="M32" i="18" s="1"/>
  <c r="Y55" i="18"/>
  <c r="Y65" i="18" s="1"/>
  <c r="AD38" i="7"/>
  <c r="AD48" i="7" s="1"/>
  <c r="R38" i="7"/>
  <c r="R48" i="7" s="1"/>
  <c r="L38" i="7"/>
  <c r="L48" i="7" s="1"/>
  <c r="L55" i="18"/>
  <c r="L59" i="18" s="1"/>
  <c r="N55" i="18"/>
  <c r="N65" i="18" s="1"/>
  <c r="G21" i="18"/>
  <c r="AA22" i="18"/>
  <c r="AA32" i="18" s="1"/>
  <c r="AG38" i="7"/>
  <c r="AG48" i="7" s="1"/>
  <c r="V38" i="7"/>
  <c r="V48" i="7" s="1"/>
  <c r="AB38" i="7"/>
  <c r="AB48" i="7" s="1"/>
  <c r="T55" i="18"/>
  <c r="T65" i="18" s="1"/>
  <c r="T22" i="18"/>
  <c r="T32" i="18" s="1"/>
  <c r="R22" i="18"/>
  <c r="R32" i="18" s="1"/>
  <c r="R5" i="18"/>
  <c r="R15" i="18" s="1"/>
  <c r="L22" i="18"/>
  <c r="L32" i="18" s="1"/>
  <c r="Y38" i="7"/>
  <c r="Y48" i="7" s="1"/>
  <c r="N38" i="7"/>
  <c r="N48" i="7" s="1"/>
  <c r="O38" i="7"/>
  <c r="O48" i="7" s="1"/>
  <c r="AI38" i="7"/>
  <c r="AI48" i="7" s="1"/>
  <c r="M55" i="18"/>
  <c r="M59" i="18" s="1"/>
  <c r="Q55" i="18"/>
  <c r="Q65" i="18" s="1"/>
  <c r="W55" i="18"/>
  <c r="W65" i="18" s="1"/>
  <c r="AI22" i="18"/>
  <c r="AI32" i="18" s="1"/>
  <c r="AB22" i="18"/>
  <c r="AB32" i="18" s="1"/>
  <c r="X22" i="18"/>
  <c r="X32" i="18" s="1"/>
  <c r="X38" i="7"/>
  <c r="X48" i="7" s="1"/>
  <c r="AE38" i="7"/>
  <c r="AE48" i="7" s="1"/>
  <c r="W38" i="7"/>
  <c r="W48" i="7" s="1"/>
  <c r="X55" i="18"/>
  <c r="X65" i="18" s="1"/>
  <c r="O55" i="18"/>
  <c r="O65" i="18" s="1"/>
  <c r="AC22" i="18"/>
  <c r="AC32" i="18" s="1"/>
  <c r="V55" i="18"/>
  <c r="V65" i="18" s="1"/>
  <c r="V5" i="18"/>
  <c r="V15" i="18" s="1"/>
  <c r="L71" i="7"/>
  <c r="L75" i="7" s="1"/>
  <c r="K38" i="18"/>
  <c r="K42" i="18" s="1"/>
  <c r="W22" i="18"/>
  <c r="W32" i="18" s="1"/>
  <c r="Q38" i="18"/>
  <c r="Q48" i="18" s="1"/>
  <c r="V38" i="18"/>
  <c r="V48" i="18" s="1"/>
  <c r="N71" i="7"/>
  <c r="N81" i="7" s="1"/>
  <c r="X38" i="18"/>
  <c r="X48" i="18" s="1"/>
  <c r="V22" i="18"/>
  <c r="V32" i="18" s="1"/>
  <c r="AF22" i="18"/>
  <c r="AF32" i="18" s="1"/>
  <c r="I71" i="7"/>
  <c r="I75" i="7" s="1"/>
  <c r="W71" i="7"/>
  <c r="W81" i="7" s="1"/>
  <c r="P38" i="18"/>
  <c r="P48" i="18" s="1"/>
  <c r="J22" i="18"/>
  <c r="J26" i="18" s="1"/>
  <c r="AH22" i="18"/>
  <c r="AH32" i="18" s="1"/>
  <c r="AN22" i="18"/>
  <c r="AN32" i="18" s="1"/>
  <c r="M38" i="18"/>
  <c r="M48" i="18" s="1"/>
  <c r="AD38" i="18"/>
  <c r="AD48" i="18" s="1"/>
  <c r="G37" i="18"/>
  <c r="J38" i="18"/>
  <c r="J48" i="18" s="1"/>
  <c r="N38" i="18"/>
  <c r="N48" i="18" s="1"/>
  <c r="I38" i="18"/>
  <c r="I42" i="18" s="1"/>
  <c r="I44" i="18" s="1"/>
  <c r="I47" i="18" s="1"/>
  <c r="R71" i="7"/>
  <c r="R81" i="7" s="1"/>
  <c r="T71" i="7"/>
  <c r="T81" i="7" s="1"/>
  <c r="AG22" i="18"/>
  <c r="AG32" i="18" s="1"/>
  <c r="K32" i="18"/>
  <c r="K33" i="18" s="1"/>
  <c r="O22" i="18"/>
  <c r="O32" i="18" s="1"/>
  <c r="AE22" i="18"/>
  <c r="AE32" i="18" s="1"/>
  <c r="T38" i="18"/>
  <c r="T48" i="18" s="1"/>
  <c r="AH38" i="18"/>
  <c r="AH48" i="18" s="1"/>
  <c r="AJ5" i="7"/>
  <c r="AJ15" i="7" s="1"/>
  <c r="U71" i="7"/>
  <c r="U81" i="7" s="1"/>
  <c r="V71" i="7"/>
  <c r="V81" i="7" s="1"/>
  <c r="Q22" i="18"/>
  <c r="Q32" i="18" s="1"/>
  <c r="Z22" i="18"/>
  <c r="Z32" i="18" s="1"/>
  <c r="AM22" i="18"/>
  <c r="AM32" i="18" s="1"/>
  <c r="R38" i="18"/>
  <c r="R48" i="18" s="1"/>
  <c r="L38" i="18"/>
  <c r="L42" i="18" s="1"/>
  <c r="L44" i="18" s="1"/>
  <c r="L47" i="18" s="1"/>
  <c r="U38" i="18"/>
  <c r="U48" i="18" s="1"/>
  <c r="AB5" i="7"/>
  <c r="AB15" i="7" s="1"/>
  <c r="D71" i="7"/>
  <c r="J71" i="7"/>
  <c r="J75" i="7" s="1"/>
  <c r="AD22" i="18"/>
  <c r="AD32" i="18" s="1"/>
  <c r="AO22" i="18"/>
  <c r="AO32" i="18" s="1"/>
  <c r="AJ22" i="18"/>
  <c r="AJ32" i="18" s="1"/>
  <c r="D22" i="18"/>
  <c r="AB38" i="18"/>
  <c r="AB48" i="18" s="1"/>
  <c r="AJ38" i="18"/>
  <c r="AJ48" i="18" s="1"/>
  <c r="Y38" i="18"/>
  <c r="Y48" i="18" s="1"/>
  <c r="P71" i="7"/>
  <c r="P81" i="7" s="1"/>
  <c r="G70" i="7"/>
  <c r="AK22" i="18"/>
  <c r="AK32" i="18" s="1"/>
  <c r="N22" i="18"/>
  <c r="N32" i="18" s="1"/>
  <c r="Y22" i="18"/>
  <c r="Y32" i="18" s="1"/>
  <c r="U22" i="18"/>
  <c r="U32" i="18" s="1"/>
  <c r="I22" i="18"/>
  <c r="I26" i="18" s="1"/>
  <c r="P22" i="18"/>
  <c r="P32" i="18" s="1"/>
  <c r="AK5" i="7"/>
  <c r="AK15" i="7" s="1"/>
  <c r="AF5" i="7"/>
  <c r="AF15" i="7" s="1"/>
  <c r="AC5" i="7"/>
  <c r="AC15" i="7" s="1"/>
  <c r="AN5" i="7"/>
  <c r="AN15" i="7" s="1"/>
  <c r="L5" i="7"/>
  <c r="L15" i="7" s="1"/>
  <c r="AA5" i="7"/>
  <c r="AA15" i="7" s="1"/>
  <c r="AH5" i="7"/>
  <c r="AH15" i="7" s="1"/>
  <c r="W5" i="7"/>
  <c r="W15" i="7" s="1"/>
  <c r="Z5" i="7"/>
  <c r="Z15" i="7" s="1"/>
  <c r="AT5" i="7"/>
  <c r="AT15" i="7" s="1"/>
  <c r="AQ5" i="7"/>
  <c r="AQ9" i="7" s="1"/>
  <c r="U5" i="7"/>
  <c r="U15" i="7" s="1"/>
  <c r="AD5" i="7"/>
  <c r="AD15" i="7" s="1"/>
  <c r="M5" i="7"/>
  <c r="M15" i="7" s="1"/>
  <c r="J5" i="7"/>
  <c r="J15" i="7" s="1"/>
  <c r="AO5" i="7"/>
  <c r="AO15" i="7" s="1"/>
  <c r="G4" i="7"/>
  <c r="AL5" i="7"/>
  <c r="AL15" i="7" s="1"/>
  <c r="R5" i="7"/>
  <c r="R15" i="7" s="1"/>
  <c r="Q5" i="7"/>
  <c r="Q15" i="7" s="1"/>
  <c r="AM5" i="7"/>
  <c r="AM15" i="7" s="1"/>
  <c r="V5" i="7"/>
  <c r="V15" i="7" s="1"/>
  <c r="AR5" i="7"/>
  <c r="AR15" i="7" s="1"/>
  <c r="K5" i="7"/>
  <c r="K9" i="7" s="1"/>
  <c r="AI5" i="7"/>
  <c r="AI15" i="7" s="1"/>
  <c r="D5" i="7"/>
  <c r="S5" i="7"/>
  <c r="S15" i="7" s="1"/>
  <c r="AE5" i="7"/>
  <c r="AE15" i="7" s="1"/>
  <c r="N5" i="7"/>
  <c r="N15" i="7" s="1"/>
  <c r="T5" i="7"/>
  <c r="T15" i="7" s="1"/>
  <c r="I5" i="7"/>
  <c r="I9" i="7" s="1"/>
  <c r="P5" i="7"/>
  <c r="P15" i="7" s="1"/>
  <c r="O5" i="7"/>
  <c r="O15" i="7" s="1"/>
  <c r="AS5" i="7"/>
  <c r="AS15" i="7" s="1"/>
  <c r="AP5" i="7"/>
  <c r="AP15" i="7" s="1"/>
  <c r="Y5" i="7"/>
  <c r="Y15" i="7" s="1"/>
  <c r="AU5" i="7"/>
  <c r="AU15" i="7" s="1"/>
  <c r="AG9" i="7"/>
  <c r="AG16" i="7" s="1"/>
  <c r="M57" i="18"/>
  <c r="N60" i="18"/>
  <c r="H80" i="18"/>
  <c r="M73" i="18"/>
  <c r="N76" i="18"/>
  <c r="N10" i="18"/>
  <c r="M7" i="18"/>
  <c r="M24" i="18"/>
  <c r="N27" i="18"/>
  <c r="H47" i="18"/>
  <c r="H64" i="18"/>
  <c r="O43" i="18"/>
  <c r="N40" i="18"/>
  <c r="H31" i="18"/>
  <c r="H14" i="18"/>
  <c r="K28" i="18"/>
  <c r="K31" i="18" s="1"/>
  <c r="M73" i="7"/>
  <c r="M75" i="7" s="1"/>
  <c r="N76" i="7"/>
  <c r="H80" i="7"/>
  <c r="H64" i="7"/>
  <c r="N60" i="7"/>
  <c r="M57" i="7"/>
  <c r="H47" i="7"/>
  <c r="M40" i="7"/>
  <c r="N43" i="7"/>
  <c r="N27" i="7"/>
  <c r="N24" i="7" s="1"/>
  <c r="I36" i="25" l="1"/>
  <c r="H54" i="25"/>
  <c r="H49" i="25"/>
  <c r="H18" i="25"/>
  <c r="H31" i="25"/>
  <c r="D23" i="25" s="1"/>
  <c r="D30" i="25" s="1"/>
  <c r="H36" i="25"/>
  <c r="K12" i="25"/>
  <c r="K13" i="25" s="1"/>
  <c r="K18" i="25"/>
  <c r="L12" i="25"/>
  <c r="L13" i="25" s="1"/>
  <c r="L18" i="25"/>
  <c r="I12" i="25"/>
  <c r="I13" i="25" s="1"/>
  <c r="I18" i="25"/>
  <c r="M12" i="25"/>
  <c r="M13" i="25" s="1"/>
  <c r="M18" i="25"/>
  <c r="N12" i="25"/>
  <c r="N13" i="25" s="1"/>
  <c r="N18" i="25"/>
  <c r="J12" i="25"/>
  <c r="J13" i="25" s="1"/>
  <c r="J18" i="25"/>
  <c r="H12" i="25"/>
  <c r="H13" i="25" s="1"/>
  <c r="J75" i="22"/>
  <c r="J81" i="22"/>
  <c r="Q81" i="22"/>
  <c r="Q75" i="22"/>
  <c r="X81" i="22"/>
  <c r="X75" i="22"/>
  <c r="M65" i="22"/>
  <c r="M59" i="22"/>
  <c r="T48" i="22"/>
  <c r="T42" i="22"/>
  <c r="AB48" i="22"/>
  <c r="AB42" i="22"/>
  <c r="N42" i="22"/>
  <c r="N48" i="22"/>
  <c r="AD26" i="22"/>
  <c r="AD32" i="22"/>
  <c r="AL26" i="22"/>
  <c r="AL32" i="22"/>
  <c r="AB32" i="22"/>
  <c r="AB26" i="22"/>
  <c r="J15" i="22"/>
  <c r="J9" i="22"/>
  <c r="AH15" i="22"/>
  <c r="AH9" i="22"/>
  <c r="AV15" i="22"/>
  <c r="AV9" i="22"/>
  <c r="AO9" i="22"/>
  <c r="AO15" i="22"/>
  <c r="AR15" i="22"/>
  <c r="AR9" i="22"/>
  <c r="T75" i="22"/>
  <c r="T81" i="22"/>
  <c r="O65" i="22"/>
  <c r="O59" i="22"/>
  <c r="V65" i="22"/>
  <c r="V59" i="22"/>
  <c r="X42" i="22"/>
  <c r="X48" i="22"/>
  <c r="R42" i="22"/>
  <c r="R48" i="22"/>
  <c r="Q48" i="22"/>
  <c r="Q42" i="22"/>
  <c r="V48" i="22"/>
  <c r="V42" i="22"/>
  <c r="N32" i="22"/>
  <c r="N26" i="22"/>
  <c r="V32" i="22"/>
  <c r="V26" i="22"/>
  <c r="I32" i="22"/>
  <c r="I26" i="22"/>
  <c r="AJ32" i="22"/>
  <c r="AJ26" i="22"/>
  <c r="AP15" i="22"/>
  <c r="AP9" i="22"/>
  <c r="O15" i="22"/>
  <c r="O9" i="22"/>
  <c r="P15" i="22"/>
  <c r="P9" i="22"/>
  <c r="K15" i="22"/>
  <c r="K9" i="22"/>
  <c r="L15" i="22"/>
  <c r="L9" i="22"/>
  <c r="R75" i="22"/>
  <c r="R81" i="22"/>
  <c r="X59" i="22"/>
  <c r="X65" i="22"/>
  <c r="AC48" i="22"/>
  <c r="AC42" i="22"/>
  <c r="AM26" i="22"/>
  <c r="AM32" i="22"/>
  <c r="M32" i="22"/>
  <c r="M26" i="22"/>
  <c r="AD9" i="22"/>
  <c r="AD15" i="22"/>
  <c r="W9" i="22"/>
  <c r="W15" i="22"/>
  <c r="X15" i="22"/>
  <c r="X9" i="22"/>
  <c r="U75" i="22"/>
  <c r="U81" i="22"/>
  <c r="I81" i="22"/>
  <c r="I75" i="22"/>
  <c r="N65" i="22"/>
  <c r="N59" i="22"/>
  <c r="R59" i="22"/>
  <c r="R65" i="22"/>
  <c r="Q59" i="22"/>
  <c r="Q65" i="22"/>
  <c r="M48" i="22"/>
  <c r="M42" i="22"/>
  <c r="S48" i="22"/>
  <c r="S42" i="22"/>
  <c r="AI48" i="22"/>
  <c r="AI42" i="22"/>
  <c r="Z32" i="22"/>
  <c r="Z26" i="22"/>
  <c r="J32" i="22"/>
  <c r="J26" i="22"/>
  <c r="Y32" i="22"/>
  <c r="Y26" i="22"/>
  <c r="U32" i="22"/>
  <c r="U26" i="22"/>
  <c r="AT15" i="22"/>
  <c r="AT9" i="22"/>
  <c r="AE9" i="22"/>
  <c r="AE15" i="22"/>
  <c r="AN15" i="22"/>
  <c r="AN9" i="22"/>
  <c r="AA15" i="22"/>
  <c r="AA9" i="22"/>
  <c r="M15" i="22"/>
  <c r="M9" i="22"/>
  <c r="K75" i="22"/>
  <c r="K81" i="22"/>
  <c r="I59" i="22"/>
  <c r="I65" i="22"/>
  <c r="Z42" i="22"/>
  <c r="Z48" i="22"/>
  <c r="AH32" i="22"/>
  <c r="AH26" i="22"/>
  <c r="S15" i="22"/>
  <c r="S9" i="22"/>
  <c r="L75" i="22"/>
  <c r="L81" i="22"/>
  <c r="S75" i="22"/>
  <c r="S81" i="22"/>
  <c r="P59" i="22"/>
  <c r="P65" i="22"/>
  <c r="J59" i="22"/>
  <c r="J65" i="22"/>
  <c r="Y59" i="22"/>
  <c r="Y65" i="22"/>
  <c r="Y42" i="22"/>
  <c r="Y48" i="22"/>
  <c r="AF42" i="22"/>
  <c r="AF48" i="22"/>
  <c r="L48" i="22"/>
  <c r="L42" i="22"/>
  <c r="O26" i="22"/>
  <c r="O32" i="22"/>
  <c r="R32" i="22"/>
  <c r="R26" i="22"/>
  <c r="W32" i="22"/>
  <c r="W26" i="22"/>
  <c r="AG32" i="22"/>
  <c r="AG26" i="22"/>
  <c r="AC32" i="22"/>
  <c r="AC26" i="22"/>
  <c r="R15" i="22"/>
  <c r="R9" i="22"/>
  <c r="AM15" i="22"/>
  <c r="AM9" i="22"/>
  <c r="I9" i="22"/>
  <c r="I15" i="22"/>
  <c r="AI15" i="22"/>
  <c r="AI9" i="22"/>
  <c r="U9" i="22"/>
  <c r="U15" i="22"/>
  <c r="L65" i="22"/>
  <c r="L59" i="22"/>
  <c r="AG42" i="22"/>
  <c r="AG48" i="22"/>
  <c r="AD48" i="22"/>
  <c r="AD42" i="22"/>
  <c r="Q26" i="22"/>
  <c r="Q32" i="22"/>
  <c r="AB15" i="22"/>
  <c r="AB9" i="22"/>
  <c r="V75" i="22"/>
  <c r="V81" i="22"/>
  <c r="O81" i="22"/>
  <c r="O75" i="22"/>
  <c r="U65" i="22"/>
  <c r="U59" i="22"/>
  <c r="S65" i="22"/>
  <c r="S59" i="22"/>
  <c r="AJ48" i="22"/>
  <c r="AJ42" i="22"/>
  <c r="O42" i="22"/>
  <c r="O48" i="22"/>
  <c r="J42" i="22"/>
  <c r="J48" i="22"/>
  <c r="U42" i="22"/>
  <c r="U48" i="22"/>
  <c r="AA26" i="22"/>
  <c r="AA32" i="22"/>
  <c r="AE26" i="22"/>
  <c r="AE32" i="22"/>
  <c r="AI26" i="22"/>
  <c r="AI32" i="22"/>
  <c r="AO32" i="22"/>
  <c r="AO26" i="22"/>
  <c r="AK32" i="22"/>
  <c r="AK26" i="22"/>
  <c r="V9" i="22"/>
  <c r="V15" i="22"/>
  <c r="AU15" i="22"/>
  <c r="AU9" i="22"/>
  <c r="Q9" i="22"/>
  <c r="Q15" i="22"/>
  <c r="AQ15" i="22"/>
  <c r="AQ9" i="22"/>
  <c r="AC15" i="22"/>
  <c r="AC9" i="22"/>
  <c r="M75" i="22"/>
  <c r="M81" i="22"/>
  <c r="W75" i="22"/>
  <c r="W81" i="22"/>
  <c r="W65" i="22"/>
  <c r="W59" i="22"/>
  <c r="K65" i="22"/>
  <c r="K59" i="22"/>
  <c r="I48" i="22"/>
  <c r="I42" i="22"/>
  <c r="AA48" i="22"/>
  <c r="AA42" i="22"/>
  <c r="W42" i="22"/>
  <c r="W48" i="22"/>
  <c r="AE48" i="22"/>
  <c r="AE42" i="22"/>
  <c r="AN26" i="22"/>
  <c r="AN32" i="22"/>
  <c r="S26" i="22"/>
  <c r="S32" i="22"/>
  <c r="K26" i="22"/>
  <c r="K32" i="22"/>
  <c r="L32" i="22"/>
  <c r="L26" i="22"/>
  <c r="N15" i="22"/>
  <c r="N9" i="22"/>
  <c r="Y9" i="22"/>
  <c r="Y15" i="22"/>
  <c r="T9" i="22"/>
  <c r="T15" i="22"/>
  <c r="AK15" i="22"/>
  <c r="AK9" i="22"/>
  <c r="N75" i="22"/>
  <c r="N81" i="22"/>
  <c r="P81" i="22"/>
  <c r="P75" i="22"/>
  <c r="Z65" i="22"/>
  <c r="Z59" i="22"/>
  <c r="T65" i="22"/>
  <c r="T59" i="22"/>
  <c r="K42" i="22"/>
  <c r="K48" i="22"/>
  <c r="P48" i="22"/>
  <c r="P42" i="22"/>
  <c r="AH42" i="22"/>
  <c r="AH48" i="22"/>
  <c r="P32" i="22"/>
  <c r="P26" i="22"/>
  <c r="AF32" i="22"/>
  <c r="AF26" i="22"/>
  <c r="X32" i="22"/>
  <c r="X26" i="22"/>
  <c r="T32" i="22"/>
  <c r="T26" i="22"/>
  <c r="AL15" i="22"/>
  <c r="AL9" i="22"/>
  <c r="Z15" i="22"/>
  <c r="Z9" i="22"/>
  <c r="AF15" i="22"/>
  <c r="AF9" i="22"/>
  <c r="AG9" i="22"/>
  <c r="AG15" i="22"/>
  <c r="AJ15" i="22"/>
  <c r="AJ9" i="22"/>
  <c r="AS15" i="22"/>
  <c r="AS9" i="22"/>
  <c r="I75" i="18"/>
  <c r="I82" i="18" s="1"/>
  <c r="M81" i="18"/>
  <c r="M82" i="18" s="1"/>
  <c r="J75" i="18"/>
  <c r="J77" i="18" s="1"/>
  <c r="J80" i="18" s="1"/>
  <c r="K81" i="18"/>
  <c r="K82" i="18" s="1"/>
  <c r="L75" i="18"/>
  <c r="L77" i="18" s="1"/>
  <c r="L80" i="18" s="1"/>
  <c r="K75" i="7"/>
  <c r="K82" i="7" s="1"/>
  <c r="J48" i="7"/>
  <c r="J49" i="7" s="1"/>
  <c r="K32" i="7"/>
  <c r="K33" i="7" s="1"/>
  <c r="J9" i="18"/>
  <c r="J11" i="18" s="1"/>
  <c r="J14" i="18" s="1"/>
  <c r="K9" i="18"/>
  <c r="K11" i="18" s="1"/>
  <c r="AV15" i="7"/>
  <c r="AV16" i="7" s="1"/>
  <c r="M9" i="18"/>
  <c r="M16" i="18" s="1"/>
  <c r="J65" i="18"/>
  <c r="J66" i="18" s="1"/>
  <c r="X9" i="7"/>
  <c r="X16" i="7" s="1"/>
  <c r="L26" i="7"/>
  <c r="L33" i="7" s="1"/>
  <c r="J9" i="7"/>
  <c r="J16" i="7" s="1"/>
  <c r="I32" i="7"/>
  <c r="I33" i="7" s="1"/>
  <c r="K48" i="18"/>
  <c r="K49" i="18" s="1"/>
  <c r="J26" i="7"/>
  <c r="J33" i="7" s="1"/>
  <c r="J59" i="7"/>
  <c r="J61" i="7" s="1"/>
  <c r="J64" i="7" s="1"/>
  <c r="M59" i="7"/>
  <c r="M66" i="7" s="1"/>
  <c r="M26" i="7"/>
  <c r="M33" i="7" s="1"/>
  <c r="AH9" i="7"/>
  <c r="AH16" i="7" s="1"/>
  <c r="K59" i="7"/>
  <c r="K61" i="7" s="1"/>
  <c r="K64" i="7" s="1"/>
  <c r="I15" i="18"/>
  <c r="I16" i="18" s="1"/>
  <c r="AL9" i="7"/>
  <c r="AL16" i="7" s="1"/>
  <c r="L65" i="7"/>
  <c r="L66" i="7" s="1"/>
  <c r="J32" i="18"/>
  <c r="J33" i="18" s="1"/>
  <c r="L42" i="7"/>
  <c r="L49" i="7" s="1"/>
  <c r="I81" i="7"/>
  <c r="I82" i="7" s="1"/>
  <c r="AF9" i="7"/>
  <c r="AF16" i="7" s="1"/>
  <c r="AI9" i="7"/>
  <c r="AI16" i="7" s="1"/>
  <c r="L81" i="7"/>
  <c r="L82" i="7" s="1"/>
  <c r="AS9" i="7"/>
  <c r="AS16" i="7" s="1"/>
  <c r="AT9" i="7"/>
  <c r="AT16" i="7" s="1"/>
  <c r="J81" i="7"/>
  <c r="J82" i="7" s="1"/>
  <c r="K42" i="7"/>
  <c r="K49" i="7" s="1"/>
  <c r="L65" i="18"/>
  <c r="L66" i="18" s="1"/>
  <c r="I42" i="7"/>
  <c r="I49" i="7" s="1"/>
  <c r="Y9" i="7"/>
  <c r="Y16" i="7" s="1"/>
  <c r="K65" i="18"/>
  <c r="K66" i="18" s="1"/>
  <c r="N42" i="18"/>
  <c r="N44" i="18" s="1"/>
  <c r="N47" i="18" s="1"/>
  <c r="M42" i="7"/>
  <c r="M49" i="7" s="1"/>
  <c r="I59" i="18"/>
  <c r="I66" i="18" s="1"/>
  <c r="I65" i="7"/>
  <c r="I66" i="7" s="1"/>
  <c r="L9" i="18"/>
  <c r="L11" i="18" s="1"/>
  <c r="L14" i="18" s="1"/>
  <c r="L26" i="18"/>
  <c r="L28" i="18" s="1"/>
  <c r="L31" i="18" s="1"/>
  <c r="T9" i="7"/>
  <c r="T16" i="7" s="1"/>
  <c r="M26" i="18"/>
  <c r="M28" i="18" s="1"/>
  <c r="M31" i="18" s="1"/>
  <c r="AJ9" i="7"/>
  <c r="AJ16" i="7" s="1"/>
  <c r="M65" i="18"/>
  <c r="M66" i="18" s="1"/>
  <c r="J42" i="18"/>
  <c r="J49" i="18" s="1"/>
  <c r="I15" i="7"/>
  <c r="I16" i="7" s="1"/>
  <c r="I32" i="18"/>
  <c r="I33" i="18" s="1"/>
  <c r="AR9" i="7"/>
  <c r="AR16" i="7" s="1"/>
  <c r="AB9" i="7"/>
  <c r="AB16" i="7" s="1"/>
  <c r="M42" i="18"/>
  <c r="M49" i="18" s="1"/>
  <c r="P9" i="7"/>
  <c r="P16" i="7" s="1"/>
  <c r="I48" i="18"/>
  <c r="I49" i="18" s="1"/>
  <c r="AK9" i="7"/>
  <c r="AK16" i="7" s="1"/>
  <c r="Z9" i="7"/>
  <c r="Z16" i="7" s="1"/>
  <c r="AN9" i="7"/>
  <c r="AN16" i="7" s="1"/>
  <c r="L9" i="7"/>
  <c r="L16" i="7" s="1"/>
  <c r="L48" i="18"/>
  <c r="L49" i="18" s="1"/>
  <c r="AA9" i="7"/>
  <c r="AA16" i="7" s="1"/>
  <c r="AC9" i="7"/>
  <c r="AC16" i="7" s="1"/>
  <c r="AQ15" i="7"/>
  <c r="AQ16" i="7" s="1"/>
  <c r="AP9" i="7"/>
  <c r="AP16" i="7" s="1"/>
  <c r="AO9" i="7"/>
  <c r="AO16" i="7" s="1"/>
  <c r="W9" i="7"/>
  <c r="W16" i="7" s="1"/>
  <c r="K15" i="7"/>
  <c r="K16" i="7" s="1"/>
  <c r="AU9" i="7"/>
  <c r="AU16" i="7" s="1"/>
  <c r="AM9" i="7"/>
  <c r="AM16" i="7" s="1"/>
  <c r="R9" i="7"/>
  <c r="R16" i="7" s="1"/>
  <c r="AD9" i="7"/>
  <c r="AD16" i="7" s="1"/>
  <c r="M9" i="7"/>
  <c r="M16" i="7" s="1"/>
  <c r="AE9" i="7"/>
  <c r="AE16" i="7" s="1"/>
  <c r="O9" i="7"/>
  <c r="O16" i="7" s="1"/>
  <c r="Q9" i="7"/>
  <c r="Q16" i="7" s="1"/>
  <c r="N9" i="7"/>
  <c r="N16" i="7" s="1"/>
  <c r="V9" i="7"/>
  <c r="V16" i="7" s="1"/>
  <c r="S9" i="7"/>
  <c r="S16" i="7" s="1"/>
  <c r="U9" i="7"/>
  <c r="U16" i="7" s="1"/>
  <c r="O76" i="18"/>
  <c r="N73" i="18"/>
  <c r="N75" i="18" s="1"/>
  <c r="N57" i="18"/>
  <c r="N59" i="18" s="1"/>
  <c r="O60" i="18"/>
  <c r="O27" i="18"/>
  <c r="N24" i="18"/>
  <c r="N26" i="18" s="1"/>
  <c r="M77" i="18"/>
  <c r="M80" i="18" s="1"/>
  <c r="K44" i="18"/>
  <c r="I28" i="18"/>
  <c r="L61" i="18"/>
  <c r="L64" i="18" s="1"/>
  <c r="J28" i="18"/>
  <c r="J31" i="18" s="1"/>
  <c r="J61" i="18"/>
  <c r="J64" i="18" s="1"/>
  <c r="O40" i="18"/>
  <c r="O42" i="18" s="1"/>
  <c r="P43" i="18"/>
  <c r="O10" i="18"/>
  <c r="N7" i="18"/>
  <c r="N9" i="18" s="1"/>
  <c r="K77" i="18"/>
  <c r="K80" i="18" s="1"/>
  <c r="M61" i="18"/>
  <c r="M64" i="18" s="1"/>
  <c r="M82" i="7"/>
  <c r="L77" i="7"/>
  <c r="L80" i="7" s="1"/>
  <c r="N73" i="7"/>
  <c r="N75" i="7" s="1"/>
  <c r="O76" i="7"/>
  <c r="J77" i="7"/>
  <c r="J80" i="7" s="1"/>
  <c r="M77" i="7"/>
  <c r="M80" i="7" s="1"/>
  <c r="I77" i="7"/>
  <c r="L61" i="7"/>
  <c r="L64" i="7" s="1"/>
  <c r="O43" i="7"/>
  <c r="N40" i="7"/>
  <c r="N42" i="7" s="1"/>
  <c r="N49" i="7" s="1"/>
  <c r="I61" i="7"/>
  <c r="O60" i="7"/>
  <c r="N57" i="7"/>
  <c r="N59" i="7" s="1"/>
  <c r="N26" i="7"/>
  <c r="N33" i="7" s="1"/>
  <c r="O27" i="7"/>
  <c r="O24" i="7" s="1"/>
  <c r="D41" i="25" l="1"/>
  <c r="G36" i="25"/>
  <c r="D31" i="25" s="1"/>
  <c r="D5" i="25"/>
  <c r="D11" i="22"/>
  <c r="AI45" i="22" s="1"/>
  <c r="D44" i="22"/>
  <c r="D61" i="22"/>
  <c r="H67" i="22" s="1"/>
  <c r="AN28" i="22"/>
  <c r="AN31" i="22" s="1"/>
  <c r="AN33" i="22"/>
  <c r="S77" i="22"/>
  <c r="S80" i="22" s="1"/>
  <c r="S82" i="22"/>
  <c r="AI49" i="22"/>
  <c r="AI44" i="22"/>
  <c r="AI47" i="22" s="1"/>
  <c r="L11" i="22"/>
  <c r="L14" i="22" s="1"/>
  <c r="L16" i="22"/>
  <c r="AD33" i="22"/>
  <c r="AD28" i="22"/>
  <c r="AD31" i="22" s="1"/>
  <c r="T33" i="22"/>
  <c r="T28" i="22"/>
  <c r="T31" i="22" s="1"/>
  <c r="L28" i="22"/>
  <c r="L31" i="22" s="1"/>
  <c r="L33" i="22"/>
  <c r="AE49" i="22"/>
  <c r="AE44" i="22"/>
  <c r="AE47" i="22" s="1"/>
  <c r="K66" i="22"/>
  <c r="K61" i="22"/>
  <c r="K64" i="22" s="1"/>
  <c r="AC16" i="22"/>
  <c r="AC11" i="22"/>
  <c r="AC14" i="22" s="1"/>
  <c r="O77" i="22"/>
  <c r="O80" i="22" s="1"/>
  <c r="O82" i="22"/>
  <c r="AD44" i="22"/>
  <c r="AD47" i="22" s="1"/>
  <c r="AD49" i="22"/>
  <c r="AI16" i="22"/>
  <c r="AI11" i="22"/>
  <c r="AI14" i="22" s="1"/>
  <c r="AC33" i="22"/>
  <c r="AC28" i="22"/>
  <c r="AC31" i="22" s="1"/>
  <c r="AN16" i="22"/>
  <c r="AN11" i="22"/>
  <c r="AN14" i="22" s="1"/>
  <c r="Y28" i="22"/>
  <c r="Y31" i="22" s="1"/>
  <c r="Y33" i="22"/>
  <c r="R66" i="22"/>
  <c r="R61" i="22"/>
  <c r="R64" i="22" s="1"/>
  <c r="AM33" i="22"/>
  <c r="AM28" i="22"/>
  <c r="AM31" i="22" s="1"/>
  <c r="X49" i="22"/>
  <c r="X44" i="22"/>
  <c r="X47" i="22" s="1"/>
  <c r="AR16" i="22"/>
  <c r="AR11" i="22"/>
  <c r="AR14" i="22" s="1"/>
  <c r="J16" i="22"/>
  <c r="J11" i="22"/>
  <c r="J14" i="22" s="1"/>
  <c r="AG11" i="22"/>
  <c r="AG14" i="22" s="1"/>
  <c r="AG16" i="22"/>
  <c r="Z66" i="22"/>
  <c r="Z61" i="22"/>
  <c r="Z64" i="22" s="1"/>
  <c r="V11" i="22"/>
  <c r="V14" i="22" s="1"/>
  <c r="V16" i="22"/>
  <c r="AE33" i="22"/>
  <c r="AE28" i="22"/>
  <c r="AE31" i="22" s="1"/>
  <c r="O49" i="22"/>
  <c r="O44" i="22"/>
  <c r="O47" i="22" s="1"/>
  <c r="O33" i="22"/>
  <c r="O28" i="22"/>
  <c r="O31" i="22" s="1"/>
  <c r="Y61" i="22"/>
  <c r="Y64" i="22" s="1"/>
  <c r="Y66" i="22"/>
  <c r="L77" i="22"/>
  <c r="L80" i="22" s="1"/>
  <c r="L82" i="22"/>
  <c r="I61" i="22"/>
  <c r="I66" i="22"/>
  <c r="S49" i="22"/>
  <c r="S44" i="22"/>
  <c r="S47" i="22" s="1"/>
  <c r="N66" i="22"/>
  <c r="N61" i="22"/>
  <c r="N64" i="22" s="1"/>
  <c r="AC49" i="22"/>
  <c r="AC44" i="22"/>
  <c r="AC47" i="22" s="1"/>
  <c r="K11" i="22"/>
  <c r="K14" i="22" s="1"/>
  <c r="K16" i="22"/>
  <c r="AJ28" i="22"/>
  <c r="AJ31" i="22" s="1"/>
  <c r="AJ33" i="22"/>
  <c r="V44" i="22"/>
  <c r="V47" i="22" s="1"/>
  <c r="V49" i="22"/>
  <c r="V61" i="22"/>
  <c r="V64" i="22" s="1"/>
  <c r="V66" i="22"/>
  <c r="N44" i="22"/>
  <c r="N47" i="22" s="1"/>
  <c r="N49" i="22"/>
  <c r="X82" i="22"/>
  <c r="X77" i="22"/>
  <c r="X80" i="22" s="1"/>
  <c r="M77" i="22"/>
  <c r="M80" i="22" s="1"/>
  <c r="M82" i="22"/>
  <c r="Q28" i="22"/>
  <c r="Q31" i="22" s="1"/>
  <c r="Q33" i="22"/>
  <c r="X11" i="22"/>
  <c r="X14" i="22" s="1"/>
  <c r="X16" i="22"/>
  <c r="T82" i="22"/>
  <c r="T77" i="22"/>
  <c r="T80" i="22" s="1"/>
  <c r="AF11" i="22"/>
  <c r="AF14" i="22" s="1"/>
  <c r="AF16" i="22"/>
  <c r="X33" i="22"/>
  <c r="X28" i="22"/>
  <c r="X31" i="22" s="1"/>
  <c r="AH49" i="22"/>
  <c r="AH44" i="22"/>
  <c r="AH47" i="22" s="1"/>
  <c r="T16" i="22"/>
  <c r="T11" i="22"/>
  <c r="T14" i="22" s="1"/>
  <c r="W66" i="22"/>
  <c r="W61" i="22"/>
  <c r="W64" i="22" s="1"/>
  <c r="AQ16" i="22"/>
  <c r="AQ11" i="22"/>
  <c r="AQ14" i="22" s="1"/>
  <c r="AK33" i="22"/>
  <c r="AK28" i="22"/>
  <c r="AK31" i="22" s="1"/>
  <c r="AJ49" i="22"/>
  <c r="AJ44" i="22"/>
  <c r="AJ47" i="22" s="1"/>
  <c r="AG28" i="22"/>
  <c r="AG31" i="22" s="1"/>
  <c r="AG33" i="22"/>
  <c r="L49" i="22"/>
  <c r="L44" i="22"/>
  <c r="L47" i="22" s="1"/>
  <c r="S16" i="22"/>
  <c r="S11" i="22"/>
  <c r="S14" i="22" s="1"/>
  <c r="J33" i="22"/>
  <c r="J28" i="22"/>
  <c r="J31" i="22" s="1"/>
  <c r="W16" i="22"/>
  <c r="W11" i="22"/>
  <c r="W14" i="22" s="1"/>
  <c r="AB33" i="22"/>
  <c r="AB28" i="22"/>
  <c r="AB31" i="22" s="1"/>
  <c r="AB49" i="22"/>
  <c r="AB44" i="22"/>
  <c r="AB47" i="22" s="1"/>
  <c r="AI33" i="22"/>
  <c r="AI28" i="22"/>
  <c r="AI31" i="22" s="1"/>
  <c r="U11" i="22"/>
  <c r="U14" i="22" s="1"/>
  <c r="U16" i="22"/>
  <c r="Z49" i="22"/>
  <c r="Z44" i="22"/>
  <c r="Z47" i="22" s="1"/>
  <c r="AP16" i="22"/>
  <c r="AP11" i="22"/>
  <c r="AP14" i="22" s="1"/>
  <c r="P49" i="22"/>
  <c r="P44" i="22"/>
  <c r="P47" i="22" s="1"/>
  <c r="P82" i="22"/>
  <c r="P77" i="22"/>
  <c r="P80" i="22" s="1"/>
  <c r="K33" i="22"/>
  <c r="K28" i="22"/>
  <c r="K31" i="22" s="1"/>
  <c r="W49" i="22"/>
  <c r="W44" i="22"/>
  <c r="W47" i="22" s="1"/>
  <c r="AA33" i="22"/>
  <c r="AA28" i="22"/>
  <c r="AA31" i="22" s="1"/>
  <c r="V77" i="22"/>
  <c r="V80" i="22" s="1"/>
  <c r="V82" i="22"/>
  <c r="AG44" i="22"/>
  <c r="AG47" i="22" s="1"/>
  <c r="AG49" i="22"/>
  <c r="I16" i="22"/>
  <c r="I11" i="22"/>
  <c r="J66" i="22"/>
  <c r="J61" i="22"/>
  <c r="J64" i="22" s="1"/>
  <c r="K82" i="22"/>
  <c r="K77" i="22"/>
  <c r="K80" i="22" s="1"/>
  <c r="AE16" i="22"/>
  <c r="AE11" i="22"/>
  <c r="AE14" i="22" s="1"/>
  <c r="M49" i="22"/>
  <c r="M44" i="22"/>
  <c r="M47" i="22" s="1"/>
  <c r="I77" i="22"/>
  <c r="I82" i="22"/>
  <c r="P16" i="22"/>
  <c r="P11" i="22"/>
  <c r="P14" i="22" s="1"/>
  <c r="I28" i="22"/>
  <c r="I33" i="22"/>
  <c r="Q49" i="22"/>
  <c r="Q44" i="22"/>
  <c r="Q47" i="22" s="1"/>
  <c r="O66" i="22"/>
  <c r="O61" i="22"/>
  <c r="O64" i="22" s="1"/>
  <c r="AO16" i="22"/>
  <c r="AO11" i="22"/>
  <c r="AO14" i="22" s="1"/>
  <c r="Q77" i="22"/>
  <c r="Q80" i="22" s="1"/>
  <c r="Q82" i="22"/>
  <c r="AS16" i="22"/>
  <c r="AS11" i="22"/>
  <c r="AS14" i="22" s="1"/>
  <c r="Z16" i="22"/>
  <c r="Z11" i="22"/>
  <c r="Z14" i="22" s="1"/>
  <c r="AF33" i="22"/>
  <c r="AF28" i="22"/>
  <c r="AF31" i="22" s="1"/>
  <c r="Y16" i="22"/>
  <c r="Y11" i="22"/>
  <c r="Y14" i="22" s="1"/>
  <c r="AA49" i="22"/>
  <c r="AA44" i="22"/>
  <c r="AA47" i="22" s="1"/>
  <c r="AO28" i="22"/>
  <c r="AO31" i="22" s="1"/>
  <c r="AO33" i="22"/>
  <c r="S66" i="22"/>
  <c r="S61" i="22"/>
  <c r="S64" i="22" s="1"/>
  <c r="AB16" i="22"/>
  <c r="AB11" i="22"/>
  <c r="AB14" i="22" s="1"/>
  <c r="L61" i="22"/>
  <c r="L64" i="22" s="1"/>
  <c r="L66" i="22"/>
  <c r="AM16" i="22"/>
  <c r="AM11" i="22"/>
  <c r="AM14" i="22" s="1"/>
  <c r="W33" i="22"/>
  <c r="W28" i="22"/>
  <c r="W31" i="22" s="1"/>
  <c r="AH33" i="22"/>
  <c r="AH28" i="22"/>
  <c r="AH31" i="22" s="1"/>
  <c r="M11" i="22"/>
  <c r="M14" i="22" s="1"/>
  <c r="M16" i="22"/>
  <c r="AT11" i="22"/>
  <c r="AT14" i="22" s="1"/>
  <c r="AT16" i="22"/>
  <c r="D28" i="22"/>
  <c r="AE34" i="22" s="1"/>
  <c r="AD11" i="22"/>
  <c r="AD14" i="22" s="1"/>
  <c r="AD16" i="22"/>
  <c r="X61" i="22"/>
  <c r="X64" i="22" s="1"/>
  <c r="X66" i="22"/>
  <c r="AV16" i="22"/>
  <c r="AV11" i="22"/>
  <c r="AV14" i="22" s="1"/>
  <c r="T49" i="22"/>
  <c r="T44" i="22"/>
  <c r="T47" i="22" s="1"/>
  <c r="AK16" i="22"/>
  <c r="AK11" i="22"/>
  <c r="AK14" i="22" s="1"/>
  <c r="J49" i="22"/>
  <c r="J44" i="22"/>
  <c r="J47" i="22" s="1"/>
  <c r="N11" i="22"/>
  <c r="N14" i="22" s="1"/>
  <c r="N16" i="22"/>
  <c r="S33" i="22"/>
  <c r="S28" i="22"/>
  <c r="S31" i="22" s="1"/>
  <c r="W77" i="22"/>
  <c r="W80" i="22" s="1"/>
  <c r="W82" i="22"/>
  <c r="Q16" i="22"/>
  <c r="Q11" i="22"/>
  <c r="Q14" i="22" s="1"/>
  <c r="U49" i="22"/>
  <c r="U44" i="22"/>
  <c r="U47" i="22" s="1"/>
  <c r="AF49" i="22"/>
  <c r="AF44" i="22"/>
  <c r="AF47" i="22" s="1"/>
  <c r="P61" i="22"/>
  <c r="P64" i="22" s="1"/>
  <c r="P66" i="22"/>
  <c r="Z33" i="22"/>
  <c r="Z28" i="22"/>
  <c r="Z31" i="22" s="1"/>
  <c r="M33" i="22"/>
  <c r="M28" i="22"/>
  <c r="M31" i="22" s="1"/>
  <c r="O16" i="22"/>
  <c r="O11" i="22"/>
  <c r="O14" i="22" s="1"/>
  <c r="V33" i="22"/>
  <c r="V28" i="22"/>
  <c r="V31" i="22" s="1"/>
  <c r="D77" i="22"/>
  <c r="AL28" i="22"/>
  <c r="AL31" i="22" s="1"/>
  <c r="AL33" i="22"/>
  <c r="T61" i="22"/>
  <c r="T64" i="22" s="1"/>
  <c r="T66" i="22"/>
  <c r="Y49" i="22"/>
  <c r="Y44" i="22"/>
  <c r="Y47" i="22" s="1"/>
  <c r="N28" i="22"/>
  <c r="N31" i="22" s="1"/>
  <c r="N33" i="22"/>
  <c r="AJ16" i="22"/>
  <c r="AJ11" i="22"/>
  <c r="AJ14" i="22" s="1"/>
  <c r="AL11" i="22"/>
  <c r="AL14" i="22" s="1"/>
  <c r="AL16" i="22"/>
  <c r="P28" i="22"/>
  <c r="P31" i="22" s="1"/>
  <c r="P33" i="22"/>
  <c r="K49" i="22"/>
  <c r="K44" i="22"/>
  <c r="K47" i="22" s="1"/>
  <c r="N77" i="22"/>
  <c r="N80" i="22" s="1"/>
  <c r="N82" i="22"/>
  <c r="I49" i="22"/>
  <c r="I44" i="22"/>
  <c r="AU16" i="22"/>
  <c r="AU11" i="22"/>
  <c r="AU14" i="22" s="1"/>
  <c r="U61" i="22"/>
  <c r="U64" i="22" s="1"/>
  <c r="U66" i="22"/>
  <c r="R16" i="22"/>
  <c r="R11" i="22"/>
  <c r="R14" i="22" s="1"/>
  <c r="R33" i="22"/>
  <c r="R28" i="22"/>
  <c r="R31" i="22" s="1"/>
  <c r="AA16" i="22"/>
  <c r="AA11" i="22"/>
  <c r="AA14" i="22" s="1"/>
  <c r="U33" i="22"/>
  <c r="U28" i="22"/>
  <c r="U31" i="22" s="1"/>
  <c r="Q61" i="22"/>
  <c r="Q64" i="22" s="1"/>
  <c r="Q66" i="22"/>
  <c r="U82" i="22"/>
  <c r="U77" i="22"/>
  <c r="U80" i="22" s="1"/>
  <c r="R77" i="22"/>
  <c r="R80" i="22" s="1"/>
  <c r="R82" i="22"/>
  <c r="R49" i="22"/>
  <c r="R44" i="22"/>
  <c r="R47" i="22" s="1"/>
  <c r="AH16" i="22"/>
  <c r="AH11" i="22"/>
  <c r="AH14" i="22" s="1"/>
  <c r="M66" i="22"/>
  <c r="M61" i="22"/>
  <c r="M64" i="22" s="1"/>
  <c r="J82" i="22"/>
  <c r="J77" i="22"/>
  <c r="J80" i="22" s="1"/>
  <c r="I61" i="18"/>
  <c r="I64" i="18" s="1"/>
  <c r="I77" i="18"/>
  <c r="I80" i="18" s="1"/>
  <c r="J82" i="18"/>
  <c r="L82" i="18"/>
  <c r="K77" i="7"/>
  <c r="K80" i="7" s="1"/>
  <c r="K16" i="18"/>
  <c r="J16" i="18"/>
  <c r="L28" i="7"/>
  <c r="L31" i="7" s="1"/>
  <c r="I44" i="7"/>
  <c r="I47" i="7" s="1"/>
  <c r="K66" i="7"/>
  <c r="M11" i="18"/>
  <c r="M14" i="18" s="1"/>
  <c r="J66" i="7"/>
  <c r="M61" i="7"/>
  <c r="M64" i="7" s="1"/>
  <c r="J28" i="7"/>
  <c r="J31" i="7" s="1"/>
  <c r="M28" i="7"/>
  <c r="M31" i="7" s="1"/>
  <c r="K44" i="7"/>
  <c r="K47" i="7" s="1"/>
  <c r="L44" i="7"/>
  <c r="L47" i="7" s="1"/>
  <c r="P11" i="7"/>
  <c r="P14" i="7" s="1"/>
  <c r="M44" i="7"/>
  <c r="M47" i="7" s="1"/>
  <c r="N49" i="18"/>
  <c r="AK11" i="7"/>
  <c r="AK14" i="7" s="1"/>
  <c r="L16" i="18"/>
  <c r="L33" i="18"/>
  <c r="M44" i="18"/>
  <c r="M47" i="18" s="1"/>
  <c r="M33" i="18"/>
  <c r="J44" i="18"/>
  <c r="J47" i="18" s="1"/>
  <c r="T11" i="7"/>
  <c r="T14" i="7" s="1"/>
  <c r="AN11" i="7"/>
  <c r="AN14" i="7" s="1"/>
  <c r="W11" i="7"/>
  <c r="W14" i="7" s="1"/>
  <c r="D11" i="7"/>
  <c r="O49" i="18"/>
  <c r="O44" i="18"/>
  <c r="O47" i="18" s="1"/>
  <c r="P60" i="18"/>
  <c r="O57" i="18"/>
  <c r="O59" i="18" s="1"/>
  <c r="K47" i="18"/>
  <c r="N28" i="18"/>
  <c r="N31" i="18" s="1"/>
  <c r="N33" i="18"/>
  <c r="N66" i="18"/>
  <c r="N61" i="18"/>
  <c r="I31" i="18"/>
  <c r="N16" i="18"/>
  <c r="N11" i="18"/>
  <c r="N14" i="18" s="1"/>
  <c r="K14" i="18"/>
  <c r="P27" i="18"/>
  <c r="O24" i="18"/>
  <c r="O26" i="18" s="1"/>
  <c r="N82" i="18"/>
  <c r="N77" i="18"/>
  <c r="N80" i="18" s="1"/>
  <c r="O7" i="18"/>
  <c r="O9" i="18" s="1"/>
  <c r="P10" i="18"/>
  <c r="O73" i="18"/>
  <c r="O75" i="18" s="1"/>
  <c r="P76" i="18"/>
  <c r="Q43" i="18"/>
  <c r="P40" i="18"/>
  <c r="P42" i="18" s="1"/>
  <c r="N82" i="7"/>
  <c r="N77" i="7"/>
  <c r="N80" i="7" s="1"/>
  <c r="O73" i="7"/>
  <c r="O75" i="7" s="1"/>
  <c r="P76" i="7"/>
  <c r="I80" i="7"/>
  <c r="N66" i="7"/>
  <c r="N61" i="7"/>
  <c r="N64" i="7" s="1"/>
  <c r="N44" i="7"/>
  <c r="N47" i="7" s="1"/>
  <c r="O40" i="7"/>
  <c r="O42" i="7" s="1"/>
  <c r="P43" i="7"/>
  <c r="I64" i="7"/>
  <c r="O57" i="7"/>
  <c r="O59" i="7" s="1"/>
  <c r="P60" i="7"/>
  <c r="N28" i="7"/>
  <c r="N31" i="7" s="1"/>
  <c r="O26" i="7"/>
  <c r="O33" i="7" s="1"/>
  <c r="P27" i="7"/>
  <c r="P24" i="7" s="1"/>
  <c r="AE11" i="7"/>
  <c r="AE14" i="7" s="1"/>
  <c r="R11" i="7"/>
  <c r="R14" i="7" s="1"/>
  <c r="AJ11" i="7"/>
  <c r="AJ14" i="7" s="1"/>
  <c r="AD11" i="7"/>
  <c r="AD14" i="7" s="1"/>
  <c r="AC11" i="7"/>
  <c r="AC14" i="7" s="1"/>
  <c r="L11" i="7"/>
  <c r="L14" i="7" s="1"/>
  <c r="AL11" i="7"/>
  <c r="AL14" i="7" s="1"/>
  <c r="H11" i="7"/>
  <c r="H14" i="7" s="1"/>
  <c r="AG11" i="7"/>
  <c r="AG14" i="7" s="1"/>
  <c r="AI11" i="7"/>
  <c r="AI14" i="7" s="1"/>
  <c r="Z11" i="7"/>
  <c r="Z14" i="7" s="1"/>
  <c r="Q11" i="7"/>
  <c r="Q14" i="7" s="1"/>
  <c r="AS11" i="7"/>
  <c r="AS14" i="7" s="1"/>
  <c r="M11" i="7"/>
  <c r="M14" i="7" s="1"/>
  <c r="U11" i="7"/>
  <c r="U14" i="7" s="1"/>
  <c r="Y11" i="7"/>
  <c r="Y14" i="7" s="1"/>
  <c r="J11" i="7"/>
  <c r="J14" i="7" s="1"/>
  <c r="X11" i="7"/>
  <c r="X14" i="7" s="1"/>
  <c r="O11" i="7"/>
  <c r="O14" i="7" s="1"/>
  <c r="S11" i="7"/>
  <c r="S14" i="7" s="1"/>
  <c r="AB11" i="7"/>
  <c r="AB14" i="7" s="1"/>
  <c r="AM11" i="7"/>
  <c r="AM14" i="7" s="1"/>
  <c r="I11" i="7"/>
  <c r="K11" i="7"/>
  <c r="K14" i="7" s="1"/>
  <c r="AT11" i="7"/>
  <c r="AT14" i="7" s="1"/>
  <c r="AQ11" i="7"/>
  <c r="AQ14" i="7" s="1"/>
  <c r="AV11" i="7"/>
  <c r="AV14" i="7" s="1"/>
  <c r="AR11" i="7"/>
  <c r="AR14" i="7" s="1"/>
  <c r="AP11" i="7"/>
  <c r="AP14" i="7" s="1"/>
  <c r="AA11" i="7"/>
  <c r="AA14" i="7" s="1"/>
  <c r="AU11" i="7"/>
  <c r="AU14" i="7" s="1"/>
  <c r="N11" i="7"/>
  <c r="N14" i="7" s="1"/>
  <c r="AO11" i="7"/>
  <c r="AO14" i="7" s="1"/>
  <c r="AH11" i="7"/>
  <c r="AH14" i="7" s="1"/>
  <c r="AF11" i="7"/>
  <c r="AF14" i="7" s="1"/>
  <c r="V11" i="7"/>
  <c r="V14" i="7" s="1"/>
  <c r="D48" i="25" l="1"/>
  <c r="G54" i="25" s="1"/>
  <c r="D49" i="25" s="1"/>
  <c r="D12" i="25"/>
  <c r="E43" i="19"/>
  <c r="D7" i="25"/>
  <c r="D8" i="25" s="1"/>
  <c r="D9" i="25"/>
  <c r="H12" i="22"/>
  <c r="AR12" i="22"/>
  <c r="U45" i="22"/>
  <c r="S50" i="22"/>
  <c r="AA17" i="22"/>
  <c r="I45" i="22"/>
  <c r="AT17" i="22"/>
  <c r="AF12" i="22"/>
  <c r="AH12" i="22"/>
  <c r="O12" i="22"/>
  <c r="J45" i="22"/>
  <c r="M17" i="22"/>
  <c r="AS17" i="22"/>
  <c r="K45" i="22"/>
  <c r="J50" i="22"/>
  <c r="AS12" i="22"/>
  <c r="AC50" i="22"/>
  <c r="H45" i="22"/>
  <c r="S12" i="22"/>
  <c r="Z50" i="22"/>
  <c r="T12" i="22"/>
  <c r="R12" i="22"/>
  <c r="AD12" i="22"/>
  <c r="AG17" i="22"/>
  <c r="Y45" i="22"/>
  <c r="U50" i="22"/>
  <c r="T50" i="22"/>
  <c r="AA45" i="22"/>
  <c r="W45" i="22"/>
  <c r="P50" i="22"/>
  <c r="AJ17" i="22"/>
  <c r="Y50" i="22"/>
  <c r="O17" i="22"/>
  <c r="T45" i="22"/>
  <c r="AA50" i="22"/>
  <c r="P17" i="22"/>
  <c r="AG45" i="22"/>
  <c r="P45" i="22"/>
  <c r="X12" i="22"/>
  <c r="V12" i="22"/>
  <c r="AB17" i="22"/>
  <c r="AG50" i="22"/>
  <c r="N50" i="22"/>
  <c r="AH17" i="22"/>
  <c r="AA12" i="22"/>
  <c r="I50" i="22"/>
  <c r="AJ12" i="22"/>
  <c r="N12" i="22"/>
  <c r="AK17" i="22"/>
  <c r="AV17" i="22"/>
  <c r="AB12" i="22"/>
  <c r="Z17" i="22"/>
  <c r="Q50" i="22"/>
  <c r="P12" i="22"/>
  <c r="AE17" i="22"/>
  <c r="I12" i="22"/>
  <c r="U12" i="22"/>
  <c r="H50" i="22"/>
  <c r="AQ17" i="22"/>
  <c r="AF17" i="22"/>
  <c r="O50" i="22"/>
  <c r="V17" i="22"/>
  <c r="AE45" i="22"/>
  <c r="AI50" i="22"/>
  <c r="R45" i="22"/>
  <c r="AU17" i="22"/>
  <c r="AD17" i="22"/>
  <c r="M12" i="22"/>
  <c r="Z12" i="22"/>
  <c r="AO12" i="22"/>
  <c r="AH45" i="22"/>
  <c r="O45" i="22"/>
  <c r="J17" i="22"/>
  <c r="X50" i="22"/>
  <c r="AN17" i="22"/>
  <c r="AI17" i="22"/>
  <c r="AE50" i="22"/>
  <c r="AM12" i="22"/>
  <c r="AE12" i="22"/>
  <c r="I17" i="22"/>
  <c r="AP17" i="22"/>
  <c r="U17" i="22"/>
  <c r="W12" i="22"/>
  <c r="L45" i="22"/>
  <c r="AJ45" i="22"/>
  <c r="AH50" i="22"/>
  <c r="K12" i="22"/>
  <c r="X45" i="22"/>
  <c r="AI12" i="22"/>
  <c r="AC17" i="22"/>
  <c r="L17" i="22"/>
  <c r="AF45" i="22"/>
  <c r="Q17" i="22"/>
  <c r="N17" i="22"/>
  <c r="AK12" i="22"/>
  <c r="AV12" i="22"/>
  <c r="Y12" i="22"/>
  <c r="M45" i="22"/>
  <c r="Z45" i="22"/>
  <c r="AB45" i="22"/>
  <c r="X17" i="22"/>
  <c r="V50" i="22"/>
  <c r="AM17" i="22"/>
  <c r="Q45" i="22"/>
  <c r="AP12" i="22"/>
  <c r="H17" i="22"/>
  <c r="W17" i="22"/>
  <c r="S17" i="22"/>
  <c r="AJ50" i="22"/>
  <c r="AQ12" i="22"/>
  <c r="N45" i="22"/>
  <c r="AC45" i="22"/>
  <c r="J12" i="22"/>
  <c r="AL12" i="22"/>
  <c r="AF50" i="22"/>
  <c r="Q12" i="22"/>
  <c r="K50" i="22"/>
  <c r="R50" i="22"/>
  <c r="R17" i="22"/>
  <c r="AU12" i="22"/>
  <c r="AL17" i="22"/>
  <c r="AT12" i="22"/>
  <c r="Y17" i="22"/>
  <c r="AO17" i="22"/>
  <c r="M50" i="22"/>
  <c r="W50" i="22"/>
  <c r="AB50" i="22"/>
  <c r="L50" i="22"/>
  <c r="T17" i="22"/>
  <c r="V45" i="22"/>
  <c r="K17" i="22"/>
  <c r="S45" i="22"/>
  <c r="AG12" i="22"/>
  <c r="AN12" i="22"/>
  <c r="AD45" i="22"/>
  <c r="AC12" i="22"/>
  <c r="L12" i="22"/>
  <c r="AR17" i="22"/>
  <c r="AD50" i="22"/>
  <c r="K67" i="22"/>
  <c r="U67" i="22"/>
  <c r="X67" i="22"/>
  <c r="L67" i="22"/>
  <c r="S67" i="22"/>
  <c r="Y67" i="22"/>
  <c r="Z67" i="22"/>
  <c r="Q67" i="22"/>
  <c r="P67" i="22"/>
  <c r="N67" i="22"/>
  <c r="O67" i="22"/>
  <c r="J67" i="22"/>
  <c r="M67" i="22"/>
  <c r="T67" i="22"/>
  <c r="I67" i="22"/>
  <c r="W67" i="22"/>
  <c r="V67" i="22"/>
  <c r="R67" i="22"/>
  <c r="H83" i="22"/>
  <c r="H78" i="22"/>
  <c r="Z34" i="22"/>
  <c r="AH29" i="22"/>
  <c r="I31" i="22"/>
  <c r="D29" i="22" s="1"/>
  <c r="D30" i="22" s="1"/>
  <c r="D21" i="22"/>
  <c r="K34" i="22"/>
  <c r="AI34" i="22"/>
  <c r="AK29" i="22"/>
  <c r="W62" i="22"/>
  <c r="M83" i="22"/>
  <c r="N62" i="22"/>
  <c r="AM34" i="22"/>
  <c r="Y34" i="22"/>
  <c r="P29" i="22"/>
  <c r="AL29" i="22"/>
  <c r="O62" i="22"/>
  <c r="AM29" i="22"/>
  <c r="U29" i="22"/>
  <c r="R29" i="22"/>
  <c r="I47" i="22"/>
  <c r="D45" i="22" s="1"/>
  <c r="D46" i="22" s="1"/>
  <c r="D37" i="22"/>
  <c r="M34" i="22"/>
  <c r="P62" i="22"/>
  <c r="W78" i="22"/>
  <c r="AO34" i="22"/>
  <c r="Q83" i="22"/>
  <c r="I34" i="22"/>
  <c r="I80" i="22"/>
  <c r="D78" i="22" s="1"/>
  <c r="D79" i="22" s="1"/>
  <c r="D70" i="22"/>
  <c r="AA34" i="22"/>
  <c r="AG34" i="22"/>
  <c r="AK34" i="22"/>
  <c r="M78" i="22"/>
  <c r="I64" i="22"/>
  <c r="D62" i="22" s="1"/>
  <c r="D63" i="22" s="1"/>
  <c r="D54" i="22"/>
  <c r="AC29" i="22"/>
  <c r="T34" i="22"/>
  <c r="S83" i="22"/>
  <c r="N83" i="22"/>
  <c r="AC34" i="22"/>
  <c r="U83" i="22"/>
  <c r="N29" i="22"/>
  <c r="I14" i="22"/>
  <c r="D12" i="22" s="1"/>
  <c r="D13" i="22" s="1"/>
  <c r="D4" i="22"/>
  <c r="P78" i="22"/>
  <c r="AB29" i="22"/>
  <c r="J34" i="22"/>
  <c r="Q29" i="22"/>
  <c r="X78" i="22"/>
  <c r="O78" i="22"/>
  <c r="L29" i="22"/>
  <c r="AN34" i="22"/>
  <c r="M62" i="22"/>
  <c r="U78" i="22"/>
  <c r="U34" i="22"/>
  <c r="R34" i="22"/>
  <c r="U62" i="22"/>
  <c r="N34" i="22"/>
  <c r="T62" i="22"/>
  <c r="V34" i="22"/>
  <c r="M29" i="22"/>
  <c r="W29" i="22"/>
  <c r="S62" i="22"/>
  <c r="K83" i="22"/>
  <c r="V78" i="22"/>
  <c r="X29" i="22"/>
  <c r="V62" i="22"/>
  <c r="O29" i="22"/>
  <c r="AE29" i="22"/>
  <c r="Z62" i="22"/>
  <c r="R62" i="22"/>
  <c r="AD34" i="22"/>
  <c r="R83" i="22"/>
  <c r="I78" i="22"/>
  <c r="T29" i="22"/>
  <c r="R78" i="22"/>
  <c r="Q62" i="22"/>
  <c r="N78" i="22"/>
  <c r="P34" i="22"/>
  <c r="AL34" i="22"/>
  <c r="V29" i="22"/>
  <c r="W83" i="22"/>
  <c r="AF29" i="22"/>
  <c r="K78" i="22"/>
  <c r="P83" i="22"/>
  <c r="J29" i="22"/>
  <c r="T83" i="22"/>
  <c r="Q34" i="22"/>
  <c r="AJ29" i="22"/>
  <c r="L83" i="22"/>
  <c r="O34" i="22"/>
  <c r="H62" i="22"/>
  <c r="H29" i="22"/>
  <c r="H34" i="22"/>
  <c r="W34" i="22"/>
  <c r="L62" i="22"/>
  <c r="AF34" i="22"/>
  <c r="V83" i="22"/>
  <c r="AB34" i="22"/>
  <c r="X34" i="22"/>
  <c r="T78" i="22"/>
  <c r="X83" i="22"/>
  <c r="AJ34" i="22"/>
  <c r="L78" i="22"/>
  <c r="O83" i="22"/>
  <c r="K62" i="22"/>
  <c r="L34" i="22"/>
  <c r="AD29" i="22"/>
  <c r="AN29" i="22"/>
  <c r="X62" i="22"/>
  <c r="J62" i="22"/>
  <c r="AG29" i="22"/>
  <c r="J83" i="22"/>
  <c r="S29" i="22"/>
  <c r="J78" i="22"/>
  <c r="Z29" i="22"/>
  <c r="S34" i="22"/>
  <c r="AH34" i="22"/>
  <c r="AO29" i="22"/>
  <c r="Q78" i="22"/>
  <c r="I29" i="22"/>
  <c r="I83" i="22"/>
  <c r="AA29" i="22"/>
  <c r="K29" i="22"/>
  <c r="AI29" i="22"/>
  <c r="I62" i="22"/>
  <c r="Y62" i="22"/>
  <c r="Y29" i="22"/>
  <c r="S78" i="22"/>
  <c r="AH17" i="7"/>
  <c r="N15" i="19"/>
  <c r="AL12" i="7"/>
  <c r="I45" i="7"/>
  <c r="S17" i="7"/>
  <c r="Z17" i="7"/>
  <c r="AS12" i="7"/>
  <c r="AM12" i="7"/>
  <c r="AA12" i="7"/>
  <c r="M45" i="7"/>
  <c r="I50" i="7"/>
  <c r="AT17" i="7"/>
  <c r="AK17" i="7"/>
  <c r="L12" i="7"/>
  <c r="AR12" i="7"/>
  <c r="P12" i="7"/>
  <c r="J45" i="7"/>
  <c r="H17" i="7"/>
  <c r="AC17" i="7"/>
  <c r="AC12" i="7"/>
  <c r="N12" i="7"/>
  <c r="AT12" i="7"/>
  <c r="AN12" i="7"/>
  <c r="AK12" i="7"/>
  <c r="N50" i="7"/>
  <c r="AJ17" i="7"/>
  <c r="P17" i="7"/>
  <c r="AP17" i="7"/>
  <c r="AR17" i="7"/>
  <c r="AD17" i="7"/>
  <c r="AB12" i="7"/>
  <c r="AE12" i="7"/>
  <c r="M12" i="7"/>
  <c r="I12" i="7"/>
  <c r="AQ12" i="7"/>
  <c r="J50" i="7"/>
  <c r="AS17" i="7"/>
  <c r="U17" i="7"/>
  <c r="AE17" i="7"/>
  <c r="AI17" i="7"/>
  <c r="AL17" i="7"/>
  <c r="X12" i="7"/>
  <c r="K50" i="7"/>
  <c r="AM17" i="7"/>
  <c r="AD12" i="7"/>
  <c r="AQ17" i="7"/>
  <c r="J12" i="7"/>
  <c r="AG12" i="7"/>
  <c r="V12" i="7"/>
  <c r="AF12" i="7"/>
  <c r="AH12" i="7"/>
  <c r="N45" i="7"/>
  <c r="H50" i="7"/>
  <c r="AN17" i="7"/>
  <c r="AB17" i="7"/>
  <c r="T17" i="7"/>
  <c r="O17" i="7"/>
  <c r="M17" i="7"/>
  <c r="AU12" i="7"/>
  <c r="H12" i="7"/>
  <c r="R12" i="7"/>
  <c r="AJ12" i="7"/>
  <c r="K12" i="7"/>
  <c r="AA17" i="7"/>
  <c r="AO17" i="7"/>
  <c r="AU17" i="7"/>
  <c r="Q17" i="7"/>
  <c r="Y17" i="7"/>
  <c r="AI12" i="7"/>
  <c r="Y12" i="7"/>
  <c r="V17" i="7"/>
  <c r="N17" i="7"/>
  <c r="AP12" i="7"/>
  <c r="O12" i="7"/>
  <c r="H45" i="7"/>
  <c r="K17" i="7"/>
  <c r="AG17" i="7"/>
  <c r="W12" i="7"/>
  <c r="S12" i="7"/>
  <c r="L50" i="7"/>
  <c r="R17" i="7"/>
  <c r="L17" i="7"/>
  <c r="X17" i="7"/>
  <c r="Z12" i="7"/>
  <c r="Q12" i="7"/>
  <c r="U12" i="7"/>
  <c r="T12" i="7"/>
  <c r="AO12" i="7"/>
  <c r="L45" i="7"/>
  <c r="M50" i="7"/>
  <c r="I17" i="7"/>
  <c r="W17" i="7"/>
  <c r="J17" i="7"/>
  <c r="AV17" i="7"/>
  <c r="AF17" i="7"/>
  <c r="AV12" i="7"/>
  <c r="K45" i="7"/>
  <c r="R43" i="18"/>
  <c r="Q40" i="18"/>
  <c r="Q42" i="18" s="1"/>
  <c r="Q60" i="18"/>
  <c r="P57" i="18"/>
  <c r="P59" i="18" s="1"/>
  <c r="P73" i="18"/>
  <c r="P75" i="18" s="1"/>
  <c r="Q76" i="18"/>
  <c r="O33" i="18"/>
  <c r="O28" i="18"/>
  <c r="O31" i="18" s="1"/>
  <c r="O77" i="18"/>
  <c r="O80" i="18" s="1"/>
  <c r="O82" i="18"/>
  <c r="Q27" i="18"/>
  <c r="P24" i="18"/>
  <c r="P26" i="18" s="1"/>
  <c r="Q10" i="18"/>
  <c r="P7" i="18"/>
  <c r="P9" i="18" s="1"/>
  <c r="N64" i="18"/>
  <c r="O16" i="18"/>
  <c r="O11" i="18"/>
  <c r="O14" i="18" s="1"/>
  <c r="P44" i="18"/>
  <c r="P47" i="18" s="1"/>
  <c r="P49" i="18"/>
  <c r="O61" i="18"/>
  <c r="O64" i="18" s="1"/>
  <c r="O66" i="18"/>
  <c r="O82" i="7"/>
  <c r="P73" i="7"/>
  <c r="P75" i="7" s="1"/>
  <c r="Q76" i="7"/>
  <c r="O77" i="7"/>
  <c r="O80" i="7" s="1"/>
  <c r="O50" i="7"/>
  <c r="O49" i="7"/>
  <c r="O66" i="7"/>
  <c r="O61" i="7"/>
  <c r="O64" i="7" s="1"/>
  <c r="O44" i="7"/>
  <c r="Q60" i="7"/>
  <c r="P57" i="7"/>
  <c r="P59" i="7" s="1"/>
  <c r="Q43" i="7"/>
  <c r="P40" i="7"/>
  <c r="P42" i="7" s="1"/>
  <c r="O45" i="7"/>
  <c r="O28" i="7"/>
  <c r="P26" i="7"/>
  <c r="P33" i="7" s="1"/>
  <c r="Q27" i="7"/>
  <c r="Q24" i="7" s="1"/>
  <c r="F29" i="19" s="1"/>
  <c r="H29" i="19" s="1"/>
  <c r="D4" i="7"/>
  <c r="I14" i="7"/>
  <c r="D12" i="7" s="1"/>
  <c r="D13" i="7" s="1"/>
  <c r="O15" i="19" s="1"/>
  <c r="G18" i="25" l="1"/>
  <c r="D13" i="25" s="1"/>
  <c r="D43" i="19" s="1"/>
  <c r="F43" i="19"/>
  <c r="D47" i="22"/>
  <c r="D14" i="22"/>
  <c r="D64" i="22"/>
  <c r="D72" i="22"/>
  <c r="D73" i="22" s="1"/>
  <c r="D74" i="22"/>
  <c r="D41" i="22"/>
  <c r="D39" i="22"/>
  <c r="D40" i="22" s="1"/>
  <c r="D25" i="22"/>
  <c r="D23" i="22"/>
  <c r="D24" i="22" s="1"/>
  <c r="D31" i="22"/>
  <c r="D6" i="22"/>
  <c r="D7" i="22" s="1"/>
  <c r="D8" i="22"/>
  <c r="D58" i="22"/>
  <c r="D56" i="22"/>
  <c r="D57" i="22" s="1"/>
  <c r="D80" i="22"/>
  <c r="D14" i="7"/>
  <c r="P15" i="19" s="1"/>
  <c r="D15" i="19"/>
  <c r="D30" i="19" s="1"/>
  <c r="G30" i="19" s="1"/>
  <c r="R27" i="18"/>
  <c r="Q24" i="18"/>
  <c r="Q26" i="18" s="1"/>
  <c r="R76" i="18"/>
  <c r="Q73" i="18"/>
  <c r="Q75" i="18" s="1"/>
  <c r="P77" i="18"/>
  <c r="P82" i="18"/>
  <c r="P11" i="18"/>
  <c r="P16" i="18"/>
  <c r="P61" i="18"/>
  <c r="P66" i="18"/>
  <c r="R10" i="18"/>
  <c r="Q7" i="18"/>
  <c r="Q9" i="18" s="1"/>
  <c r="Q57" i="18"/>
  <c r="Q59" i="18" s="1"/>
  <c r="R60" i="18"/>
  <c r="Q44" i="18"/>
  <c r="Q47" i="18" s="1"/>
  <c r="Q49" i="18"/>
  <c r="P33" i="18"/>
  <c r="P28" i="18"/>
  <c r="R40" i="18"/>
  <c r="R42" i="18" s="1"/>
  <c r="S43" i="18"/>
  <c r="P82" i="7"/>
  <c r="P77" i="7"/>
  <c r="Q73" i="7"/>
  <c r="Q75" i="7" s="1"/>
  <c r="R76" i="7"/>
  <c r="P50" i="7"/>
  <c r="P49" i="7"/>
  <c r="P66" i="7"/>
  <c r="P61" i="7"/>
  <c r="P44" i="7"/>
  <c r="P47" i="7" s="1"/>
  <c r="O47" i="7"/>
  <c r="P45" i="7"/>
  <c r="Q57" i="7"/>
  <c r="Q59" i="7" s="1"/>
  <c r="R60" i="7"/>
  <c r="Q40" i="7"/>
  <c r="Q42" i="7" s="1"/>
  <c r="R43" i="7"/>
  <c r="Q26" i="7"/>
  <c r="Q33" i="7" s="1"/>
  <c r="R27" i="7"/>
  <c r="R24" i="7" s="1"/>
  <c r="P28" i="7"/>
  <c r="P31" i="7" s="1"/>
  <c r="O31" i="7"/>
  <c r="I30" i="19" l="1"/>
  <c r="R49" i="18"/>
  <c r="R44" i="18"/>
  <c r="P80" i="18"/>
  <c r="P31" i="18"/>
  <c r="R57" i="18"/>
  <c r="R59" i="18" s="1"/>
  <c r="S60" i="18"/>
  <c r="Q82" i="18"/>
  <c r="Q77" i="18"/>
  <c r="Q80" i="18" s="1"/>
  <c r="P64" i="18"/>
  <c r="Q16" i="18"/>
  <c r="Q11" i="18"/>
  <c r="Q14" i="18" s="1"/>
  <c r="P14" i="18"/>
  <c r="R73" i="18"/>
  <c r="R75" i="18" s="1"/>
  <c r="S76" i="18"/>
  <c r="Q66" i="18"/>
  <c r="Q61" i="18"/>
  <c r="Q64" i="18" s="1"/>
  <c r="S10" i="18"/>
  <c r="R7" i="18"/>
  <c r="R9" i="18" s="1"/>
  <c r="Q33" i="18"/>
  <c r="Q28" i="18"/>
  <c r="Q31" i="18" s="1"/>
  <c r="S40" i="18"/>
  <c r="S42" i="18" s="1"/>
  <c r="T43" i="18"/>
  <c r="R24" i="18"/>
  <c r="R26" i="18" s="1"/>
  <c r="S27" i="18"/>
  <c r="Q82" i="7"/>
  <c r="R73" i="7"/>
  <c r="R75" i="7" s="1"/>
  <c r="S76" i="7"/>
  <c r="Q77" i="7"/>
  <c r="Q80" i="7" s="1"/>
  <c r="P80" i="7"/>
  <c r="Q50" i="7"/>
  <c r="Q49" i="7"/>
  <c r="Q66" i="7"/>
  <c r="Q61" i="7"/>
  <c r="Q64" i="7" s="1"/>
  <c r="Q44" i="7"/>
  <c r="Q45" i="7"/>
  <c r="P64" i="7"/>
  <c r="S60" i="7"/>
  <c r="R57" i="7"/>
  <c r="R59" i="7" s="1"/>
  <c r="S43" i="7"/>
  <c r="R40" i="7"/>
  <c r="R42" i="7" s="1"/>
  <c r="Q28" i="7"/>
  <c r="Q31" i="7" s="1"/>
  <c r="R26" i="7"/>
  <c r="R33" i="7" s="1"/>
  <c r="S27" i="7"/>
  <c r="S24" i="7" s="1"/>
  <c r="S73" i="18" l="1"/>
  <c r="S75" i="18" s="1"/>
  <c r="T76" i="18"/>
  <c r="T27" i="18"/>
  <c r="S24" i="18"/>
  <c r="S26" i="18" s="1"/>
  <c r="R11" i="18"/>
  <c r="R16" i="18"/>
  <c r="R77" i="18"/>
  <c r="R80" i="18" s="1"/>
  <c r="R82" i="18"/>
  <c r="R33" i="18"/>
  <c r="R28" i="18"/>
  <c r="S7" i="18"/>
  <c r="S9" i="18" s="1"/>
  <c r="T10" i="18"/>
  <c r="T40" i="18"/>
  <c r="T42" i="18" s="1"/>
  <c r="U43" i="18"/>
  <c r="S44" i="18"/>
  <c r="S47" i="18" s="1"/>
  <c r="S49" i="18"/>
  <c r="R47" i="18"/>
  <c r="T60" i="18"/>
  <c r="S57" i="18"/>
  <c r="S59" i="18" s="1"/>
  <c r="R61" i="18"/>
  <c r="R66" i="18"/>
  <c r="R82" i="7"/>
  <c r="S73" i="7"/>
  <c r="S75" i="7" s="1"/>
  <c r="T76" i="7"/>
  <c r="R77" i="7"/>
  <c r="R50" i="7"/>
  <c r="R49" i="7"/>
  <c r="R66" i="7"/>
  <c r="R61" i="7"/>
  <c r="R44" i="7"/>
  <c r="R47" i="7" s="1"/>
  <c r="Q47" i="7"/>
  <c r="T60" i="7"/>
  <c r="S57" i="7"/>
  <c r="S59" i="7" s="1"/>
  <c r="T43" i="7"/>
  <c r="S40" i="7"/>
  <c r="S42" i="7" s="1"/>
  <c r="R45" i="7"/>
  <c r="S26" i="7"/>
  <c r="S33" i="7" s="1"/>
  <c r="T27" i="7"/>
  <c r="T24" i="7" s="1"/>
  <c r="R28" i="7"/>
  <c r="R31" i="7" s="1"/>
  <c r="S11" i="18" l="1"/>
  <c r="S14" i="18" s="1"/>
  <c r="S16" i="18"/>
  <c r="T24" i="18"/>
  <c r="T26" i="18" s="1"/>
  <c r="U27" i="18"/>
  <c r="R64" i="18"/>
  <c r="R31" i="18"/>
  <c r="S77" i="18"/>
  <c r="S80" i="18" s="1"/>
  <c r="S82" i="18"/>
  <c r="T73" i="18"/>
  <c r="T75" i="18" s="1"/>
  <c r="U76" i="18"/>
  <c r="S61" i="18"/>
  <c r="S64" i="18" s="1"/>
  <c r="S66" i="18"/>
  <c r="R14" i="18"/>
  <c r="T57" i="18"/>
  <c r="T59" i="18" s="1"/>
  <c r="U60" i="18"/>
  <c r="V43" i="18"/>
  <c r="U40" i="18"/>
  <c r="U42" i="18" s="1"/>
  <c r="T44" i="18"/>
  <c r="T47" i="18" s="1"/>
  <c r="T49" i="18"/>
  <c r="U10" i="18"/>
  <c r="T7" i="18"/>
  <c r="T9" i="18" s="1"/>
  <c r="S33" i="18"/>
  <c r="S28" i="18"/>
  <c r="S31" i="18" s="1"/>
  <c r="S82" i="7"/>
  <c r="R80" i="7"/>
  <c r="T73" i="7"/>
  <c r="T75" i="7" s="1"/>
  <c r="U76" i="7"/>
  <c r="S77" i="7"/>
  <c r="S80" i="7" s="1"/>
  <c r="S50" i="7"/>
  <c r="S49" i="7"/>
  <c r="S66" i="7"/>
  <c r="S61" i="7"/>
  <c r="S64" i="7" s="1"/>
  <c r="S44" i="7"/>
  <c r="S47" i="7" s="1"/>
  <c r="S45" i="7"/>
  <c r="T40" i="7"/>
  <c r="T42" i="7" s="1"/>
  <c r="U43" i="7"/>
  <c r="R64" i="7"/>
  <c r="U60" i="7"/>
  <c r="T57" i="7"/>
  <c r="T59" i="7" s="1"/>
  <c r="T26" i="7"/>
  <c r="T33" i="7" s="1"/>
  <c r="U27" i="7"/>
  <c r="U24" i="7" s="1"/>
  <c r="S28" i="7"/>
  <c r="S31" i="7" s="1"/>
  <c r="T11" i="18" l="1"/>
  <c r="T14" i="18" s="1"/>
  <c r="T16" i="18"/>
  <c r="U57" i="18"/>
  <c r="U59" i="18" s="1"/>
  <c r="V60" i="18"/>
  <c r="U73" i="18"/>
  <c r="U75" i="18" s="1"/>
  <c r="V76" i="18"/>
  <c r="V10" i="18"/>
  <c r="U7" i="18"/>
  <c r="U9" i="18" s="1"/>
  <c r="T61" i="18"/>
  <c r="T64" i="18" s="1"/>
  <c r="T66" i="18"/>
  <c r="T77" i="18"/>
  <c r="T80" i="18" s="1"/>
  <c r="T82" i="18"/>
  <c r="W43" i="18"/>
  <c r="V40" i="18"/>
  <c r="V42" i="18" s="1"/>
  <c r="U24" i="18"/>
  <c r="U26" i="18" s="1"/>
  <c r="V27" i="18"/>
  <c r="T28" i="18"/>
  <c r="T31" i="18" s="1"/>
  <c r="T33" i="18"/>
  <c r="U49" i="18"/>
  <c r="U44" i="18"/>
  <c r="U47" i="18" s="1"/>
  <c r="T82" i="7"/>
  <c r="U73" i="7"/>
  <c r="U75" i="7" s="1"/>
  <c r="V76" i="7"/>
  <c r="T77" i="7"/>
  <c r="T80" i="7" s="1"/>
  <c r="T50" i="7"/>
  <c r="T49" i="7"/>
  <c r="T66" i="7"/>
  <c r="T61" i="7"/>
  <c r="T64" i="7" s="1"/>
  <c r="T44" i="7"/>
  <c r="T47" i="7" s="1"/>
  <c r="V43" i="7"/>
  <c r="U40" i="7"/>
  <c r="U42" i="7" s="1"/>
  <c r="V60" i="7"/>
  <c r="U57" i="7"/>
  <c r="U59" i="7" s="1"/>
  <c r="T45" i="7"/>
  <c r="U26" i="7"/>
  <c r="U33" i="7" s="1"/>
  <c r="V27" i="7"/>
  <c r="V24" i="7" s="1"/>
  <c r="T28" i="7"/>
  <c r="T31" i="7" s="1"/>
  <c r="V57" i="18" l="1"/>
  <c r="V59" i="18" s="1"/>
  <c r="W60" i="18"/>
  <c r="U28" i="18"/>
  <c r="U31" i="18" s="1"/>
  <c r="U33" i="18"/>
  <c r="U61" i="18"/>
  <c r="U64" i="18" s="1"/>
  <c r="U66" i="18"/>
  <c r="W76" i="18"/>
  <c r="V73" i="18"/>
  <c r="V75" i="18" s="1"/>
  <c r="W27" i="18"/>
  <c r="V24" i="18"/>
  <c r="V26" i="18" s="1"/>
  <c r="V44" i="18"/>
  <c r="V47" i="18" s="1"/>
  <c r="V49" i="18"/>
  <c r="U77" i="18"/>
  <c r="U80" i="18" s="1"/>
  <c r="U82" i="18"/>
  <c r="W40" i="18"/>
  <c r="W42" i="18" s="1"/>
  <c r="X43" i="18"/>
  <c r="U16" i="18"/>
  <c r="U11" i="18"/>
  <c r="U14" i="18" s="1"/>
  <c r="V7" i="18"/>
  <c r="V9" i="18" s="1"/>
  <c r="W10" i="18"/>
  <c r="U82" i="7"/>
  <c r="W76" i="7"/>
  <c r="V73" i="7"/>
  <c r="V75" i="7" s="1"/>
  <c r="U77" i="7"/>
  <c r="U80" i="7" s="1"/>
  <c r="U50" i="7"/>
  <c r="U49" i="7"/>
  <c r="U66" i="7"/>
  <c r="U61" i="7"/>
  <c r="U64" i="7" s="1"/>
  <c r="U44" i="7"/>
  <c r="U47" i="7" s="1"/>
  <c r="V57" i="7"/>
  <c r="V59" i="7" s="1"/>
  <c r="W60" i="7"/>
  <c r="U45" i="7"/>
  <c r="W43" i="7"/>
  <c r="V40" i="7"/>
  <c r="V42" i="7" s="1"/>
  <c r="V26" i="7"/>
  <c r="V33" i="7" s="1"/>
  <c r="W27" i="7"/>
  <c r="W24" i="7" s="1"/>
  <c r="U28" i="7"/>
  <c r="U31" i="7" s="1"/>
  <c r="Y43" i="18" l="1"/>
  <c r="X40" i="18"/>
  <c r="X42" i="18" s="1"/>
  <c r="W49" i="18"/>
  <c r="W44" i="18"/>
  <c r="W47" i="18" s="1"/>
  <c r="V11" i="18"/>
  <c r="V14" i="18" s="1"/>
  <c r="V16" i="18"/>
  <c r="X27" i="18"/>
  <c r="W24" i="18"/>
  <c r="W26" i="18" s="1"/>
  <c r="V82" i="18"/>
  <c r="V77" i="18"/>
  <c r="V80" i="18" s="1"/>
  <c r="X76" i="18"/>
  <c r="X73" i="18" s="1"/>
  <c r="X75" i="18" s="1"/>
  <c r="W73" i="18"/>
  <c r="W75" i="18" s="1"/>
  <c r="V28" i="18"/>
  <c r="V31" i="18" s="1"/>
  <c r="V33" i="18"/>
  <c r="X60" i="18"/>
  <c r="W57" i="18"/>
  <c r="W59" i="18" s="1"/>
  <c r="W7" i="18"/>
  <c r="W9" i="18" s="1"/>
  <c r="X10" i="18"/>
  <c r="V66" i="18"/>
  <c r="V61" i="18"/>
  <c r="V64" i="18" s="1"/>
  <c r="V82" i="7"/>
  <c r="V77" i="7"/>
  <c r="V80" i="7" s="1"/>
  <c r="W73" i="7"/>
  <c r="W75" i="7" s="1"/>
  <c r="X76" i="7"/>
  <c r="V50" i="7"/>
  <c r="V49" i="7"/>
  <c r="V66" i="7"/>
  <c r="V61" i="7"/>
  <c r="V64" i="7" s="1"/>
  <c r="V44" i="7"/>
  <c r="V47" i="7" s="1"/>
  <c r="X43" i="7"/>
  <c r="W40" i="7"/>
  <c r="W42" i="7" s="1"/>
  <c r="W57" i="7"/>
  <c r="W59" i="7" s="1"/>
  <c r="X60" i="7"/>
  <c r="V45" i="7"/>
  <c r="W26" i="7"/>
  <c r="W33" i="7" s="1"/>
  <c r="X27" i="7"/>
  <c r="X24" i="7" s="1"/>
  <c r="V28" i="7"/>
  <c r="V31" i="7" s="1"/>
  <c r="W66" i="18" l="1"/>
  <c r="W61" i="18"/>
  <c r="W64" i="18" s="1"/>
  <c r="Y60" i="18"/>
  <c r="X57" i="18"/>
  <c r="X59" i="18" s="1"/>
  <c r="W33" i="18"/>
  <c r="W28" i="18"/>
  <c r="W31" i="18" s="1"/>
  <c r="Y27" i="18"/>
  <c r="X24" i="18"/>
  <c r="X26" i="18" s="1"/>
  <c r="Y10" i="18"/>
  <c r="X7" i="18"/>
  <c r="X9" i="18" s="1"/>
  <c r="W77" i="18"/>
  <c r="W80" i="18" s="1"/>
  <c r="W82" i="18"/>
  <c r="X44" i="18"/>
  <c r="X47" i="18" s="1"/>
  <c r="X49" i="18"/>
  <c r="W16" i="18"/>
  <c r="W11" i="18"/>
  <c r="W14" i="18" s="1"/>
  <c r="X77" i="18"/>
  <c r="X82" i="18"/>
  <c r="D77" i="18"/>
  <c r="Z43" i="18"/>
  <c r="Y40" i="18"/>
  <c r="Y42" i="18" s="1"/>
  <c r="W82" i="7"/>
  <c r="W77" i="7"/>
  <c r="W80" i="7" s="1"/>
  <c r="X73" i="7"/>
  <c r="X75" i="7" s="1"/>
  <c r="W50" i="7"/>
  <c r="W49" i="7"/>
  <c r="W66" i="7"/>
  <c r="W61" i="7"/>
  <c r="W64" i="7" s="1"/>
  <c r="W44" i="7"/>
  <c r="W47" i="7" s="1"/>
  <c r="Y60" i="7"/>
  <c r="X57" i="7"/>
  <c r="X59" i="7" s="1"/>
  <c r="Y43" i="7"/>
  <c r="X40" i="7"/>
  <c r="X42" i="7" s="1"/>
  <c r="W45" i="7"/>
  <c r="X26" i="7"/>
  <c r="X33" i="7" s="1"/>
  <c r="Y27" i="7"/>
  <c r="Y24" i="7" s="1"/>
  <c r="W28" i="7"/>
  <c r="W31" i="7" s="1"/>
  <c r="N16" i="19" l="1"/>
  <c r="H78" i="18"/>
  <c r="H83" i="18"/>
  <c r="I78" i="18"/>
  <c r="I83" i="18"/>
  <c r="J83" i="18"/>
  <c r="L83" i="18"/>
  <c r="L78" i="18"/>
  <c r="J78" i="18"/>
  <c r="M83" i="18"/>
  <c r="M78" i="18"/>
  <c r="K78" i="18"/>
  <c r="K83" i="18"/>
  <c r="N83" i="18"/>
  <c r="N78" i="18"/>
  <c r="O83" i="18"/>
  <c r="O78" i="18"/>
  <c r="P78" i="18"/>
  <c r="P83" i="18"/>
  <c r="Q78" i="18"/>
  <c r="Q83" i="18"/>
  <c r="R83" i="18"/>
  <c r="R78" i="18"/>
  <c r="S78" i="18"/>
  <c r="S83" i="18"/>
  <c r="T83" i="18"/>
  <c r="T78" i="18"/>
  <c r="U83" i="18"/>
  <c r="U78" i="18"/>
  <c r="V78" i="18"/>
  <c r="V83" i="18"/>
  <c r="W83" i="18"/>
  <c r="Z40" i="18"/>
  <c r="Z42" i="18" s="1"/>
  <c r="AA43" i="18"/>
  <c r="Z10" i="18"/>
  <c r="Y7" i="18"/>
  <c r="Y9" i="18" s="1"/>
  <c r="Y57" i="18"/>
  <c r="Y59" i="18" s="1"/>
  <c r="Z60" i="18"/>
  <c r="Z57" i="18" s="1"/>
  <c r="Z59" i="18" s="1"/>
  <c r="X78" i="18"/>
  <c r="X80" i="18"/>
  <c r="D78" i="18" s="1"/>
  <c r="D79" i="18" s="1"/>
  <c r="D70" i="18"/>
  <c r="X28" i="18"/>
  <c r="X31" i="18" s="1"/>
  <c r="X33" i="18"/>
  <c r="X83" i="18"/>
  <c r="Y24" i="18"/>
  <c r="Y26" i="18" s="1"/>
  <c r="Z27" i="18"/>
  <c r="X61" i="18"/>
  <c r="X64" i="18" s="1"/>
  <c r="X66" i="18"/>
  <c r="W78" i="18"/>
  <c r="X11" i="18"/>
  <c r="X14" i="18" s="1"/>
  <c r="X16" i="18"/>
  <c r="Y44" i="18"/>
  <c r="Y47" i="18" s="1"/>
  <c r="Y49" i="18"/>
  <c r="X82" i="7"/>
  <c r="X77" i="7"/>
  <c r="X80" i="7" s="1"/>
  <c r="X50" i="7"/>
  <c r="X49" i="7"/>
  <c r="X66" i="7"/>
  <c r="X61" i="7"/>
  <c r="X64" i="7" s="1"/>
  <c r="X44" i="7"/>
  <c r="X47" i="7" s="1"/>
  <c r="Y40" i="7"/>
  <c r="Y42" i="7" s="1"/>
  <c r="Z43" i="7"/>
  <c r="Y57" i="7"/>
  <c r="Y59" i="7" s="1"/>
  <c r="Z60" i="7"/>
  <c r="X45" i="7"/>
  <c r="Y26" i="7"/>
  <c r="Y33" i="7" s="1"/>
  <c r="Z27" i="7"/>
  <c r="Z24" i="7" s="1"/>
  <c r="X28" i="7"/>
  <c r="X31" i="7" s="1"/>
  <c r="O16" i="19" l="1"/>
  <c r="D16" i="19"/>
  <c r="D31" i="19" s="1"/>
  <c r="G31" i="19" s="1"/>
  <c r="D74" i="18"/>
  <c r="F16" i="19" s="1"/>
  <c r="D72" i="18"/>
  <c r="D73" i="18" s="1"/>
  <c r="E16" i="19" s="1"/>
  <c r="Z49" i="18"/>
  <c r="Z44" i="18"/>
  <c r="Z47" i="18" s="1"/>
  <c r="AA27" i="18"/>
  <c r="Z24" i="18"/>
  <c r="Z26" i="18" s="1"/>
  <c r="Y33" i="18"/>
  <c r="Y28" i="18"/>
  <c r="Y31" i="18" s="1"/>
  <c r="Z66" i="18"/>
  <c r="Z61" i="18"/>
  <c r="D61" i="18"/>
  <c r="N17" i="19" s="1"/>
  <c r="Y66" i="18"/>
  <c r="Y61" i="18"/>
  <c r="Y64" i="18" s="1"/>
  <c r="Y16" i="18"/>
  <c r="Y11" i="18"/>
  <c r="Y14" i="18" s="1"/>
  <c r="Z7" i="18"/>
  <c r="Z9" i="18" s="1"/>
  <c r="AA10" i="18"/>
  <c r="D80" i="18"/>
  <c r="P16" i="19" s="1"/>
  <c r="AA40" i="18"/>
  <c r="AA42" i="18" s="1"/>
  <c r="AB43" i="18"/>
  <c r="Y50" i="7"/>
  <c r="Y49" i="7"/>
  <c r="Y66" i="7"/>
  <c r="Y61" i="7"/>
  <c r="Y64" i="7" s="1"/>
  <c r="Y44" i="7"/>
  <c r="Y47" i="7" s="1"/>
  <c r="Z57" i="7"/>
  <c r="Z59" i="7" s="1"/>
  <c r="AA43" i="7"/>
  <c r="Z40" i="7"/>
  <c r="Z42" i="7" s="1"/>
  <c r="Y45" i="7"/>
  <c r="Z26" i="7"/>
  <c r="Z33" i="7" s="1"/>
  <c r="AA27" i="7"/>
  <c r="AA24" i="7" s="1"/>
  <c r="Y28" i="7"/>
  <c r="Y31" i="7" s="1"/>
  <c r="I31" i="19" l="1"/>
  <c r="Z33" i="18"/>
  <c r="Z28" i="18"/>
  <c r="Z31" i="18" s="1"/>
  <c r="AA24" i="18"/>
  <c r="AA26" i="18" s="1"/>
  <c r="AB27" i="18"/>
  <c r="H67" i="18"/>
  <c r="I67" i="18"/>
  <c r="K67" i="18"/>
  <c r="L67" i="18"/>
  <c r="J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AB40" i="18"/>
  <c r="AB42" i="18" s="1"/>
  <c r="AC43" i="18"/>
  <c r="AA49" i="18"/>
  <c r="AA44" i="18"/>
  <c r="AA47" i="18" s="1"/>
  <c r="Z67" i="18"/>
  <c r="Z64" i="18"/>
  <c r="D62" i="18" s="1"/>
  <c r="D63" i="18" s="1"/>
  <c r="O17" i="19" s="1"/>
  <c r="D54" i="18"/>
  <c r="Y67" i="18"/>
  <c r="AA7" i="18"/>
  <c r="AA9" i="18" s="1"/>
  <c r="AB10" i="18"/>
  <c r="Z16" i="18"/>
  <c r="Z11" i="18"/>
  <c r="Z14" i="18" s="1"/>
  <c r="Z50" i="7"/>
  <c r="Z49" i="7"/>
  <c r="Z61" i="7"/>
  <c r="Z66" i="7"/>
  <c r="Z44" i="7"/>
  <c r="Z47" i="7" s="1"/>
  <c r="Z45" i="7"/>
  <c r="AB43" i="7"/>
  <c r="AA40" i="7"/>
  <c r="AA42" i="7" s="1"/>
  <c r="AA26" i="7"/>
  <c r="AA33" i="7" s="1"/>
  <c r="AB27" i="7"/>
  <c r="AB24" i="7" s="1"/>
  <c r="Z28" i="7"/>
  <c r="Z31" i="7" s="1"/>
  <c r="D17" i="19" l="1"/>
  <c r="D32" i="19" s="1"/>
  <c r="G32" i="19" s="1"/>
  <c r="AB44" i="18"/>
  <c r="AB47" i="18" s="1"/>
  <c r="AB49" i="18"/>
  <c r="D64" i="18"/>
  <c r="P17" i="19" s="1"/>
  <c r="D56" i="18"/>
  <c r="D57" i="18" s="1"/>
  <c r="E17" i="19" s="1"/>
  <c r="D58" i="18"/>
  <c r="F17" i="19" s="1"/>
  <c r="AA33" i="18"/>
  <c r="AA28" i="18"/>
  <c r="AA31" i="18" s="1"/>
  <c r="AC27" i="18"/>
  <c r="AB24" i="18"/>
  <c r="AB26" i="18" s="1"/>
  <c r="AC10" i="18"/>
  <c r="AB7" i="18"/>
  <c r="AB9" i="18" s="1"/>
  <c r="AA16" i="18"/>
  <c r="AA11" i="18"/>
  <c r="AA14" i="18" s="1"/>
  <c r="AD43" i="18"/>
  <c r="AC40" i="18"/>
  <c r="AC42" i="18" s="1"/>
  <c r="AA50" i="7"/>
  <c r="AA49" i="7"/>
  <c r="AA44" i="7"/>
  <c r="AA47" i="7" s="1"/>
  <c r="Z64" i="7"/>
  <c r="D54" i="7"/>
  <c r="D12" i="19" s="1"/>
  <c r="AB40" i="7"/>
  <c r="AB42" i="7" s="1"/>
  <c r="AC43" i="7"/>
  <c r="AA45" i="7"/>
  <c r="AB26" i="7"/>
  <c r="AB33" i="7" s="1"/>
  <c r="AC27" i="7"/>
  <c r="AC24" i="7" s="1"/>
  <c r="AA28" i="7"/>
  <c r="AA31" i="7" s="1"/>
  <c r="I32" i="19" l="1"/>
  <c r="AB11" i="18"/>
  <c r="AB14" i="18" s="1"/>
  <c r="AB16" i="18"/>
  <c r="AD10" i="18"/>
  <c r="AC7" i="18"/>
  <c r="AC9" i="18" s="1"/>
  <c r="AC49" i="18"/>
  <c r="AC44" i="18"/>
  <c r="AC47" i="18" s="1"/>
  <c r="AB28" i="18"/>
  <c r="AB31" i="18" s="1"/>
  <c r="AB33" i="18"/>
  <c r="AE43" i="18"/>
  <c r="AD40" i="18"/>
  <c r="AD42" i="18" s="1"/>
  <c r="AC24" i="18"/>
  <c r="AC26" i="18" s="1"/>
  <c r="AD27" i="18"/>
  <c r="AB50" i="7"/>
  <c r="AB49" i="7"/>
  <c r="AB44" i="7"/>
  <c r="AB47" i="7" s="1"/>
  <c r="AC40" i="7"/>
  <c r="AC42" i="7" s="1"/>
  <c r="AD43" i="7"/>
  <c r="AB45" i="7"/>
  <c r="AC26" i="7"/>
  <c r="AC33" i="7" s="1"/>
  <c r="AD27" i="7"/>
  <c r="AD24" i="7" s="1"/>
  <c r="AB28" i="7"/>
  <c r="AB31" i="7" s="1"/>
  <c r="AD49" i="18" l="1"/>
  <c r="AD44" i="18"/>
  <c r="AD47" i="18" s="1"/>
  <c r="AE40" i="18"/>
  <c r="AE42" i="18" s="1"/>
  <c r="AF43" i="18"/>
  <c r="AC28" i="18"/>
  <c r="AC31" i="18" s="1"/>
  <c r="AC33" i="18"/>
  <c r="AC16" i="18"/>
  <c r="AC11" i="18"/>
  <c r="AC14" i="18" s="1"/>
  <c r="AE10" i="18"/>
  <c r="AD7" i="18"/>
  <c r="AD9" i="18" s="1"/>
  <c r="AE27" i="18"/>
  <c r="AD24" i="18"/>
  <c r="AD26" i="18" s="1"/>
  <c r="AC50" i="7"/>
  <c r="AC49" i="7"/>
  <c r="AC44" i="7"/>
  <c r="AC47" i="7" s="1"/>
  <c r="AC45" i="7"/>
  <c r="AD40" i="7"/>
  <c r="AD42" i="7" s="1"/>
  <c r="AE43" i="7"/>
  <c r="AD26" i="7"/>
  <c r="AD33" i="7" s="1"/>
  <c r="AE27" i="7"/>
  <c r="AE24" i="7" s="1"/>
  <c r="AC28" i="7"/>
  <c r="AC31" i="7" s="1"/>
  <c r="AF27" i="18" l="1"/>
  <c r="AE24" i="18"/>
  <c r="AE26" i="18" s="1"/>
  <c r="AE7" i="18"/>
  <c r="AE9" i="18" s="1"/>
  <c r="AF10" i="18"/>
  <c r="AE44" i="18"/>
  <c r="AE47" i="18" s="1"/>
  <c r="AE49" i="18"/>
  <c r="AD11" i="18"/>
  <c r="AD14" i="18" s="1"/>
  <c r="AD16" i="18"/>
  <c r="AG43" i="18"/>
  <c r="AF40" i="18"/>
  <c r="AF42" i="18" s="1"/>
  <c r="AD28" i="18"/>
  <c r="AD31" i="18" s="1"/>
  <c r="AD33" i="18"/>
  <c r="AD50" i="7"/>
  <c r="AD49" i="7"/>
  <c r="AD44" i="7"/>
  <c r="AD47" i="7" s="1"/>
  <c r="AD45" i="7"/>
  <c r="AE40" i="7"/>
  <c r="AE42" i="7" s="1"/>
  <c r="AF43" i="7"/>
  <c r="AE26" i="7"/>
  <c r="AE33" i="7" s="1"/>
  <c r="AF27" i="7"/>
  <c r="AF24" i="7" s="1"/>
  <c r="AD28" i="7"/>
  <c r="AD31" i="7" s="1"/>
  <c r="AE33" i="18" l="1"/>
  <c r="AE28" i="18"/>
  <c r="AE31" i="18" s="1"/>
  <c r="AG27" i="18"/>
  <c r="AF24" i="18"/>
  <c r="AF26" i="18" s="1"/>
  <c r="AF44" i="18"/>
  <c r="AF47" i="18" s="1"/>
  <c r="AF49" i="18"/>
  <c r="AH43" i="18"/>
  <c r="AG40" i="18"/>
  <c r="AG42" i="18" s="1"/>
  <c r="AF7" i="18"/>
  <c r="AF9" i="18" s="1"/>
  <c r="AG10" i="18"/>
  <c r="AE11" i="18"/>
  <c r="AE14" i="18" s="1"/>
  <c r="AE16" i="18"/>
  <c r="AE50" i="7"/>
  <c r="AE49" i="7"/>
  <c r="AE44" i="7"/>
  <c r="AE47" i="7" s="1"/>
  <c r="AG43" i="7"/>
  <c r="AF40" i="7"/>
  <c r="AF42" i="7" s="1"/>
  <c r="AE45" i="7"/>
  <c r="AF26" i="7"/>
  <c r="AF33" i="7" s="1"/>
  <c r="AG27" i="7"/>
  <c r="AG24" i="7" s="1"/>
  <c r="AE28" i="7"/>
  <c r="AE31" i="7" s="1"/>
  <c r="AF28" i="18" l="1"/>
  <c r="AF31" i="18" s="1"/>
  <c r="AF33" i="18"/>
  <c r="AG44" i="18"/>
  <c r="AG47" i="18" s="1"/>
  <c r="AG49" i="18"/>
  <c r="AH10" i="18"/>
  <c r="AG7" i="18"/>
  <c r="AG9" i="18" s="1"/>
  <c r="AF11" i="18"/>
  <c r="AF14" i="18" s="1"/>
  <c r="AF16" i="18"/>
  <c r="AH27" i="18"/>
  <c r="AG24" i="18"/>
  <c r="AG26" i="18" s="1"/>
  <c r="AH40" i="18"/>
  <c r="AH42" i="18" s="1"/>
  <c r="AI43" i="18"/>
  <c r="AF50" i="7"/>
  <c r="AF49" i="7"/>
  <c r="AF44" i="7"/>
  <c r="AF47" i="7" s="1"/>
  <c r="AG40" i="7"/>
  <c r="AG42" i="7" s="1"/>
  <c r="AH43" i="7"/>
  <c r="AF45" i="7"/>
  <c r="AG26" i="7"/>
  <c r="AG33" i="7" s="1"/>
  <c r="AH27" i="7"/>
  <c r="AH24" i="7" s="1"/>
  <c r="AF28" i="7"/>
  <c r="AF31" i="7" s="1"/>
  <c r="AG33" i="18" l="1"/>
  <c r="AG28" i="18"/>
  <c r="AG31" i="18" s="1"/>
  <c r="AH49" i="18"/>
  <c r="AH44" i="18"/>
  <c r="AH47" i="18" s="1"/>
  <c r="AH24" i="18"/>
  <c r="AH26" i="18" s="1"/>
  <c r="AI27" i="18"/>
  <c r="AI40" i="18"/>
  <c r="AI42" i="18" s="1"/>
  <c r="AJ43" i="18"/>
  <c r="AJ40" i="18" s="1"/>
  <c r="AJ42" i="18" s="1"/>
  <c r="AG16" i="18"/>
  <c r="AG11" i="18"/>
  <c r="AG14" i="18" s="1"/>
  <c r="AI10" i="18"/>
  <c r="AH7" i="18"/>
  <c r="AH9" i="18" s="1"/>
  <c r="AG50" i="7"/>
  <c r="AG49" i="7"/>
  <c r="AG44" i="7"/>
  <c r="AG47" i="7" s="1"/>
  <c r="AI43" i="7"/>
  <c r="AH40" i="7"/>
  <c r="AH42" i="7" s="1"/>
  <c r="AG45" i="7"/>
  <c r="AH26" i="7"/>
  <c r="AH33" i="7" s="1"/>
  <c r="AI27" i="7"/>
  <c r="AI24" i="7" s="1"/>
  <c r="AG28" i="7"/>
  <c r="AG31" i="7" s="1"/>
  <c r="AH16" i="18" l="1"/>
  <c r="AH11" i="18"/>
  <c r="AH14" i="18" s="1"/>
  <c r="AI44" i="18"/>
  <c r="AI47" i="18" s="1"/>
  <c r="AI49" i="18"/>
  <c r="AJ44" i="18"/>
  <c r="AJ49" i="18"/>
  <c r="D44" i="18"/>
  <c r="N18" i="19" s="1"/>
  <c r="AJ27" i="18"/>
  <c r="AI24" i="18"/>
  <c r="AI26" i="18" s="1"/>
  <c r="AI7" i="18"/>
  <c r="AI9" i="18" s="1"/>
  <c r="AJ10" i="18"/>
  <c r="AH33" i="18"/>
  <c r="AH28" i="18"/>
  <c r="AH31" i="18" s="1"/>
  <c r="AH50" i="7"/>
  <c r="AH49" i="7"/>
  <c r="AH44" i="7"/>
  <c r="AH47" i="7" s="1"/>
  <c r="AH45" i="7"/>
  <c r="AJ43" i="7"/>
  <c r="AI40" i="7"/>
  <c r="AI42" i="7" s="1"/>
  <c r="AJ27" i="7"/>
  <c r="AJ24" i="7" s="1"/>
  <c r="AI26" i="7"/>
  <c r="AI33" i="7" s="1"/>
  <c r="AH28" i="7"/>
  <c r="AH31" i="7" s="1"/>
  <c r="AI33" i="18" l="1"/>
  <c r="AI28" i="18"/>
  <c r="AI31" i="18" s="1"/>
  <c r="AK10" i="18"/>
  <c r="AJ7" i="18"/>
  <c r="AJ9" i="18" s="1"/>
  <c r="AJ47" i="18"/>
  <c r="D45" i="18" s="1"/>
  <c r="D46" i="18" s="1"/>
  <c r="O18" i="19" s="1"/>
  <c r="D37" i="18"/>
  <c r="AI16" i="18"/>
  <c r="AI11" i="18"/>
  <c r="AI14" i="18" s="1"/>
  <c r="AJ24" i="18"/>
  <c r="AJ26" i="18" s="1"/>
  <c r="AK27" i="18"/>
  <c r="AI50" i="7"/>
  <c r="AI49" i="7"/>
  <c r="AI44" i="7"/>
  <c r="AI47" i="7" s="1"/>
  <c r="AI45" i="7"/>
  <c r="AJ40" i="7"/>
  <c r="AJ42" i="7" s="1"/>
  <c r="AJ49" i="7" s="1"/>
  <c r="AI28" i="7"/>
  <c r="AI31" i="7" s="1"/>
  <c r="AJ26" i="7"/>
  <c r="AJ33" i="7" s="1"/>
  <c r="AK27" i="7"/>
  <c r="AK24" i="7" s="1"/>
  <c r="D18" i="19" l="1"/>
  <c r="D33" i="19" s="1"/>
  <c r="G33" i="19" s="1"/>
  <c r="AJ28" i="18"/>
  <c r="AJ31" i="18" s="1"/>
  <c r="AJ33" i="18"/>
  <c r="AL10" i="18"/>
  <c r="AK7" i="18"/>
  <c r="AK9" i="18" s="1"/>
  <c r="AJ11" i="18"/>
  <c r="AJ14" i="18" s="1"/>
  <c r="AJ16" i="18"/>
  <c r="D41" i="18"/>
  <c r="F18" i="19" s="1"/>
  <c r="D39" i="18"/>
  <c r="D40" i="18" s="1"/>
  <c r="E18" i="19" s="1"/>
  <c r="AL27" i="18"/>
  <c r="AK24" i="18"/>
  <c r="AK26" i="18" s="1"/>
  <c r="AJ44" i="7"/>
  <c r="D37" i="7" s="1"/>
  <c r="AJ50" i="7"/>
  <c r="AJ45" i="7"/>
  <c r="AK26" i="7"/>
  <c r="AK33" i="7" s="1"/>
  <c r="AL27" i="7"/>
  <c r="AL24" i="7" s="1"/>
  <c r="AJ28" i="7"/>
  <c r="AJ31" i="7" s="1"/>
  <c r="I33" i="19" l="1"/>
  <c r="D27" i="19"/>
  <c r="G27" i="19" s="1"/>
  <c r="D13" i="19"/>
  <c r="D28" i="19" s="1"/>
  <c r="G28" i="19" s="1"/>
  <c r="AK16" i="18"/>
  <c r="AK11" i="18"/>
  <c r="AK14" i="18" s="1"/>
  <c r="AK28" i="18"/>
  <c r="AK31" i="18" s="1"/>
  <c r="AK33" i="18"/>
  <c r="AM27" i="18"/>
  <c r="AL24" i="18"/>
  <c r="AL26" i="18" s="1"/>
  <c r="AM10" i="18"/>
  <c r="AL7" i="18"/>
  <c r="AL9" i="18" s="1"/>
  <c r="AJ47" i="7"/>
  <c r="AL26" i="7"/>
  <c r="AL33" i="7" s="1"/>
  <c r="AM27" i="7"/>
  <c r="AM24" i="7" s="1"/>
  <c r="AK28" i="7"/>
  <c r="AK31" i="7" s="1"/>
  <c r="I28" i="19" l="1"/>
  <c r="I27" i="19"/>
  <c r="AN27" i="18"/>
  <c r="AM24" i="18"/>
  <c r="AM26" i="18" s="1"/>
  <c r="AL28" i="18"/>
  <c r="AL31" i="18" s="1"/>
  <c r="AL33" i="18"/>
  <c r="AL16" i="18"/>
  <c r="AL11" i="18"/>
  <c r="AL14" i="18" s="1"/>
  <c r="AM7" i="18"/>
  <c r="AM9" i="18" s="1"/>
  <c r="AN10" i="18"/>
  <c r="AM26" i="7"/>
  <c r="AM33" i="7" s="1"/>
  <c r="AN27" i="7"/>
  <c r="AN24" i="7" s="1"/>
  <c r="AL28" i="7"/>
  <c r="AL31" i="7" s="1"/>
  <c r="AM16" i="18" l="1"/>
  <c r="AM11" i="18"/>
  <c r="AM14" i="18" s="1"/>
  <c r="AM33" i="18"/>
  <c r="AM28" i="18"/>
  <c r="AM31" i="18" s="1"/>
  <c r="AO27" i="18"/>
  <c r="AO24" i="18" s="1"/>
  <c r="AO26" i="18" s="1"/>
  <c r="AN24" i="18"/>
  <c r="AN26" i="18" s="1"/>
  <c r="AO10" i="18"/>
  <c r="AN7" i="18"/>
  <c r="AN9" i="18" s="1"/>
  <c r="AN26" i="7"/>
  <c r="AN33" i="7" s="1"/>
  <c r="AO27" i="7"/>
  <c r="AO24" i="7" s="1"/>
  <c r="AM28" i="7"/>
  <c r="AM31" i="7" s="1"/>
  <c r="AP10" i="18" l="1"/>
  <c r="AO7" i="18"/>
  <c r="AO9" i="18" s="1"/>
  <c r="AN11" i="18"/>
  <c r="AN14" i="18" s="1"/>
  <c r="AN16" i="18"/>
  <c r="AN28" i="18"/>
  <c r="AN31" i="18" s="1"/>
  <c r="AN33" i="18"/>
  <c r="AO33" i="18"/>
  <c r="AO28" i="18"/>
  <c r="D28" i="18"/>
  <c r="N19" i="19" s="1"/>
  <c r="D77" i="7"/>
  <c r="N11" i="19" s="1"/>
  <c r="D61" i="7"/>
  <c r="N12" i="19" s="1"/>
  <c r="AO26" i="7"/>
  <c r="AO33" i="7" s="1"/>
  <c r="AN28" i="7"/>
  <c r="AN31" i="7" s="1"/>
  <c r="H62" i="18" l="1"/>
  <c r="H34" i="18"/>
  <c r="H29" i="18"/>
  <c r="K62" i="18"/>
  <c r="K34" i="18"/>
  <c r="K29" i="18"/>
  <c r="I62" i="18"/>
  <c r="L29" i="18"/>
  <c r="J29" i="18"/>
  <c r="J34" i="18"/>
  <c r="M29" i="18"/>
  <c r="M62" i="18"/>
  <c r="I34" i="18"/>
  <c r="L62" i="18"/>
  <c r="J62" i="18"/>
  <c r="M34" i="18"/>
  <c r="L34" i="18"/>
  <c r="I29" i="18"/>
  <c r="N62" i="18"/>
  <c r="N34" i="18"/>
  <c r="N29" i="18"/>
  <c r="O29" i="18"/>
  <c r="O34" i="18"/>
  <c r="O62" i="18"/>
  <c r="P62" i="18"/>
  <c r="P34" i="18"/>
  <c r="P29" i="18"/>
  <c r="Q29" i="18"/>
  <c r="Q62" i="18"/>
  <c r="Q34" i="18"/>
  <c r="R29" i="18"/>
  <c r="R34" i="18"/>
  <c r="R62" i="18"/>
  <c r="S62" i="18"/>
  <c r="S29" i="18"/>
  <c r="S34" i="18"/>
  <c r="T29" i="18"/>
  <c r="T34" i="18"/>
  <c r="T62" i="18"/>
  <c r="U62" i="18"/>
  <c r="U34" i="18"/>
  <c r="U29" i="18"/>
  <c r="V62" i="18"/>
  <c r="V34" i="18"/>
  <c r="V29" i="18"/>
  <c r="W34" i="18"/>
  <c r="W62" i="18"/>
  <c r="W29" i="18"/>
  <c r="X34" i="18"/>
  <c r="X62" i="18"/>
  <c r="X29" i="18"/>
  <c r="Y29" i="18"/>
  <c r="Y62" i="18"/>
  <c r="Y34" i="18"/>
  <c r="Z62" i="18"/>
  <c r="Z34" i="18"/>
  <c r="Z29" i="18"/>
  <c r="AA34" i="18"/>
  <c r="AA29" i="18"/>
  <c r="AB34" i="18"/>
  <c r="AB29" i="18"/>
  <c r="AC29" i="18"/>
  <c r="AC34" i="18"/>
  <c r="AD34" i="18"/>
  <c r="AD29" i="18"/>
  <c r="AE29" i="18"/>
  <c r="AE34" i="18"/>
  <c r="AF34" i="18"/>
  <c r="AF29" i="18"/>
  <c r="AG34" i="18"/>
  <c r="AG29" i="18"/>
  <c r="AH29" i="18"/>
  <c r="AH34" i="18"/>
  <c r="AI29" i="18"/>
  <c r="AI34" i="18"/>
  <c r="AJ29" i="18"/>
  <c r="AJ34" i="18"/>
  <c r="AK34" i="18"/>
  <c r="AK29" i="18"/>
  <c r="AL34" i="18"/>
  <c r="AL29" i="18"/>
  <c r="AM34" i="18"/>
  <c r="AM29" i="18"/>
  <c r="AN34" i="18"/>
  <c r="AO31" i="18"/>
  <c r="D29" i="18" s="1"/>
  <c r="D30" i="18" s="1"/>
  <c r="O19" i="19" s="1"/>
  <c r="D21" i="18"/>
  <c r="AO34" i="18"/>
  <c r="AO29" i="18"/>
  <c r="AN29" i="18"/>
  <c r="AO16" i="18"/>
  <c r="AO11" i="18"/>
  <c r="AO14" i="18" s="1"/>
  <c r="AQ10" i="18"/>
  <c r="AP7" i="18"/>
  <c r="AP9" i="18" s="1"/>
  <c r="H83" i="7"/>
  <c r="M83" i="7"/>
  <c r="K83" i="7"/>
  <c r="L83" i="7"/>
  <c r="J83" i="7"/>
  <c r="I83" i="7"/>
  <c r="N83" i="7"/>
  <c r="O83" i="7"/>
  <c r="P83" i="7"/>
  <c r="Q83" i="7"/>
  <c r="R83" i="7"/>
  <c r="S83" i="7"/>
  <c r="T83" i="7"/>
  <c r="U83" i="7"/>
  <c r="V83" i="7"/>
  <c r="W83" i="7"/>
  <c r="X83" i="7"/>
  <c r="H78" i="7"/>
  <c r="M78" i="7"/>
  <c r="K78" i="7"/>
  <c r="I78" i="7"/>
  <c r="L78" i="7"/>
  <c r="J78" i="7"/>
  <c r="N78" i="7"/>
  <c r="O78" i="7"/>
  <c r="P78" i="7"/>
  <c r="Q78" i="7"/>
  <c r="R78" i="7"/>
  <c r="S78" i="7"/>
  <c r="T78" i="7"/>
  <c r="U78" i="7"/>
  <c r="V78" i="7"/>
  <c r="W78" i="7"/>
  <c r="X78" i="7"/>
  <c r="D70" i="7"/>
  <c r="H67" i="7"/>
  <c r="I67" i="7"/>
  <c r="M67" i="7"/>
  <c r="J67" i="7"/>
  <c r="L67" i="7"/>
  <c r="K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D62" i="7"/>
  <c r="D63" i="7" s="1"/>
  <c r="O12" i="19" s="1"/>
  <c r="AO28" i="7"/>
  <c r="AO31" i="7" s="1"/>
  <c r="D19" i="19" l="1"/>
  <c r="D34" i="19" s="1"/>
  <c r="G34" i="19" s="1"/>
  <c r="D74" i="7"/>
  <c r="F11" i="19" s="1"/>
  <c r="D11" i="19"/>
  <c r="D26" i="19" s="1"/>
  <c r="G26" i="19" s="1"/>
  <c r="AP11" i="18"/>
  <c r="AP14" i="18" s="1"/>
  <c r="AP16" i="18"/>
  <c r="AQ7" i="18"/>
  <c r="AQ9" i="18" s="1"/>
  <c r="AR10" i="18"/>
  <c r="D25" i="18"/>
  <c r="F19" i="19" s="1"/>
  <c r="D23" i="18"/>
  <c r="D31" i="18"/>
  <c r="P19" i="19" s="1"/>
  <c r="D78" i="7"/>
  <c r="D79" i="7" s="1"/>
  <c r="D72" i="7"/>
  <c r="D73" i="7" s="1"/>
  <c r="E11" i="19" s="1"/>
  <c r="D80" i="7"/>
  <c r="P11" i="19" s="1"/>
  <c r="D58" i="7"/>
  <c r="F12" i="19" s="1"/>
  <c r="D56" i="7"/>
  <c r="D57" i="7" s="1"/>
  <c r="E12" i="19" s="1"/>
  <c r="I34" i="19" l="1"/>
  <c r="I26" i="19"/>
  <c r="O11" i="19"/>
  <c r="D24" i="18"/>
  <c r="E19" i="19" s="1"/>
  <c r="AQ16" i="18"/>
  <c r="AQ11" i="18"/>
  <c r="AQ14" i="18" s="1"/>
  <c r="AR7" i="18"/>
  <c r="AR9" i="18" s="1"/>
  <c r="AS10" i="18"/>
  <c r="AR11" i="18" l="1"/>
  <c r="AR14" i="18" s="1"/>
  <c r="AR16" i="18"/>
  <c r="AT10" i="18"/>
  <c r="AS7" i="18"/>
  <c r="AS9" i="18" s="1"/>
  <c r="AU10" i="18" l="1"/>
  <c r="AT7" i="18"/>
  <c r="AT9" i="18" s="1"/>
  <c r="AS16" i="18"/>
  <c r="AS11" i="18"/>
  <c r="AS14" i="18" s="1"/>
  <c r="AT16" i="18" l="1"/>
  <c r="AT11" i="18"/>
  <c r="AT14" i="18" s="1"/>
  <c r="AU7" i="18"/>
  <c r="AU9" i="18" s="1"/>
  <c r="AV10" i="18"/>
  <c r="AV7" i="18" s="1"/>
  <c r="AV9" i="18" s="1"/>
  <c r="AV11" i="18" l="1"/>
  <c r="AV16" i="18"/>
  <c r="D11" i="18"/>
  <c r="AU16" i="18"/>
  <c r="AU11" i="18"/>
  <c r="AU14" i="18" s="1"/>
  <c r="D44" i="7"/>
  <c r="N13" i="19" s="1"/>
  <c r="D28" i="7"/>
  <c r="N14" i="19" s="1"/>
  <c r="D8" i="7"/>
  <c r="D6" i="7"/>
  <c r="AU17" i="18" l="1"/>
  <c r="N20" i="19"/>
  <c r="D7" i="7"/>
  <c r="F15" i="19"/>
  <c r="H45" i="18"/>
  <c r="I12" i="18"/>
  <c r="I45" i="18"/>
  <c r="H50" i="18"/>
  <c r="I17" i="18"/>
  <c r="I50" i="18"/>
  <c r="H12" i="18"/>
  <c r="H17" i="18"/>
  <c r="L50" i="18"/>
  <c r="M50" i="18"/>
  <c r="L17" i="18"/>
  <c r="J12" i="18"/>
  <c r="M45" i="18"/>
  <c r="J45" i="18"/>
  <c r="L45" i="18"/>
  <c r="J17" i="18"/>
  <c r="L12" i="18"/>
  <c r="J50" i="18"/>
  <c r="K45" i="18"/>
  <c r="K50" i="18"/>
  <c r="K17" i="18"/>
  <c r="N45" i="18"/>
  <c r="K12" i="18"/>
  <c r="N50" i="18"/>
  <c r="M12" i="18"/>
  <c r="M17" i="18"/>
  <c r="N17" i="18"/>
  <c r="N12" i="18"/>
  <c r="O45" i="18"/>
  <c r="O50" i="18"/>
  <c r="P50" i="18"/>
  <c r="O17" i="18"/>
  <c r="O12" i="18"/>
  <c r="P45" i="18"/>
  <c r="Q50" i="18"/>
  <c r="P17" i="18"/>
  <c r="P12" i="18"/>
  <c r="Q45" i="18"/>
  <c r="Q17" i="18"/>
  <c r="R45" i="18"/>
  <c r="Q12" i="18"/>
  <c r="R50" i="18"/>
  <c r="R12" i="18"/>
  <c r="R17" i="18"/>
  <c r="S45" i="18"/>
  <c r="S50" i="18"/>
  <c r="S17" i="18"/>
  <c r="T45" i="18"/>
  <c r="S12" i="18"/>
  <c r="T50" i="18"/>
  <c r="T17" i="18"/>
  <c r="U45" i="18"/>
  <c r="T12" i="18"/>
  <c r="U50" i="18"/>
  <c r="U12" i="18"/>
  <c r="U17" i="18"/>
  <c r="V45" i="18"/>
  <c r="V50" i="18"/>
  <c r="V17" i="18"/>
  <c r="W45" i="18"/>
  <c r="W50" i="18"/>
  <c r="V12" i="18"/>
  <c r="X50" i="18"/>
  <c r="X45" i="18"/>
  <c r="W12" i="18"/>
  <c r="W17" i="18"/>
  <c r="Y50" i="18"/>
  <c r="Y45" i="18"/>
  <c r="X17" i="18"/>
  <c r="X12" i="18"/>
  <c r="Z45" i="18"/>
  <c r="Z50" i="18"/>
  <c r="Y17" i="18"/>
  <c r="Y12" i="18"/>
  <c r="AA45" i="18"/>
  <c r="Z12" i="18"/>
  <c r="AA50" i="18"/>
  <c r="Z17" i="18"/>
  <c r="AB50" i="18"/>
  <c r="AB45" i="18"/>
  <c r="AA17" i="18"/>
  <c r="AA12" i="18"/>
  <c r="AB17" i="18"/>
  <c r="AC50" i="18"/>
  <c r="AC45" i="18"/>
  <c r="AB12" i="18"/>
  <c r="AD50" i="18"/>
  <c r="AC12" i="18"/>
  <c r="AC17" i="18"/>
  <c r="AD45" i="18"/>
  <c r="AD17" i="18"/>
  <c r="AE50" i="18"/>
  <c r="AE45" i="18"/>
  <c r="AD12" i="18"/>
  <c r="AE17" i="18"/>
  <c r="AF45" i="18"/>
  <c r="AF50" i="18"/>
  <c r="AE12" i="18"/>
  <c r="AF17" i="18"/>
  <c r="AF12" i="18"/>
  <c r="AG50" i="18"/>
  <c r="AG45" i="18"/>
  <c r="AH45" i="18"/>
  <c r="AG12" i="18"/>
  <c r="AH50" i="18"/>
  <c r="AG17" i="18"/>
  <c r="AI45" i="18"/>
  <c r="AI50" i="18"/>
  <c r="AH12" i="18"/>
  <c r="AJ45" i="18"/>
  <c r="AH17" i="18"/>
  <c r="AJ50" i="18"/>
  <c r="AI17" i="18"/>
  <c r="AI12" i="18"/>
  <c r="AJ12" i="18"/>
  <c r="AJ17" i="18"/>
  <c r="AK12" i="18"/>
  <c r="AK17" i="18"/>
  <c r="AL12" i="18"/>
  <c r="AL17" i="18"/>
  <c r="AM12" i="18"/>
  <c r="AM17" i="18"/>
  <c r="AN17" i="18"/>
  <c r="AN12" i="18"/>
  <c r="AO12" i="18"/>
  <c r="AO17" i="18"/>
  <c r="AP12" i="18"/>
  <c r="AP17" i="18"/>
  <c r="AQ12" i="18"/>
  <c r="AQ17" i="18"/>
  <c r="AR17" i="18"/>
  <c r="AR12" i="18"/>
  <c r="AS17" i="18"/>
  <c r="AS12" i="18"/>
  <c r="AT12" i="18"/>
  <c r="AT17" i="18"/>
  <c r="AV12" i="18"/>
  <c r="AV14" i="18"/>
  <c r="D12" i="18" s="1"/>
  <c r="D13" i="18" s="1"/>
  <c r="O20" i="19" s="1"/>
  <c r="D4" i="18"/>
  <c r="AU12" i="18"/>
  <c r="AV17" i="18"/>
  <c r="H34" i="7"/>
  <c r="K34" i="7"/>
  <c r="I34" i="7"/>
  <c r="L34" i="7"/>
  <c r="M34" i="7"/>
  <c r="J34" i="7"/>
  <c r="N34" i="7"/>
  <c r="O34" i="7"/>
  <c r="P34" i="7"/>
  <c r="Q34" i="7"/>
  <c r="R34" i="7"/>
  <c r="S34" i="7"/>
  <c r="T34" i="7"/>
  <c r="U34" i="7"/>
  <c r="V34" i="7"/>
  <c r="W34" i="7"/>
  <c r="X34" i="7"/>
  <c r="Y34" i="7"/>
  <c r="Z34" i="7"/>
  <c r="AA34" i="7"/>
  <c r="AB34" i="7"/>
  <c r="AC34" i="7"/>
  <c r="AD34" i="7"/>
  <c r="AE34" i="7"/>
  <c r="AF34" i="7"/>
  <c r="AG34" i="7"/>
  <c r="AH34" i="7"/>
  <c r="AI34" i="7"/>
  <c r="AJ34" i="7"/>
  <c r="AK34" i="7"/>
  <c r="AL34" i="7"/>
  <c r="AM34" i="7"/>
  <c r="AN34" i="7"/>
  <c r="AO34" i="7"/>
  <c r="H62" i="7"/>
  <c r="I62" i="7"/>
  <c r="M62" i="7"/>
  <c r="K62" i="7"/>
  <c r="J62" i="7"/>
  <c r="L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D45" i="7"/>
  <c r="D46" i="7" s="1"/>
  <c r="O13" i="19" s="1"/>
  <c r="I29" i="7"/>
  <c r="H29" i="7"/>
  <c r="K29" i="7"/>
  <c r="L29" i="7"/>
  <c r="J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AI29" i="7"/>
  <c r="AJ29" i="7"/>
  <c r="AK29" i="7"/>
  <c r="AL29" i="7"/>
  <c r="AM29" i="7"/>
  <c r="AN29" i="7"/>
  <c r="AO29" i="7"/>
  <c r="D21" i="7"/>
  <c r="E15" i="19" l="1"/>
  <c r="D20" i="19"/>
  <c r="D35" i="19" s="1"/>
  <c r="G35" i="19" s="1"/>
  <c r="D25" i="7"/>
  <c r="F14" i="19" s="1"/>
  <c r="D14" i="19"/>
  <c r="D29" i="19" s="1"/>
  <c r="G29" i="19" s="1"/>
  <c r="D14" i="18"/>
  <c r="P20" i="19" s="1"/>
  <c r="D47" i="18"/>
  <c r="P18" i="19" s="1"/>
  <c r="D6" i="18"/>
  <c r="D7" i="18" s="1"/>
  <c r="E20" i="19" s="1"/>
  <c r="D8" i="18"/>
  <c r="F20" i="19" s="1"/>
  <c r="D47" i="7"/>
  <c r="P13" i="19" s="1"/>
  <c r="D64" i="7"/>
  <c r="P12" i="19" s="1"/>
  <c r="D41" i="7"/>
  <c r="F13" i="19" s="1"/>
  <c r="D39" i="7"/>
  <c r="D40" i="7" s="1"/>
  <c r="E13" i="19" s="1"/>
  <c r="D29" i="7"/>
  <c r="D30" i="7" s="1"/>
  <c r="O14" i="19" s="1"/>
  <c r="D23" i="7"/>
  <c r="D24" i="7" s="1"/>
  <c r="E14" i="19" s="1"/>
  <c r="D31" i="7"/>
  <c r="P14" i="19" s="1"/>
  <c r="I29" i="19" l="1"/>
  <c r="I3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Felipe Beron</author>
  </authors>
  <commentList>
    <comment ref="E2" authorId="0" shapeId="0" xr:uid="{478B48E9-774A-4A81-B8B3-F54B355589D3}">
      <text>
        <r>
          <rPr>
            <b/>
            <sz val="9"/>
            <color indexed="81"/>
            <rFont val="Tahoma"/>
            <family val="2"/>
          </rPr>
          <t>Felipe Beron:</t>
        </r>
        <r>
          <rPr>
            <sz val="9"/>
            <color indexed="81"/>
            <rFont val="Tahoma"/>
            <family val="2"/>
          </rPr>
          <t xml:space="preserve">
Cambio el precio
</t>
        </r>
      </text>
    </comment>
    <comment ref="E15" authorId="0" shapeId="0" xr:uid="{BED5D5B3-7753-47BB-A32E-18D8B3730AFA}">
      <text>
        <r>
          <rPr>
            <b/>
            <sz val="9"/>
            <color indexed="81"/>
            <rFont val="Tahoma"/>
            <family val="2"/>
          </rPr>
          <t>Felipe Beron:</t>
        </r>
        <r>
          <rPr>
            <sz val="9"/>
            <color indexed="81"/>
            <rFont val="Tahoma"/>
            <family val="2"/>
          </rPr>
          <t xml:space="preserve">
Cambio la tasa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Felipe Beron</author>
  </authors>
  <commentList>
    <comment ref="B142" authorId="0" shapeId="0" xr:uid="{C9973341-E9C0-4CF3-AA15-3CF88EA4B972}">
      <text>
        <r>
          <rPr>
            <b/>
            <sz val="9"/>
            <color indexed="81"/>
            <rFont val="Tahoma"/>
            <family val="2"/>
          </rPr>
          <t>Felipe Beron:</t>
        </r>
        <r>
          <rPr>
            <sz val="9"/>
            <color indexed="81"/>
            <rFont val="Tahoma"/>
            <family val="2"/>
          </rPr>
          <t xml:space="preserve">
Feriado por censo retrasa el Cer de emisión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Felipe Beron</author>
  </authors>
  <commentList>
    <comment ref="A14" authorId="0" shapeId="0" xr:uid="{942F1F79-2372-4BAB-9D49-91A6D8F1620A}">
      <text>
        <r>
          <rPr>
            <b/>
            <sz val="9"/>
            <color indexed="81"/>
            <rFont val="Tahoma"/>
            <family val="2"/>
          </rPr>
          <t>Felipe Beron:</t>
        </r>
        <r>
          <rPr>
            <sz val="9"/>
            <color indexed="81"/>
            <rFont val="Tahoma"/>
            <family val="2"/>
          </rPr>
          <t xml:space="preserve">
10 días hábiles anteriores a la fecha de análisis. 
No aplica si los feriados de los últimos 14 días son iguales o mayores al día de la semana 
</t>
        </r>
      </text>
    </comment>
    <comment ref="A27" authorId="0" shapeId="0" xr:uid="{C28D93EE-DFAE-465A-A5E8-CD77D0C6A6D7}">
      <text>
        <r>
          <rPr>
            <b/>
            <sz val="9"/>
            <color indexed="81"/>
            <rFont val="Tahoma"/>
            <family val="2"/>
          </rPr>
          <t>Felipe Beron:</t>
        </r>
        <r>
          <rPr>
            <sz val="9"/>
            <color indexed="81"/>
            <rFont val="Tahoma"/>
            <family val="2"/>
          </rPr>
          <t xml:space="preserve">
10 días hábiles anteriores a la fecha de análisis. 
No aplica si los feriados de los últimos 14 días son iguales o mayores al día de la semana 
</t>
        </r>
      </text>
    </comment>
    <comment ref="A40" authorId="0" shapeId="0" xr:uid="{011AD961-0114-4B6F-967C-A2130FECD4A1}">
      <text>
        <r>
          <rPr>
            <b/>
            <sz val="9"/>
            <color indexed="81"/>
            <rFont val="Tahoma"/>
            <family val="2"/>
          </rPr>
          <t>Felipe Beron:</t>
        </r>
        <r>
          <rPr>
            <sz val="9"/>
            <color indexed="81"/>
            <rFont val="Tahoma"/>
            <family val="2"/>
          </rPr>
          <t xml:space="preserve">
10 días hábiles anteriores a la fecha de análisis. 
No aplica si los feriados de los últimos 14 días son iguales o mayores al día de la semana 
</t>
        </r>
      </text>
    </comment>
    <comment ref="A53" authorId="0" shapeId="0" xr:uid="{3FBF658E-396D-4C04-8CE7-C3DEA7E049A8}">
      <text>
        <r>
          <rPr>
            <b/>
            <sz val="9"/>
            <color indexed="81"/>
            <rFont val="Tahoma"/>
            <family val="2"/>
          </rPr>
          <t>Felipe Beron:</t>
        </r>
        <r>
          <rPr>
            <sz val="9"/>
            <color indexed="81"/>
            <rFont val="Tahoma"/>
            <family val="2"/>
          </rPr>
          <t xml:space="preserve">
10 días hábiles anteriores a la fecha de análisis. 
No aplica si los feriados de los últimos 14 días son iguales o mayores al día de la semana 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<sst xmlns="http://schemas.openxmlformats.org/spreadsheetml/2006/main" count="2167" uniqueCount="136">
  <si>
    <t>Devaluación Oficial</t>
  </si>
  <si>
    <t>Dólar Oficial</t>
  </si>
  <si>
    <t>Brecha</t>
  </si>
  <si>
    <t>MEP</t>
  </si>
  <si>
    <t>Inflación</t>
  </si>
  <si>
    <t>Día</t>
  </si>
  <si>
    <t>.</t>
  </si>
  <si>
    <t>Simulación de TIR</t>
  </si>
  <si>
    <t>Simulación de Precio Dirty</t>
  </si>
  <si>
    <t>Bono</t>
  </si>
  <si>
    <t>TIR</t>
  </si>
  <si>
    <t>Precio Dirty</t>
  </si>
  <si>
    <t>MD</t>
  </si>
  <si>
    <t>Convexity</t>
  </si>
  <si>
    <t>Precio</t>
  </si>
  <si>
    <t>AL 29</t>
  </si>
  <si>
    <t>AL30</t>
  </si>
  <si>
    <t>AL35</t>
  </si>
  <si>
    <t>AE38</t>
  </si>
  <si>
    <t>AL41</t>
  </si>
  <si>
    <t>GD29</t>
  </si>
  <si>
    <t>GD30</t>
  </si>
  <si>
    <t>GD35</t>
  </si>
  <si>
    <t>GD38</t>
  </si>
  <si>
    <t>GD41</t>
  </si>
  <si>
    <t>Ganancia vs precios de hoy Hard Dollar</t>
  </si>
  <si>
    <t>Precios de hoy</t>
  </si>
  <si>
    <t>Ganancia de precio</t>
  </si>
  <si>
    <t>Amortización</t>
  </si>
  <si>
    <t>Intereses</t>
  </si>
  <si>
    <t>Retorno de capital</t>
  </si>
  <si>
    <t>Retorno de intereses</t>
  </si>
  <si>
    <t>Retorno Total</t>
  </si>
  <si>
    <t>Link a la pantalla precio de hoy</t>
  </si>
  <si>
    <t>Retorno anual y retorno de intereses total</t>
  </si>
  <si>
    <t>Como cambian con cambio de tasa</t>
  </si>
  <si>
    <t>Bonceres</t>
  </si>
  <si>
    <t>YTM</t>
  </si>
  <si>
    <t>YTM nominal</t>
  </si>
  <si>
    <t>Paridad</t>
  </si>
  <si>
    <t>Precio ajustado</t>
  </si>
  <si>
    <t>TX24</t>
  </si>
  <si>
    <t>TX26</t>
  </si>
  <si>
    <t>T3X4</t>
  </si>
  <si>
    <t>T2X4</t>
  </si>
  <si>
    <t>T4X4</t>
  </si>
  <si>
    <t>T5X4</t>
  </si>
  <si>
    <t>T2X5</t>
  </si>
  <si>
    <t>TX25</t>
  </si>
  <si>
    <t>TC25</t>
  </si>
  <si>
    <t>TX28</t>
  </si>
  <si>
    <t>Simulación de Inflación</t>
  </si>
  <si>
    <r>
      <t>Rendimientos</t>
    </r>
    <r>
      <rPr>
        <b/>
        <sz val="8"/>
        <color rgb="FF000000"/>
        <rFont val="Arial"/>
        <family val="2"/>
      </rPr>
      <t xml:space="preserve"> </t>
    </r>
    <r>
      <rPr>
        <b/>
        <sz val="6"/>
        <color rgb="FF000000"/>
        <rFont val="Arial"/>
        <family val="2"/>
      </rPr>
      <t>(en FdA)</t>
    </r>
  </si>
  <si>
    <r>
      <t xml:space="preserve">Fecha de Análisis </t>
    </r>
    <r>
      <rPr>
        <b/>
        <sz val="6"/>
        <color rgb="FF000000"/>
        <rFont val="Arial"/>
        <family val="2"/>
      </rPr>
      <t>(FdA)</t>
    </r>
  </si>
  <si>
    <t>Días para dentro de 2 días hábiles</t>
  </si>
  <si>
    <t>Feriados en las últimas 2 semanas</t>
  </si>
  <si>
    <t>Real</t>
  </si>
  <si>
    <t>Nominal</t>
  </si>
  <si>
    <t>TEA</t>
  </si>
  <si>
    <t>TNA</t>
  </si>
  <si>
    <t>TEM</t>
  </si>
  <si>
    <t>Directa</t>
  </si>
  <si>
    <t>Lecer Julio</t>
  </si>
  <si>
    <t>Lecer Septiembre</t>
  </si>
  <si>
    <t>Lecer Octubre</t>
  </si>
  <si>
    <t>Lecer Noviembre</t>
  </si>
  <si>
    <r>
      <t xml:space="preserve">Precios </t>
    </r>
    <r>
      <rPr>
        <b/>
        <sz val="6"/>
        <color rgb="FF000000"/>
        <rFont val="Arial"/>
        <family val="2"/>
        <scheme val="minor"/>
      </rPr>
      <t>(</t>
    </r>
    <r>
      <rPr>
        <b/>
        <sz val="6"/>
        <color rgb="FF000000"/>
        <rFont val="Arial"/>
        <family val="2"/>
      </rPr>
      <t>en FdA)</t>
    </r>
  </si>
  <si>
    <t>Fecha de Análisis</t>
  </si>
  <si>
    <t>Días para 2 días hábiles luego de FdA</t>
  </si>
  <si>
    <t>Precios hoy</t>
  </si>
  <si>
    <t>Retorno</t>
  </si>
  <si>
    <t>CER</t>
  </si>
  <si>
    <t>Proyección Infla</t>
  </si>
  <si>
    <t>Mensual</t>
  </si>
  <si>
    <t xml:space="preserve">TX26 </t>
  </si>
  <si>
    <t>INPUTS</t>
  </si>
  <si>
    <t>Outputs</t>
  </si>
  <si>
    <t>IRR</t>
  </si>
  <si>
    <t>Fecha de Pago</t>
  </si>
  <si>
    <t>Dia</t>
  </si>
  <si>
    <t>Intereses corridos</t>
  </si>
  <si>
    <t>Tiempo</t>
  </si>
  <si>
    <t>Valor nominal</t>
  </si>
  <si>
    <t>Mac Duration</t>
  </si>
  <si>
    <t>Proximo Cobro</t>
  </si>
  <si>
    <t>Mod Duration</t>
  </si>
  <si>
    <t>Ultimo Cobro</t>
  </si>
  <si>
    <t>Cupon</t>
  </si>
  <si>
    <t>Próximo pago de intereses</t>
  </si>
  <si>
    <t>Capital Residual</t>
  </si>
  <si>
    <t>CER de emisión</t>
  </si>
  <si>
    <t>Cer de Hoy</t>
  </si>
  <si>
    <t>Servicio</t>
  </si>
  <si>
    <t>Valor Técnico</t>
  </si>
  <si>
    <t>IRR Nominal</t>
  </si>
  <si>
    <t>DCF</t>
  </si>
  <si>
    <t>Precio hoy</t>
  </si>
  <si>
    <t>Fecha de vencimiento</t>
  </si>
  <si>
    <t xml:space="preserve"> </t>
  </si>
  <si>
    <t>DICP</t>
  </si>
  <si>
    <t>Para IRR</t>
  </si>
  <si>
    <t>Fecha</t>
  </si>
  <si>
    <t>DCF (Input IRR)</t>
  </si>
  <si>
    <t>DCF (Output IRR)</t>
  </si>
  <si>
    <t>Duration Calculation</t>
  </si>
  <si>
    <r>
      <rPr>
        <b/>
        <sz val="14"/>
        <color theme="1"/>
        <rFont val="Arial"/>
        <family val="2"/>
      </rPr>
      <t>t*CF</t>
    </r>
    <r>
      <rPr>
        <b/>
        <vertAlign val="subscript"/>
        <sz val="11"/>
        <color theme="1"/>
        <rFont val="Arial"/>
        <family val="2"/>
      </rPr>
      <t>t</t>
    </r>
    <r>
      <rPr>
        <b/>
        <sz val="14"/>
        <color theme="1"/>
        <rFont val="Arial"/>
        <family val="2"/>
      </rPr>
      <t>/(1+r)^t</t>
    </r>
  </si>
  <si>
    <t>t * (t+1)</t>
  </si>
  <si>
    <t>Convexity (Input IRR)</t>
  </si>
  <si>
    <t>Convexity (Output IRR)</t>
  </si>
  <si>
    <t xml:space="preserve">AL30 </t>
  </si>
  <si>
    <t>Valor tecnico</t>
  </si>
  <si>
    <t>TV24</t>
  </si>
  <si>
    <t>Calculadora de Leceres</t>
  </si>
  <si>
    <t>Lecer Julio 23</t>
  </si>
  <si>
    <t>X18L3</t>
  </si>
  <si>
    <t xml:space="preserve">Precio </t>
  </si>
  <si>
    <t>Tasa efectiva</t>
  </si>
  <si>
    <t>Feriados en las últimas 2 semanas previas al vencimiento</t>
  </si>
  <si>
    <t>Fecha de Análisis (FdA)</t>
  </si>
  <si>
    <t>Fecha vencimiento</t>
  </si>
  <si>
    <t>CER Emisión</t>
  </si>
  <si>
    <t>Simulación de tasas</t>
  </si>
  <si>
    <t xml:space="preserve">CER en Fecha de Análisis </t>
  </si>
  <si>
    <t>Fecha de Analisis</t>
  </si>
  <si>
    <t>CER Vencimiento</t>
  </si>
  <si>
    <t>Valor Técnico FdA</t>
  </si>
  <si>
    <r>
      <t xml:space="preserve">Valor Técnico </t>
    </r>
    <r>
      <rPr>
        <b/>
        <sz val="6"/>
        <color rgb="FF000000"/>
        <rFont val="Arial"/>
        <family val="2"/>
        <scheme val="minor"/>
      </rPr>
      <t>(</t>
    </r>
    <r>
      <rPr>
        <b/>
        <sz val="6"/>
        <color rgb="FF000000"/>
        <rFont val="Arial"/>
        <family val="2"/>
      </rPr>
      <t>FdA)</t>
    </r>
  </si>
  <si>
    <t>Valor Técnico al vencimiento</t>
  </si>
  <si>
    <t>Lecer Septiembre 23</t>
  </si>
  <si>
    <t>X18S3</t>
  </si>
  <si>
    <t>Lecer Octubre 23</t>
  </si>
  <si>
    <t>X18O3</t>
  </si>
  <si>
    <t>Lecer Noviembre 23</t>
  </si>
  <si>
    <t>X23N3</t>
  </si>
  <si>
    <t>Titulo</t>
  </si>
  <si>
    <t>PX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</si>
</sst>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$&quot;\ #,##0;[Red]\-&quot;$&quot;\ #,##0"/>
    <numFmt numFmtId="165" formatCode="&quot;$&quot;\ #,##0.00;[Red]\-&quot;$&quot;\ #,##0.00"/>
    <numFmt numFmtId="166" formatCode="0.0"/>
    <numFmt numFmtId="167" formatCode="[$-C0A]mmm\-yy"/>
    <numFmt numFmtId="168" formatCode="0.0%"/>
    <numFmt numFmtId="169" formatCode="0.000"/>
    <numFmt numFmtId="170" formatCode="#,##0.0"/>
    <numFmt numFmtId="171" formatCode="0.000%"/>
    <numFmt numFmtId="172" formatCode="#,##0.0000"/>
    <numFmt numFmtId="173" formatCode="#,##0.00000"/>
    <numFmt numFmtId="174" formatCode="&quot;$&quot;\ #,##0.000;[Red]\-&quot;$&quot;\ #,##0.000"/>
  </numFmts>
  <fonts count="42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8"/>
      <color theme="1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i/>
      <sz val="14"/>
      <color theme="1"/>
      <name val="Arial"/>
      <family val="2"/>
    </font>
    <font>
      <sz val="10"/>
      <color theme="1"/>
      <name val="Arial"/>
      <family val="2"/>
      <scheme val="minor"/>
    </font>
    <font>
      <b/>
      <vertAlign val="subscript"/>
      <sz val="11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name val="Arial"/>
      <family val="2"/>
      <scheme val="minor"/>
    </font>
    <font>
      <b/>
      <sz val="12"/>
      <color rgb="FF000000"/>
      <name val="Arial"/>
      <family val="2"/>
      <scheme val="minor"/>
    </font>
    <font>
      <sz val="10"/>
      <color rgb="FF000000"/>
      <name val="Arial"/>
      <family val="2"/>
      <scheme val="major"/>
    </font>
    <font>
      <sz val="11"/>
      <color rgb="FF000000"/>
      <name val="Arial"/>
      <family val="2"/>
      <scheme val="major"/>
    </font>
    <font>
      <sz val="11"/>
      <color theme="1"/>
      <name val="Arial"/>
      <family val="2"/>
      <scheme val="major"/>
    </font>
    <font>
      <sz val="10"/>
      <color theme="1"/>
      <name val="Arial"/>
      <family val="2"/>
      <scheme val="major"/>
    </font>
    <font>
      <b/>
      <sz val="9"/>
      <color theme="1"/>
      <name val="Arial"/>
      <family val="2"/>
    </font>
    <font>
      <b/>
      <sz val="10"/>
      <color theme="1"/>
      <name val="Arial"/>
      <family val="2"/>
      <scheme val="major"/>
    </font>
    <font>
      <sz val="11"/>
      <name val="Arial"/>
      <family val="2"/>
      <scheme val="major"/>
    </font>
    <font>
      <b/>
      <sz val="10"/>
      <color rgb="FF000000"/>
      <name val="Arial"/>
      <family val="2"/>
      <scheme val="minor"/>
    </font>
    <font>
      <b/>
      <sz val="11"/>
      <color theme="1"/>
      <name val="Arial"/>
      <family val="2"/>
      <scheme val="major"/>
    </font>
    <font>
      <sz val="11"/>
      <color rgb="FF0070C0"/>
      <name val="Arial"/>
      <family val="2"/>
      <scheme val="major"/>
    </font>
    <font>
      <sz val="10"/>
      <color rgb="FF0070C0"/>
      <name val="Arial"/>
      <family val="2"/>
      <scheme val="minor"/>
    </font>
    <font>
      <sz val="10"/>
      <color rgb="FF0070C0"/>
      <name val="Arial"/>
      <family val="2"/>
      <scheme val="major"/>
    </font>
    <font>
      <sz val="10"/>
      <color theme="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7"/>
      <color rgb="FF333333"/>
      <name val="Arial"/>
      <family val="2"/>
      <scheme val="minor"/>
    </font>
    <font>
      <sz val="10"/>
      <color theme="4"/>
      <name val="Arial"/>
      <family val="2"/>
      <scheme val="minor"/>
    </font>
    <font>
      <b/>
      <sz val="10"/>
      <color rgb="FF0070C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8"/>
      <color rgb="FF000000"/>
      <name val="Arial"/>
      <family val="2"/>
    </font>
    <font>
      <b/>
      <sz val="6"/>
      <color rgb="FF000000"/>
      <name val="Arial"/>
      <family val="2"/>
    </font>
    <font>
      <b/>
      <sz val="6"/>
      <color rgb="FF000000"/>
      <name val="Arial"/>
      <family val="2"/>
      <scheme val="minor"/>
    </font>
    <font>
      <b/>
      <sz val="10"/>
      <name val="Arial"/>
      <family val="2"/>
      <scheme val="minor"/>
    </font>
    <font>
      <b/>
      <sz val="6"/>
      <name val="Arial"/>
      <family val="2"/>
      <scheme val="minor"/>
    </font>
    <font>
      <sz val="11"/>
      <color rgb="FF0070C0"/>
      <name val="Arial"/>
      <family val="2"/>
      <scheme val="minor"/>
    </font>
    <font>
      <b/>
      <sz val="16"/>
      <color rgb="FF000000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8">
    <xf numFmtId="0" fontId="0" fillId="0" borderId="0" xfId="0"/>
    <xf numFmtId="0" fontId="1" fillId="0" borderId="0" xfId="0" applyFont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167" fontId="6" fillId="0" borderId="0" xfId="0" applyNumberFormat="1" applyFont="1"/>
    <xf numFmtId="14" fontId="1" fillId="0" borderId="0" xfId="0" applyNumberFormat="1" applyFont="1" applyAlignment="1">
      <alignment horizontal="center"/>
    </xf>
    <xf numFmtId="166" fontId="1" fillId="0" borderId="0" xfId="0" applyNumberFormat="1" applyFont="1"/>
    <xf numFmtId="166" fontId="5" fillId="2" borderId="2" xfId="0" applyNumberFormat="1" applyFont="1" applyFill="1" applyBorder="1"/>
    <xf numFmtId="4" fontId="0" fillId="0" borderId="0" xfId="0" applyNumberFormat="1"/>
    <xf numFmtId="166" fontId="5" fillId="2" borderId="7" xfId="0" applyNumberFormat="1" applyFont="1" applyFill="1" applyBorder="1" applyAlignment="1">
      <alignment horizontal="center" vertical="center"/>
    </xf>
    <xf numFmtId="166" fontId="5" fillId="2" borderId="8" xfId="0" applyNumberFormat="1" applyFont="1" applyFill="1" applyBorder="1" applyAlignment="1">
      <alignment horizontal="center" vertical="center"/>
    </xf>
    <xf numFmtId="9" fontId="5" fillId="2" borderId="8" xfId="0" applyNumberFormat="1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0" fillId="0" borderId="5" xfId="0" applyBorder="1"/>
    <xf numFmtId="0" fontId="0" fillId="0" borderId="16" xfId="0" applyBorder="1"/>
    <xf numFmtId="0" fontId="0" fillId="0" borderId="17" xfId="0" applyBorder="1"/>
    <xf numFmtId="170" fontId="15" fillId="0" borderId="13" xfId="0" applyNumberFormat="1" applyFont="1" applyBorder="1" applyAlignment="1">
      <alignment horizontal="right"/>
    </xf>
    <xf numFmtId="170" fontId="15" fillId="0" borderId="14" xfId="0" applyNumberFormat="1" applyFont="1" applyBorder="1" applyAlignment="1">
      <alignment horizontal="right"/>
    </xf>
    <xf numFmtId="170" fontId="15" fillId="0" borderId="15" xfId="0" applyNumberFormat="1" applyFont="1" applyBorder="1" applyAlignment="1">
      <alignment horizontal="right"/>
    </xf>
    <xf numFmtId="170" fontId="15" fillId="0" borderId="16" xfId="0" applyNumberFormat="1" applyFont="1" applyBorder="1" applyAlignment="1">
      <alignment horizontal="right"/>
    </xf>
    <xf numFmtId="0" fontId="15" fillId="0" borderId="5" xfId="0" applyFont="1" applyBorder="1" applyAlignment="1">
      <alignment horizontal="right"/>
    </xf>
    <xf numFmtId="2" fontId="18" fillId="2" borderId="5" xfId="0" applyNumberFormat="1" applyFont="1" applyFill="1" applyBorder="1" applyAlignment="1">
      <alignment horizontal="right"/>
    </xf>
    <xf numFmtId="2" fontId="18" fillId="2" borderId="17" xfId="0" applyNumberFormat="1" applyFont="1" applyFill="1" applyBorder="1" applyAlignment="1">
      <alignment horizontal="right"/>
    </xf>
    <xf numFmtId="170" fontId="15" fillId="0" borderId="5" xfId="0" applyNumberFormat="1" applyFont="1" applyBorder="1" applyAlignment="1">
      <alignment horizontal="right"/>
    </xf>
    <xf numFmtId="170" fontId="15" fillId="0" borderId="17" xfId="0" applyNumberFormat="1" applyFont="1" applyBorder="1" applyAlignment="1">
      <alignment horizontal="right"/>
    </xf>
    <xf numFmtId="1" fontId="15" fillId="0" borderId="18" xfId="0" applyNumberFormat="1" applyFont="1" applyBorder="1" applyAlignment="1">
      <alignment horizontal="right"/>
    </xf>
    <xf numFmtId="166" fontId="15" fillId="0" borderId="19" xfId="0" applyNumberFormat="1" applyFont="1" applyBorder="1" applyAlignment="1">
      <alignment horizontal="right"/>
    </xf>
    <xf numFmtId="166" fontId="15" fillId="0" borderId="20" xfId="0" applyNumberFormat="1" applyFont="1" applyBorder="1" applyAlignment="1">
      <alignment horizontal="right"/>
    </xf>
    <xf numFmtId="167" fontId="19" fillId="0" borderId="10" xfId="0" applyNumberFormat="1" applyFont="1" applyBorder="1"/>
    <xf numFmtId="167" fontId="19" fillId="0" borderId="11" xfId="0" applyNumberFormat="1" applyFont="1" applyBorder="1"/>
    <xf numFmtId="167" fontId="19" fillId="0" borderId="12" xfId="0" applyNumberFormat="1" applyFont="1" applyBorder="1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right"/>
    </xf>
    <xf numFmtId="0" fontId="4" fillId="0" borderId="1" xfId="0" applyFont="1" applyBorder="1"/>
    <xf numFmtId="0" fontId="22" fillId="0" borderId="0" xfId="0" applyFont="1"/>
    <xf numFmtId="0" fontId="14" fillId="0" borderId="0" xfId="0" applyFont="1"/>
    <xf numFmtId="0" fontId="16" fillId="0" borderId="0" xfId="0" applyFont="1"/>
    <xf numFmtId="14" fontId="24" fillId="0" borderId="5" xfId="0" applyNumberFormat="1" applyFont="1" applyBorder="1" applyAlignment="1">
      <alignment horizontal="right"/>
    </xf>
    <xf numFmtId="166" fontId="17" fillId="0" borderId="5" xfId="0" applyNumberFormat="1" applyFont="1" applyBorder="1" applyAlignment="1">
      <alignment horizontal="right"/>
    </xf>
    <xf numFmtId="2" fontId="17" fillId="0" borderId="5" xfId="0" applyNumberFormat="1" applyFont="1" applyBorder="1" applyAlignment="1">
      <alignment horizontal="right"/>
    </xf>
    <xf numFmtId="166" fontId="17" fillId="4" borderId="5" xfId="0" applyNumberFormat="1" applyFont="1" applyFill="1" applyBorder="1"/>
    <xf numFmtId="0" fontId="5" fillId="2" borderId="5" xfId="0" applyFont="1" applyFill="1" applyBorder="1" applyAlignment="1">
      <alignment horizontal="center" vertical="center"/>
    </xf>
    <xf numFmtId="166" fontId="21" fillId="3" borderId="5" xfId="0" applyNumberFormat="1" applyFont="1" applyFill="1" applyBorder="1" applyAlignment="1">
      <alignment horizontal="left"/>
    </xf>
    <xf numFmtId="166" fontId="21" fillId="3" borderId="10" xfId="0" applyNumberFormat="1" applyFont="1" applyFill="1" applyBorder="1" applyAlignment="1">
      <alignment horizontal="left"/>
    </xf>
    <xf numFmtId="10" fontId="24" fillId="0" borderId="11" xfId="0" applyNumberFormat="1" applyFont="1" applyBorder="1" applyAlignment="1">
      <alignment horizontal="right"/>
    </xf>
    <xf numFmtId="166" fontId="17" fillId="4" borderId="11" xfId="0" applyNumberFormat="1" applyFont="1" applyFill="1" applyBorder="1"/>
    <xf numFmtId="166" fontId="17" fillId="0" borderId="12" xfId="0" applyNumberFormat="1" applyFont="1" applyBorder="1" applyAlignment="1">
      <alignment horizontal="right"/>
    </xf>
    <xf numFmtId="0" fontId="16" fillId="4" borderId="11" xfId="0" applyFont="1" applyFill="1" applyBorder="1"/>
    <xf numFmtId="9" fontId="16" fillId="0" borderId="12" xfId="0" applyNumberFormat="1" applyFont="1" applyBorder="1"/>
    <xf numFmtId="166" fontId="17" fillId="3" borderId="5" xfId="0" applyNumberFormat="1" applyFont="1" applyFill="1" applyBorder="1" applyAlignment="1">
      <alignment horizontal="left"/>
    </xf>
    <xf numFmtId="1" fontId="24" fillId="0" borderId="5" xfId="0" applyNumberFormat="1" applyFont="1" applyBorder="1" applyAlignment="1">
      <alignment horizontal="right"/>
    </xf>
    <xf numFmtId="0" fontId="15" fillId="0" borderId="13" xfId="0" applyFont="1" applyBorder="1" applyAlignment="1">
      <alignment horizontal="right"/>
    </xf>
    <xf numFmtId="0" fontId="15" fillId="0" borderId="14" xfId="0" applyFont="1" applyBorder="1" applyAlignment="1">
      <alignment horizontal="right"/>
    </xf>
    <xf numFmtId="4" fontId="15" fillId="0" borderId="14" xfId="0" applyNumberFormat="1" applyFont="1" applyBorder="1" applyAlignment="1">
      <alignment horizontal="right"/>
    </xf>
    <xf numFmtId="4" fontId="15" fillId="0" borderId="15" xfId="0" applyNumberFormat="1" applyFont="1" applyBorder="1" applyAlignment="1">
      <alignment horizontal="right"/>
    </xf>
    <xf numFmtId="4" fontId="0" fillId="0" borderId="18" xfId="0" applyNumberFormat="1" applyBorder="1"/>
    <xf numFmtId="4" fontId="0" fillId="0" borderId="19" xfId="0" applyNumberFormat="1" applyBorder="1"/>
    <xf numFmtId="4" fontId="0" fillId="0" borderId="20" xfId="0" applyNumberFormat="1" applyBorder="1"/>
    <xf numFmtId="0" fontId="5" fillId="2" borderId="3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4" fontId="24" fillId="0" borderId="5" xfId="0" applyNumberFormat="1" applyFont="1" applyBorder="1" applyAlignment="1">
      <alignment horizontal="right"/>
    </xf>
    <xf numFmtId="166" fontId="5" fillId="0" borderId="2" xfId="0" applyNumberFormat="1" applyFont="1" applyBorder="1"/>
    <xf numFmtId="171" fontId="25" fillId="0" borderId="0" xfId="0" applyNumberFormat="1" applyFont="1"/>
    <xf numFmtId="9" fontId="25" fillId="0" borderId="0" xfId="0" applyNumberFormat="1" applyFont="1"/>
    <xf numFmtId="171" fontId="25" fillId="0" borderId="5" xfId="0" applyNumberFormat="1" applyFont="1" applyBorder="1"/>
    <xf numFmtId="10" fontId="25" fillId="0" borderId="5" xfId="0" applyNumberFormat="1" applyFont="1" applyBorder="1"/>
    <xf numFmtId="9" fontId="25" fillId="0" borderId="5" xfId="0" applyNumberFormat="1" applyFont="1" applyBorder="1"/>
    <xf numFmtId="9" fontId="25" fillId="0" borderId="17" xfId="0" applyNumberFormat="1" applyFont="1" applyBorder="1"/>
    <xf numFmtId="168" fontId="16" fillId="0" borderId="12" xfId="0" applyNumberFormat="1" applyFont="1" applyBorder="1"/>
    <xf numFmtId="169" fontId="17" fillId="0" borderId="12" xfId="0" applyNumberFormat="1" applyFont="1" applyBorder="1" applyAlignment="1">
      <alignment horizontal="right"/>
    </xf>
    <xf numFmtId="166" fontId="24" fillId="0" borderId="11" xfId="0" applyNumberFormat="1" applyFont="1" applyBorder="1" applyAlignment="1">
      <alignment horizontal="right"/>
    </xf>
    <xf numFmtId="170" fontId="26" fillId="0" borderId="16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right"/>
    </xf>
    <xf numFmtId="168" fontId="25" fillId="0" borderId="5" xfId="0" applyNumberFormat="1" applyFont="1" applyBorder="1"/>
    <xf numFmtId="173" fontId="15" fillId="0" borderId="14" xfId="0" applyNumberFormat="1" applyFont="1" applyBorder="1" applyAlignment="1">
      <alignment horizontal="right"/>
    </xf>
    <xf numFmtId="169" fontId="18" fillId="2" borderId="5" xfId="0" applyNumberFormat="1" applyFont="1" applyFill="1" applyBorder="1" applyAlignment="1">
      <alignment horizontal="right"/>
    </xf>
    <xf numFmtId="172" fontId="0" fillId="0" borderId="0" xfId="0" applyNumberFormat="1"/>
    <xf numFmtId="165" fontId="25" fillId="0" borderId="0" xfId="0" applyNumberFormat="1" applyFont="1"/>
    <xf numFmtId="0" fontId="0" fillId="0" borderId="0" xfId="0" applyAlignment="1">
      <alignment horizontal="left"/>
    </xf>
    <xf numFmtId="9" fontId="25" fillId="0" borderId="0" xfId="0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" fontId="13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4" fontId="25" fillId="0" borderId="0" xfId="0" applyNumberFormat="1" applyFont="1"/>
    <xf numFmtId="166" fontId="13" fillId="0" borderId="0" xfId="0" applyNumberFormat="1" applyFont="1" applyAlignment="1">
      <alignment horizontal="right"/>
    </xf>
    <xf numFmtId="168" fontId="0" fillId="0" borderId="0" xfId="0" applyNumberFormat="1"/>
    <xf numFmtId="168" fontId="13" fillId="0" borderId="0" xfId="0" applyNumberFormat="1" applyFont="1"/>
    <xf numFmtId="2" fontId="0" fillId="0" borderId="0" xfId="0" applyNumberFormat="1"/>
    <xf numFmtId="166" fontId="13" fillId="0" borderId="0" xfId="0" applyNumberFormat="1" applyFont="1"/>
    <xf numFmtId="165" fontId="24" fillId="0" borderId="11" xfId="0" applyNumberFormat="1" applyFont="1" applyBorder="1" applyAlignment="1">
      <alignment horizontal="right"/>
    </xf>
    <xf numFmtId="165" fontId="0" fillId="0" borderId="0" xfId="0" applyNumberFormat="1" applyAlignment="1">
      <alignment horizontal="right"/>
    </xf>
    <xf numFmtId="9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0" fontId="27" fillId="5" borderId="0" xfId="0" applyFont="1" applyFill="1"/>
    <xf numFmtId="0" fontId="27" fillId="5" borderId="0" xfId="0" applyFont="1" applyFill="1" applyAlignment="1">
      <alignment horizontal="right"/>
    </xf>
    <xf numFmtId="0" fontId="22" fillId="3" borderId="0" xfId="0" applyFont="1" applyFill="1" applyAlignment="1">
      <alignment horizontal="left"/>
    </xf>
    <xf numFmtId="14" fontId="30" fillId="6" borderId="22" xfId="0" applyNumberFormat="1" applyFont="1" applyFill="1" applyBorder="1" applyAlignment="1">
      <alignment vertical="center" wrapText="1"/>
    </xf>
    <xf numFmtId="4" fontId="30" fillId="6" borderId="22" xfId="0" applyNumberFormat="1" applyFont="1" applyFill="1" applyBorder="1" applyAlignment="1">
      <alignment horizontal="right" vertical="center" wrapText="1"/>
    </xf>
    <xf numFmtId="4" fontId="30" fillId="7" borderId="22" xfId="0" applyNumberFormat="1" applyFont="1" applyFill="1" applyBorder="1" applyAlignment="1">
      <alignment horizontal="right" vertical="center" wrapText="1"/>
    </xf>
    <xf numFmtId="17" fontId="0" fillId="0" borderId="0" xfId="0" applyNumberFormat="1"/>
    <xf numFmtId="0" fontId="32" fillId="3" borderId="12" xfId="0" applyFont="1" applyFill="1" applyBorder="1"/>
    <xf numFmtId="0" fontId="0" fillId="0" borderId="13" xfId="0" applyBorder="1"/>
    <xf numFmtId="0" fontId="0" fillId="0" borderId="18" xfId="0" applyBorder="1"/>
    <xf numFmtId="0" fontId="0" fillId="0" borderId="20" xfId="0" applyBorder="1"/>
    <xf numFmtId="0" fontId="0" fillId="0" borderId="15" xfId="0" applyBorder="1"/>
    <xf numFmtId="0" fontId="31" fillId="3" borderId="15" xfId="0" applyFont="1" applyFill="1" applyBorder="1"/>
    <xf numFmtId="0" fontId="31" fillId="3" borderId="20" xfId="0" applyFont="1" applyFill="1" applyBorder="1"/>
    <xf numFmtId="14" fontId="26" fillId="3" borderId="15" xfId="0" applyNumberFormat="1" applyFont="1" applyFill="1" applyBorder="1"/>
    <xf numFmtId="14" fontId="26" fillId="3" borderId="20" xfId="0" applyNumberFormat="1" applyFont="1" applyFill="1" applyBorder="1"/>
    <xf numFmtId="2" fontId="8" fillId="3" borderId="17" xfId="0" applyNumberFormat="1" applyFont="1" applyFill="1" applyBorder="1"/>
    <xf numFmtId="2" fontId="0" fillId="3" borderId="20" xfId="0" applyNumberFormat="1" applyFill="1" applyBorder="1"/>
    <xf numFmtId="2" fontId="0" fillId="3" borderId="15" xfId="0" applyNumberFormat="1" applyFill="1" applyBorder="1"/>
    <xf numFmtId="0" fontId="34" fillId="5" borderId="10" xfId="0" applyFont="1" applyFill="1" applyBorder="1"/>
    <xf numFmtId="0" fontId="34" fillId="5" borderId="12" xfId="0" applyFont="1" applyFill="1" applyBorder="1" applyAlignment="1">
      <alignment horizontal="right"/>
    </xf>
    <xf numFmtId="0" fontId="22" fillId="8" borderId="6" xfId="0" applyFont="1" applyFill="1" applyBorder="1"/>
    <xf numFmtId="0" fontId="0" fillId="8" borderId="7" xfId="0" applyFill="1" applyBorder="1"/>
    <xf numFmtId="0" fontId="0" fillId="8" borderId="23" xfId="0" applyFill="1" applyBorder="1"/>
    <xf numFmtId="0" fontId="20" fillId="8" borderId="7" xfId="0" applyFont="1" applyFill="1" applyBorder="1"/>
    <xf numFmtId="0" fontId="20" fillId="8" borderId="23" xfId="0" applyFont="1" applyFill="1" applyBorder="1"/>
    <xf numFmtId="0" fontId="0" fillId="8" borderId="21" xfId="0" applyFill="1" applyBorder="1"/>
    <xf numFmtId="0" fontId="18" fillId="8" borderId="7" xfId="0" applyFont="1" applyFill="1" applyBorder="1"/>
    <xf numFmtId="0" fontId="22" fillId="3" borderId="7" xfId="0" applyFont="1" applyFill="1" applyBorder="1"/>
    <xf numFmtId="0" fontId="22" fillId="3" borderId="21" xfId="0" applyFont="1" applyFill="1" applyBorder="1"/>
    <xf numFmtId="0" fontId="22" fillId="3" borderId="23" xfId="0" applyFont="1" applyFill="1" applyBorder="1"/>
    <xf numFmtId="0" fontId="34" fillId="5" borderId="13" xfId="0" applyFont="1" applyFill="1" applyBorder="1"/>
    <xf numFmtId="10" fontId="0" fillId="3" borderId="15" xfId="0" applyNumberFormat="1" applyFill="1" applyBorder="1"/>
    <xf numFmtId="168" fontId="0" fillId="3" borderId="17" xfId="0" applyNumberFormat="1" applyFill="1" applyBorder="1"/>
    <xf numFmtId="168" fontId="0" fillId="3" borderId="20" xfId="0" applyNumberFormat="1" applyFill="1" applyBorder="1"/>
    <xf numFmtId="0" fontId="0" fillId="0" borderId="7" xfId="0" applyBorder="1"/>
    <xf numFmtId="0" fontId="0" fillId="0" borderId="21" xfId="0" applyBorder="1"/>
    <xf numFmtId="0" fontId="0" fillId="0" borderId="23" xfId="0" applyBorder="1"/>
    <xf numFmtId="0" fontId="22" fillId="8" borderId="7" xfId="0" applyFont="1" applyFill="1" applyBorder="1"/>
    <xf numFmtId="0" fontId="22" fillId="8" borderId="21" xfId="0" applyFont="1" applyFill="1" applyBorder="1"/>
    <xf numFmtId="0" fontId="22" fillId="8" borderId="23" xfId="0" applyFont="1" applyFill="1" applyBorder="1"/>
    <xf numFmtId="2" fontId="26" fillId="3" borderId="15" xfId="0" applyNumberFormat="1" applyFont="1" applyFill="1" applyBorder="1"/>
    <xf numFmtId="9" fontId="25" fillId="0" borderId="15" xfId="0" applyNumberFormat="1" applyFont="1" applyBorder="1"/>
    <xf numFmtId="9" fontId="25" fillId="0" borderId="20" xfId="0" applyNumberFormat="1" applyFont="1" applyBorder="1"/>
    <xf numFmtId="0" fontId="25" fillId="0" borderId="15" xfId="0" applyFont="1" applyBorder="1"/>
    <xf numFmtId="0" fontId="25" fillId="0" borderId="17" xfId="0" applyFont="1" applyBorder="1"/>
    <xf numFmtId="0" fontId="22" fillId="3" borderId="13" xfId="0" applyFont="1" applyFill="1" applyBorder="1"/>
    <xf numFmtId="0" fontId="22" fillId="3" borderId="16" xfId="0" applyFont="1" applyFill="1" applyBorder="1"/>
    <xf numFmtId="0" fontId="22" fillId="3" borderId="18" xfId="0" applyFont="1" applyFill="1" applyBorder="1"/>
    <xf numFmtId="17" fontId="22" fillId="3" borderId="13" xfId="0" applyNumberFormat="1" applyFont="1" applyFill="1" applyBorder="1" applyAlignment="1">
      <alignment horizontal="left"/>
    </xf>
    <xf numFmtId="17" fontId="22" fillId="3" borderId="16" xfId="0" applyNumberFormat="1" applyFont="1" applyFill="1" applyBorder="1" applyAlignment="1">
      <alignment horizontal="left"/>
    </xf>
    <xf numFmtId="17" fontId="22" fillId="3" borderId="18" xfId="0" applyNumberFormat="1" applyFont="1" applyFill="1" applyBorder="1" applyAlignment="1">
      <alignment horizontal="left"/>
    </xf>
    <xf numFmtId="0" fontId="25" fillId="0" borderId="14" xfId="0" applyFont="1" applyBorder="1"/>
    <xf numFmtId="0" fontId="25" fillId="0" borderId="5" xfId="0" applyFont="1" applyBorder="1"/>
    <xf numFmtId="0" fontId="25" fillId="0" borderId="19" xfId="0" applyFont="1" applyBorder="1"/>
    <xf numFmtId="168" fontId="0" fillId="0" borderId="16" xfId="0" applyNumberFormat="1" applyBorder="1"/>
    <xf numFmtId="168" fontId="0" fillId="0" borderId="5" xfId="0" applyNumberFormat="1" applyBorder="1"/>
    <xf numFmtId="168" fontId="0" fillId="0" borderId="17" xfId="0" applyNumberFormat="1" applyBorder="1"/>
    <xf numFmtId="168" fontId="0" fillId="0" borderId="18" xfId="0" applyNumberFormat="1" applyBorder="1"/>
    <xf numFmtId="168" fontId="0" fillId="0" borderId="19" xfId="0" applyNumberFormat="1" applyBorder="1"/>
    <xf numFmtId="168" fontId="0" fillId="0" borderId="20" xfId="0" applyNumberFormat="1" applyBorder="1"/>
    <xf numFmtId="0" fontId="22" fillId="3" borderId="10" xfId="0" applyFont="1" applyFill="1" applyBorder="1" applyAlignment="1">
      <alignment horizontal="right"/>
    </xf>
    <xf numFmtId="0" fontId="22" fillId="3" borderId="11" xfId="0" applyFont="1" applyFill="1" applyBorder="1" applyAlignment="1">
      <alignment horizontal="right"/>
    </xf>
    <xf numFmtId="0" fontId="22" fillId="3" borderId="12" xfId="0" applyFont="1" applyFill="1" applyBorder="1" applyAlignment="1">
      <alignment horizontal="right"/>
    </xf>
    <xf numFmtId="168" fontId="0" fillId="0" borderId="13" xfId="0" applyNumberFormat="1" applyBorder="1"/>
    <xf numFmtId="168" fontId="0" fillId="0" borderId="14" xfId="0" applyNumberFormat="1" applyBorder="1"/>
    <xf numFmtId="168" fontId="0" fillId="0" borderId="15" xfId="0" applyNumberFormat="1" applyBorder="1"/>
    <xf numFmtId="0" fontId="25" fillId="3" borderId="20" xfId="0" applyFont="1" applyFill="1" applyBorder="1"/>
    <xf numFmtId="0" fontId="34" fillId="5" borderId="13" xfId="0" applyFont="1" applyFill="1" applyBorder="1" applyAlignment="1">
      <alignment horizontal="right"/>
    </xf>
    <xf numFmtId="14" fontId="25" fillId="3" borderId="15" xfId="0" applyNumberFormat="1" applyFont="1" applyFill="1" applyBorder="1"/>
    <xf numFmtId="0" fontId="25" fillId="3" borderId="17" xfId="0" applyFont="1" applyFill="1" applyBorder="1"/>
    <xf numFmtId="14" fontId="25" fillId="0" borderId="7" xfId="0" applyNumberFormat="1" applyFont="1" applyBorder="1"/>
    <xf numFmtId="9" fontId="25" fillId="0" borderId="7" xfId="0" applyNumberFormat="1" applyFont="1" applyBorder="1"/>
    <xf numFmtId="9" fontId="25" fillId="0" borderId="21" xfId="0" applyNumberFormat="1" applyFont="1" applyBorder="1"/>
    <xf numFmtId="9" fontId="25" fillId="0" borderId="23" xfId="0" applyNumberFormat="1" applyFont="1" applyBorder="1"/>
    <xf numFmtId="0" fontId="10" fillId="8" borderId="13" xfId="0" applyFont="1" applyFill="1" applyBorder="1"/>
    <xf numFmtId="0" fontId="10" fillId="8" borderId="18" xfId="0" applyFont="1" applyFill="1" applyBorder="1"/>
    <xf numFmtId="0" fontId="25" fillId="0" borderId="20" xfId="0" applyFont="1" applyBorder="1"/>
    <xf numFmtId="0" fontId="22" fillId="3" borderId="6" xfId="0" applyFont="1" applyFill="1" applyBorder="1" applyAlignment="1">
      <alignment horizontal="right"/>
    </xf>
    <xf numFmtId="0" fontId="22" fillId="10" borderId="6" xfId="0" applyFont="1" applyFill="1" applyBorder="1"/>
    <xf numFmtId="0" fontId="38" fillId="10" borderId="11" xfId="0" applyFont="1" applyFill="1" applyBorder="1" applyAlignment="1">
      <alignment horizontal="right"/>
    </xf>
    <xf numFmtId="0" fontId="39" fillId="10" borderId="11" xfId="0" applyFont="1" applyFill="1" applyBorder="1" applyAlignment="1">
      <alignment horizontal="right"/>
    </xf>
    <xf numFmtId="9" fontId="0" fillId="0" borderId="15" xfId="0" applyNumberFormat="1" applyBorder="1"/>
    <xf numFmtId="9" fontId="0" fillId="0" borderId="17" xfId="0" applyNumberFormat="1" applyBorder="1"/>
    <xf numFmtId="9" fontId="0" fillId="0" borderId="20" xfId="0" applyNumberFormat="1" applyBorder="1"/>
    <xf numFmtId="166" fontId="21" fillId="3" borderId="0" xfId="0" applyNumberFormat="1" applyFont="1" applyFill="1" applyAlignment="1">
      <alignment horizontal="left"/>
    </xf>
    <xf numFmtId="14" fontId="24" fillId="0" borderId="0" xfId="0" applyNumberFormat="1" applyFont="1" applyAlignment="1">
      <alignment horizontal="right"/>
    </xf>
    <xf numFmtId="166" fontId="17" fillId="4" borderId="0" xfId="0" applyNumberFormat="1" applyFont="1" applyFill="1"/>
    <xf numFmtId="2" fontId="17" fillId="0" borderId="0" xfId="0" applyNumberFormat="1" applyFont="1" applyAlignment="1">
      <alignment horizontal="right"/>
    </xf>
    <xf numFmtId="166" fontId="17" fillId="3" borderId="0" xfId="0" applyNumberFormat="1" applyFont="1" applyFill="1" applyAlignment="1">
      <alignment horizontal="left"/>
    </xf>
    <xf numFmtId="1" fontId="24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right"/>
    </xf>
    <xf numFmtId="4" fontId="24" fillId="0" borderId="0" xfId="0" applyNumberFormat="1" applyFont="1" applyAlignment="1">
      <alignment horizontal="right"/>
    </xf>
    <xf numFmtId="4" fontId="40" fillId="0" borderId="0" xfId="0" applyNumberFormat="1" applyFont="1"/>
    <xf numFmtId="165" fontId="0" fillId="0" borderId="0" xfId="0" applyNumberFormat="1"/>
    <xf numFmtId="17" fontId="12" fillId="5" borderId="0" xfId="0" applyNumberFormat="1" applyFont="1" applyFill="1"/>
    <xf numFmtId="0" fontId="11" fillId="8" borderId="6" xfId="0" applyFont="1" applyFill="1" applyBorder="1"/>
    <xf numFmtId="167" fontId="19" fillId="3" borderId="10" xfId="0" applyNumberFormat="1" applyFont="1" applyFill="1" applyBorder="1"/>
    <xf numFmtId="167" fontId="19" fillId="3" borderId="11" xfId="0" applyNumberFormat="1" applyFont="1" applyFill="1" applyBorder="1"/>
    <xf numFmtId="167" fontId="19" fillId="3" borderId="12" xfId="0" applyNumberFormat="1" applyFont="1" applyFill="1" applyBorder="1"/>
    <xf numFmtId="166" fontId="0" fillId="0" borderId="13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9" fontId="40" fillId="0" borderId="18" xfId="0" applyNumberFormat="1" applyFont="1" applyBorder="1"/>
    <xf numFmtId="9" fontId="40" fillId="0" borderId="19" xfId="0" applyNumberFormat="1" applyFont="1" applyBorder="1"/>
    <xf numFmtId="9" fontId="40" fillId="0" borderId="20" xfId="0" applyNumberFormat="1" applyFont="1" applyBorder="1"/>
    <xf numFmtId="0" fontId="11" fillId="3" borderId="5" xfId="0" applyFont="1" applyFill="1" applyBorder="1"/>
    <xf numFmtId="0" fontId="0" fillId="0" borderId="14" xfId="0" applyBorder="1"/>
    <xf numFmtId="0" fontId="0" fillId="0" borderId="19" xfId="0" applyBorder="1"/>
    <xf numFmtId="0" fontId="11" fillId="3" borderId="0" xfId="0" applyFont="1" applyFill="1"/>
    <xf numFmtId="165" fontId="0" fillId="0" borderId="14" xfId="0" applyNumberFormat="1" applyBorder="1"/>
    <xf numFmtId="165" fontId="0" fillId="0" borderId="19" xfId="0" applyNumberFormat="1" applyBorder="1"/>
    <xf numFmtId="165" fontId="0" fillId="0" borderId="18" xfId="0" applyNumberFormat="1" applyBorder="1"/>
    <xf numFmtId="17" fontId="0" fillId="0" borderId="0" xfId="0" applyNumberFormat="1" applyAlignment="1">
      <alignment horizontal="right"/>
    </xf>
    <xf numFmtId="3" fontId="12" fillId="5" borderId="0" xfId="0" applyNumberFormat="1" applyFont="1" applyFill="1"/>
    <xf numFmtId="17" fontId="27" fillId="5" borderId="0" xfId="0" applyNumberFormat="1" applyFont="1" applyFill="1" applyAlignment="1">
      <alignment horizontal="right"/>
    </xf>
    <xf numFmtId="17" fontId="27" fillId="5" borderId="0" xfId="0" applyNumberFormat="1" applyFont="1" applyFill="1"/>
    <xf numFmtId="3" fontId="27" fillId="5" borderId="0" xfId="0" applyNumberFormat="1" applyFont="1" applyFill="1" applyAlignment="1">
      <alignment horizontal="right"/>
    </xf>
    <xf numFmtId="165" fontId="24" fillId="0" borderId="5" xfId="0" applyNumberFormat="1" applyFont="1" applyBorder="1" applyAlignment="1">
      <alignment horizontal="right"/>
    </xf>
    <xf numFmtId="0" fontId="16" fillId="4" borderId="5" xfId="0" applyFont="1" applyFill="1" applyBorder="1"/>
    <xf numFmtId="165" fontId="0" fillId="0" borderId="5" xfId="0" applyNumberFormat="1" applyBorder="1"/>
    <xf numFmtId="165" fontId="0" fillId="0" borderId="15" xfId="0" applyNumberFormat="1" applyBorder="1"/>
    <xf numFmtId="165" fontId="0" fillId="0" borderId="20" xfId="0" applyNumberFormat="1" applyBorder="1"/>
    <xf numFmtId="166" fontId="23" fillId="4" borderId="0" xfId="0" applyNumberFormat="1" applyFont="1" applyFill="1"/>
    <xf numFmtId="164" fontId="16" fillId="0" borderId="5" xfId="0" applyNumberFormat="1" applyFont="1" applyBorder="1"/>
    <xf numFmtId="166" fontId="0" fillId="0" borderId="5" xfId="0" applyNumberFormat="1" applyBorder="1"/>
    <xf numFmtId="166" fontId="0" fillId="0" borderId="17" xfId="0" applyNumberFormat="1" applyBorder="1"/>
    <xf numFmtId="1" fontId="0" fillId="0" borderId="5" xfId="0" applyNumberFormat="1" applyBorder="1"/>
    <xf numFmtId="1" fontId="0" fillId="0" borderId="17" xfId="0" applyNumberFormat="1" applyBorder="1"/>
    <xf numFmtId="1" fontId="0" fillId="0" borderId="19" xfId="0" applyNumberFormat="1" applyBorder="1"/>
    <xf numFmtId="1" fontId="0" fillId="0" borderId="20" xfId="0" applyNumberFormat="1" applyBorder="1"/>
    <xf numFmtId="164" fontId="0" fillId="0" borderId="16" xfId="0" applyNumberFormat="1" applyBorder="1"/>
    <xf numFmtId="9" fontId="17" fillId="0" borderId="0" xfId="0" applyNumberFormat="1" applyFont="1" applyAlignment="1">
      <alignment horizontal="right"/>
    </xf>
    <xf numFmtId="164" fontId="0" fillId="0" borderId="0" xfId="0" applyNumberFormat="1" applyAlignment="1">
      <alignment horizontal="right"/>
    </xf>
    <xf numFmtId="168" fontId="40" fillId="0" borderId="18" xfId="0" applyNumberFormat="1" applyFont="1" applyBorder="1"/>
    <xf numFmtId="0" fontId="41" fillId="0" borderId="0" xfId="0" applyFont="1"/>
    <xf numFmtId="174" fontId="0" fillId="0" borderId="0" xfId="0" applyNumberFormat="1"/>
    <xf numFmtId="10" fontId="40" fillId="0" borderId="18" xfId="0" applyNumberFormat="1" applyFont="1" applyBorder="1"/>
    <xf numFmtId="171" fontId="40" fillId="0" borderId="18" xfId="0" applyNumberFormat="1" applyFont="1" applyBorder="1"/>
    <xf numFmtId="0" fontId="25" fillId="0" borderId="16" xfId="0" applyFont="1" applyBorder="1"/>
    <xf numFmtId="165" fontId="17" fillId="0" borderId="5" xfId="0" applyNumberFormat="1" applyFont="1" applyBorder="1" applyAlignment="1">
      <alignment horizontal="right"/>
    </xf>
    <xf numFmtId="10" fontId="40" fillId="0" borderId="19" xfId="0" applyNumberFormat="1" applyFont="1" applyBorder="1"/>
    <xf numFmtId="10" fontId="40" fillId="0" borderId="20" xfId="0" applyNumberFormat="1" applyFont="1" applyBorder="1"/>
    <xf numFmtId="166" fontId="1" fillId="0" borderId="5" xfId="0" applyNumberFormat="1" applyFont="1" applyBorder="1"/>
    <xf numFmtId="0" fontId="1" fillId="0" borderId="5" xfId="0" applyFont="1" applyBorder="1"/>
    <xf numFmtId="0" fontId="2" fillId="0" borderId="5" xfId="0" applyFont="1" applyBorder="1"/>
    <xf numFmtId="0" fontId="3" fillId="2" borderId="1" xfId="0" applyFont="1" applyFill="1" applyBorder="1"/>
    <xf numFmtId="0" fontId="7" fillId="2" borderId="5" xfId="0" applyFont="1" applyFill="1" applyBorder="1"/>
    <xf numFmtId="0" fontId="22" fillId="8" borderId="10" xfId="0" applyFont="1" applyFill="1" applyBorder="1" applyAlignment="1">
      <alignment horizontal="center"/>
    </xf>
    <xf numFmtId="0" fontId="22" fillId="8" borderId="12" xfId="0" applyFont="1" applyFill="1" applyBorder="1" applyAlignment="1">
      <alignment horizontal="center"/>
    </xf>
    <xf numFmtId="0" fontId="34" fillId="5" borderId="0" xfId="0" applyFont="1" applyFill="1" applyAlignment="1">
      <alignment horizontal="center"/>
    </xf>
    <xf numFmtId="0" fontId="33" fillId="9" borderId="0" xfId="0" applyFont="1" applyFill="1" applyAlignment="1">
      <alignment horizontal="center"/>
    </xf>
    <xf numFmtId="0" fontId="1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23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s-AR" b="1">
                <a:solidFill>
                  <a:srgbClr val="002060"/>
                </a:solidFill>
              </a:rPr>
              <a:t>Curva de Inflación Proyectada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rgbClr val="002060">
                  <a:alpha val="93000"/>
                </a:srgb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00206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rebuchet MS" panose="020B0603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'Monitor Letras'!$B$4:$B$17</c:f>
              <c:numCache>
                <c:formatCode>mmm\-yy</c:formatCode>
                <c:ptCount val="14"/>
                <c:pt idx="0">
                  <c:v>45078</c:v>
                </c:pt>
                <c:pt idx="1">
                  <c:v>45108</c:v>
                </c:pt>
                <c:pt idx="2">
                  <c:v>45139</c:v>
                </c:pt>
                <c:pt idx="3">
                  <c:v>45170</c:v>
                </c:pt>
                <c:pt idx="4">
                  <c:v>45200</c:v>
                </c:pt>
                <c:pt idx="5">
                  <c:v>45231</c:v>
                </c:pt>
                <c:pt idx="6">
                  <c:v>45261</c:v>
                </c:pt>
                <c:pt idx="7">
                  <c:v>45292</c:v>
                </c:pt>
                <c:pt idx="8">
                  <c:v>45323</c:v>
                </c:pt>
                <c:pt idx="9">
                  <c:v>45352</c:v>
                </c:pt>
                <c:pt idx="10">
                  <c:v>45383</c:v>
                </c:pt>
                <c:pt idx="11">
                  <c:v>45413</c:v>
                </c:pt>
                <c:pt idx="12">
                  <c:v>45444</c:v>
                </c:pt>
                <c:pt idx="13">
                  <c:v>45474</c:v>
                </c:pt>
              </c:numCache>
            </c:numRef>
          </c:cat>
          <c:val>
            <c:numRef>
              <c:f>'Monitor Letras'!$C$4:$C$17</c:f>
              <c:numCache>
                <c:formatCode>0%</c:formatCode>
                <c:ptCount val="14"/>
                <c:pt idx="0">
                  <c:v>7.0000000000000007E-2</c:v>
                </c:pt>
                <c:pt idx="1">
                  <c:v>0.08</c:v>
                </c:pt>
                <c:pt idx="2">
                  <c:v>0.08</c:v>
                </c:pt>
                <c:pt idx="3">
                  <c:v>0.09</c:v>
                </c:pt>
                <c:pt idx="4">
                  <c:v>0.09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0.06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0.04</c:v>
                </c:pt>
                <c:pt idx="12">
                  <c:v>0.03</c:v>
                </c:pt>
                <c:pt idx="13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87-4EED-BF38-CEBAD8983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93392"/>
        <c:axId val="574214512"/>
      </c:lineChart>
      <c:dateAx>
        <c:axId val="57419339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74214512"/>
        <c:crosses val="autoZero"/>
        <c:auto val="1"/>
        <c:lblOffset val="100"/>
        <c:baseTimeUnit val="months"/>
      </c:dateAx>
      <c:valAx>
        <c:axId val="57421451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741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412750</xdr:colOff>
      <xdr:row>1</xdr:row>
      <xdr:rowOff>73025</xdr:rowOff>
    </xdr:from>
    <xdr:to>
      <xdr:col>33</xdr:col>
      <xdr:colOff>238125</xdr:colOff>
      <xdr:row>20</xdr:row>
      <xdr:rowOff>31749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30C8FE-00B0-591C-5A7B-1B102B1F06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mrz/Documents/jupyter/anker/precio.xlsx" TargetMode="External"/><Relationship Id="rId1" Type="http://schemas.openxmlformats.org/officeDocument/2006/relationships/externalLinkPath" Target="prec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tizaciones_Bonos"/>
    </sheetNames>
    <sheetDataSet>
      <sheetData sheetId="0">
        <row r="2">
          <cell r="A2" t="str">
            <v>AE3AE38BONOS ARGENTINA USD 2038 L.A</v>
          </cell>
          <cell r="B2" t="str">
            <v>AR$ 16.640,00</v>
          </cell>
          <cell r="C2" t="str">
            <v>1,96%</v>
          </cell>
          <cell r="D2" t="str">
            <v>427.190.727</v>
          </cell>
          <cell r="E2" t="str">
            <v>0,25 %</v>
          </cell>
          <cell r="F2" t="str">
            <v>16.500,00</v>
          </cell>
          <cell r="G2" t="str">
            <v>16.400,00</v>
          </cell>
          <cell r="H2" t="str">
            <v>16.800,00</v>
          </cell>
          <cell r="I2" t="str">
            <v>4,70</v>
          </cell>
          <cell r="J2" t="str">
            <v>19:43</v>
          </cell>
          <cell r="K2" t="str">
            <v>Ver detalle  Operar</v>
          </cell>
        </row>
        <row r="3">
          <cell r="A3" t="str">
            <v>AE3AE38CBONOS ARGENTINA USD 2038 L.A</v>
          </cell>
          <cell r="B3" t="str">
            <v>US$ 33,00</v>
          </cell>
          <cell r="C3" t="str">
            <v>0,00%</v>
          </cell>
          <cell r="D3" t="str">
            <v>0</v>
          </cell>
          <cell r="E3" t="str">
            <v>0,25 %</v>
          </cell>
          <cell r="F3" t="str">
            <v>0,00</v>
          </cell>
          <cell r="G3" t="str">
            <v>0,00</v>
          </cell>
          <cell r="H3" t="str">
            <v>0,00</v>
          </cell>
          <cell r="I3" t="str">
            <v>4,66</v>
          </cell>
          <cell r="J3" t="str">
            <v>10/07/2023</v>
          </cell>
          <cell r="K3" t="str">
            <v>Ver detalle  Operar</v>
          </cell>
        </row>
        <row r="4">
          <cell r="A4" t="str">
            <v>AE3AE38DBONOS ARGENTINA USD 2038 L.A</v>
          </cell>
          <cell r="B4" t="str">
            <v>US$ 34,36</v>
          </cell>
          <cell r="C4" t="str">
            <v>1,96%</v>
          </cell>
          <cell r="D4" t="str">
            <v>149.934</v>
          </cell>
          <cell r="E4" t="str">
            <v>0,25 %</v>
          </cell>
          <cell r="F4" t="str">
            <v>34,00</v>
          </cell>
          <cell r="G4" t="str">
            <v>33,50</v>
          </cell>
          <cell r="H4" t="str">
            <v>36,00</v>
          </cell>
          <cell r="I4" t="str">
            <v>4,71</v>
          </cell>
          <cell r="J4" t="str">
            <v>19:43</v>
          </cell>
          <cell r="K4" t="str">
            <v>Ver detalle  Operar</v>
          </cell>
        </row>
        <row r="5">
          <cell r="A5" t="str">
            <v>AL2AL29BONOS ARGENTINA USD 2029 1%  L.A</v>
          </cell>
          <cell r="B5" t="str">
            <v>AR$ 15.210,00</v>
          </cell>
          <cell r="C5" t="str">
            <v>2,77%</v>
          </cell>
          <cell r="D5" t="str">
            <v>82.941.631</v>
          </cell>
          <cell r="E5" t="str">
            <v>0,46 %</v>
          </cell>
          <cell r="F5" t="str">
            <v>14.927,00</v>
          </cell>
          <cell r="G5" t="str">
            <v>14.900,00</v>
          </cell>
          <cell r="H5" t="str">
            <v>15.282,00</v>
          </cell>
          <cell r="I5" t="str">
            <v>2,39</v>
          </cell>
          <cell r="J5" t="str">
            <v>19:43</v>
          </cell>
          <cell r="K5" t="str">
            <v>Ver detalle  Operar</v>
          </cell>
        </row>
        <row r="6">
          <cell r="A6" t="str">
            <v>AL2AL29CBONOS ARGENTINA USD 2029 1%  L.A</v>
          </cell>
          <cell r="B6" t="str">
            <v>US$ 29,50</v>
          </cell>
          <cell r="C6" t="str">
            <v>0,00%</v>
          </cell>
          <cell r="D6" t="str">
            <v>0</v>
          </cell>
          <cell r="E6" t="str">
            <v>0,00 %</v>
          </cell>
          <cell r="F6" t="str">
            <v>0,00</v>
          </cell>
          <cell r="G6" t="str">
            <v>0,00</v>
          </cell>
          <cell r="H6" t="str">
            <v>0,00</v>
          </cell>
          <cell r="I6" t="str">
            <v>0,00</v>
          </cell>
          <cell r="J6" t="str">
            <v>10/07/2023</v>
          </cell>
          <cell r="K6" t="str">
            <v>Ver detalle  Operar</v>
          </cell>
        </row>
        <row r="7">
          <cell r="A7" t="str">
            <v>AL2AL29DBONOS ARGENTINA USD 2029 1%  L.A</v>
          </cell>
          <cell r="B7" t="str">
            <v>US$ 33,50</v>
          </cell>
          <cell r="C7" t="str">
            <v>10,05%</v>
          </cell>
          <cell r="D7" t="str">
            <v>38.832</v>
          </cell>
          <cell r="E7" t="str">
            <v>0,45 %</v>
          </cell>
          <cell r="F7" t="str">
            <v>30,50</v>
          </cell>
          <cell r="G7" t="str">
            <v>30,00</v>
          </cell>
          <cell r="H7" t="str">
            <v>33,00</v>
          </cell>
          <cell r="I7" t="str">
            <v>2,41</v>
          </cell>
          <cell r="J7" t="str">
            <v>18:54</v>
          </cell>
          <cell r="K7" t="str">
            <v>Ver detalle  Operar</v>
          </cell>
        </row>
        <row r="8">
          <cell r="A8" t="str">
            <v>AL3AL30BONOS ARGENTINA USD 2030 L.A</v>
          </cell>
          <cell r="B8" t="str">
            <v>AR$ 14.645,00</v>
          </cell>
          <cell r="C8" t="str">
            <v>2,70%</v>
          </cell>
          <cell r="D8" t="str">
            <v>19.296.658.668</v>
          </cell>
          <cell r="E8" t="str">
            <v>0,44 %</v>
          </cell>
          <cell r="F8" t="str">
            <v>14.399,00</v>
          </cell>
          <cell r="G8" t="str">
            <v>14.399,00</v>
          </cell>
          <cell r="H8" t="str">
            <v>14.730,00</v>
          </cell>
          <cell r="I8" t="str">
            <v>2,42</v>
          </cell>
          <cell r="J8" t="str">
            <v>19:43</v>
          </cell>
          <cell r="K8" t="str">
            <v>Ver detalle  Operar</v>
          </cell>
        </row>
        <row r="9">
          <cell r="A9" t="str">
            <v>AL3AL30CBONOS ARGENTINA USD 2030 L.A</v>
          </cell>
          <cell r="B9" t="str">
            <v>US$ 29,29</v>
          </cell>
          <cell r="C9" t="str">
            <v>2,81%</v>
          </cell>
          <cell r="D9" t="str">
            <v>1.087.456</v>
          </cell>
          <cell r="E9" t="str">
            <v>0,45 %</v>
          </cell>
          <cell r="F9" t="str">
            <v>28,50</v>
          </cell>
          <cell r="G9" t="str">
            <v>28,50</v>
          </cell>
          <cell r="H9" t="str">
            <v>29,30</v>
          </cell>
          <cell r="I9" t="str">
            <v>2,41</v>
          </cell>
          <cell r="J9" t="str">
            <v>19:32</v>
          </cell>
          <cell r="K9" t="str">
            <v>Ver detalle  Operar</v>
          </cell>
        </row>
        <row r="10">
          <cell r="A10" t="str">
            <v>AL3AL30DBONOS ARGENTINA USD 2030 L.A</v>
          </cell>
          <cell r="B10" t="str">
            <v>US$ 30,10</v>
          </cell>
          <cell r="C10" t="str">
            <v>2,59%</v>
          </cell>
          <cell r="D10" t="str">
            <v>13.451.763</v>
          </cell>
          <cell r="E10" t="str">
            <v>0,43 %</v>
          </cell>
          <cell r="F10" t="str">
            <v>29,35</v>
          </cell>
          <cell r="G10" t="str">
            <v>29,30</v>
          </cell>
          <cell r="H10" t="str">
            <v>30,25</v>
          </cell>
          <cell r="I10" t="str">
            <v>2,44</v>
          </cell>
          <cell r="J10" t="str">
            <v>19:43</v>
          </cell>
          <cell r="K10" t="str">
            <v>Ver detalle  Operar</v>
          </cell>
        </row>
        <row r="11">
          <cell r="A11" t="str">
            <v>AL3AL35BONOS ARGENTINA USD 2035 L.A</v>
          </cell>
          <cell r="B11" t="str">
            <v>AR$ 15.275,50</v>
          </cell>
          <cell r="C11" t="str">
            <v>2,53%</v>
          </cell>
          <cell r="D11" t="str">
            <v>295.821.896</v>
          </cell>
          <cell r="E11" t="str">
            <v>0,24 %</v>
          </cell>
          <cell r="F11" t="str">
            <v>15.200,00</v>
          </cell>
          <cell r="G11" t="str">
            <v>14.913,00</v>
          </cell>
          <cell r="H11" t="str">
            <v>15.593,50</v>
          </cell>
          <cell r="I11" t="str">
            <v>5,60</v>
          </cell>
          <cell r="J11" t="str">
            <v>19:42</v>
          </cell>
          <cell r="K11" t="str">
            <v>Ver detalle  Operar</v>
          </cell>
        </row>
        <row r="12">
          <cell r="A12" t="str">
            <v>AL3AL35CBONOS ARGENTINA USD 2035 L.A</v>
          </cell>
          <cell r="B12" t="str">
            <v>US$ 19,75</v>
          </cell>
          <cell r="C12" t="str">
            <v>0,00%</v>
          </cell>
          <cell r="D12" t="str">
            <v>0</v>
          </cell>
          <cell r="E12" t="str">
            <v>0,00 %</v>
          </cell>
          <cell r="F12" t="str">
            <v>0,00</v>
          </cell>
          <cell r="G12" t="str">
            <v>0,00</v>
          </cell>
          <cell r="H12" t="str">
            <v>0,00</v>
          </cell>
          <cell r="I12" t="str">
            <v>0,00</v>
          </cell>
          <cell r="J12" t="str">
            <v>10/07/2023</v>
          </cell>
          <cell r="K12" t="str">
            <v>Ver detalle  Operar</v>
          </cell>
        </row>
        <row r="13">
          <cell r="A13" t="str">
            <v>AL3AL35DBONOS ARGENTINA USD 2035 L.A</v>
          </cell>
          <cell r="B13" t="str">
            <v>US$ 30,10</v>
          </cell>
          <cell r="C13" t="str">
            <v>-0,43%</v>
          </cell>
          <cell r="D13" t="str">
            <v>87.556</v>
          </cell>
          <cell r="E13" t="str">
            <v>0,23 %</v>
          </cell>
          <cell r="F13" t="str">
            <v>30,22</v>
          </cell>
          <cell r="G13" t="str">
            <v>30,00</v>
          </cell>
          <cell r="H13" t="str">
            <v>31,75</v>
          </cell>
          <cell r="I13" t="str">
            <v>5,62</v>
          </cell>
          <cell r="J13" t="str">
            <v>19:42</v>
          </cell>
          <cell r="K13" t="str">
            <v>Ver detalle  Operar</v>
          </cell>
        </row>
        <row r="14">
          <cell r="A14" t="str">
            <v>AL4AL41BONOS ARGENTINA USD 2041 L.A</v>
          </cell>
          <cell r="B14" t="str">
            <v>AR$ 15.100,00</v>
          </cell>
          <cell r="C14" t="str">
            <v>2,37%</v>
          </cell>
          <cell r="D14" t="str">
            <v>195.435.159</v>
          </cell>
          <cell r="E14" t="str">
            <v>0,22 %</v>
          </cell>
          <cell r="F14" t="str">
            <v>14.800,00</v>
          </cell>
          <cell r="G14" t="str">
            <v>14.611,50</v>
          </cell>
          <cell r="H14" t="str">
            <v>15.300,00</v>
          </cell>
          <cell r="I14" t="str">
            <v>5,58</v>
          </cell>
          <cell r="J14" t="str">
            <v>19:43</v>
          </cell>
          <cell r="K14" t="str">
            <v>Ver detalle  Operar</v>
          </cell>
        </row>
        <row r="15">
          <cell r="A15" t="str">
            <v>AL4AL41CBONOS ARGENTINA USD 2041 L.A</v>
          </cell>
          <cell r="B15" t="str">
            <v>US$ 27,75</v>
          </cell>
          <cell r="C15" t="str">
            <v>0,00%</v>
          </cell>
          <cell r="D15" t="str">
            <v>0</v>
          </cell>
          <cell r="E15" t="str">
            <v>0,00 %</v>
          </cell>
          <cell r="F15" t="str">
            <v>0,00</v>
          </cell>
          <cell r="G15" t="str">
            <v>0,00</v>
          </cell>
          <cell r="H15" t="str">
            <v>0,00</v>
          </cell>
          <cell r="I15" t="str">
            <v>0,00</v>
          </cell>
          <cell r="J15" t="str">
            <v>10/07/2023</v>
          </cell>
          <cell r="K15" t="str">
            <v>Ver detalle  Operar</v>
          </cell>
        </row>
        <row r="16">
          <cell r="A16" t="str">
            <v>AL4AL41DBONOS ARGENTINA USD 2041 L.A</v>
          </cell>
          <cell r="B16" t="str">
            <v>US$ 30,90</v>
          </cell>
          <cell r="C16" t="str">
            <v>0,04%</v>
          </cell>
          <cell r="D16" t="str">
            <v>153.566</v>
          </cell>
          <cell r="E16" t="str">
            <v>0,21 %</v>
          </cell>
          <cell r="F16" t="str">
            <v>30,01</v>
          </cell>
          <cell r="G16" t="str">
            <v>30,00</v>
          </cell>
          <cell r="H16" t="str">
            <v>32,49</v>
          </cell>
          <cell r="I16" t="str">
            <v>5,70</v>
          </cell>
          <cell r="J16" t="str">
            <v>19:43</v>
          </cell>
          <cell r="K16" t="str">
            <v>Ver detalle  Operar</v>
          </cell>
        </row>
        <row r="17">
          <cell r="A17" t="str">
            <v>CUACUAPCuasipar CER + 3,31</v>
          </cell>
          <cell r="B17" t="str">
            <v>AR$ 5.300,00</v>
          </cell>
          <cell r="C17" t="str">
            <v>0,00%</v>
          </cell>
          <cell r="D17" t="str">
            <v>152.590</v>
          </cell>
          <cell r="E17" t="str">
            <v>0,09 %</v>
          </cell>
          <cell r="F17" t="str">
            <v>5.250,00</v>
          </cell>
          <cell r="G17" t="str">
            <v>5.090,00</v>
          </cell>
          <cell r="H17" t="str">
            <v>5.350,00</v>
          </cell>
          <cell r="I17" t="str">
            <v>10,93</v>
          </cell>
          <cell r="J17" t="str">
            <v>19:04</v>
          </cell>
          <cell r="K17" t="str">
            <v>Ver detalle  Operar</v>
          </cell>
        </row>
        <row r="18">
          <cell r="A18" t="str">
            <v>DICDICPDiscount 2033 CER + 5,83%</v>
          </cell>
          <cell r="B18" t="str">
            <v>AR$ 8.049,50</v>
          </cell>
          <cell r="C18" t="str">
            <v>0,31%</v>
          </cell>
          <cell r="D18" t="str">
            <v>58.587.090</v>
          </cell>
          <cell r="E18" t="str">
            <v>0,09 %</v>
          </cell>
          <cell r="F18" t="str">
            <v>7.951,00</v>
          </cell>
          <cell r="G18" t="str">
            <v>7.951,00</v>
          </cell>
          <cell r="H18" t="str">
            <v>8.060,00</v>
          </cell>
          <cell r="I18" t="str">
            <v>4,35</v>
          </cell>
          <cell r="J18" t="str">
            <v>19:40</v>
          </cell>
          <cell r="K18" t="str">
            <v>Ver detalle  Operar</v>
          </cell>
        </row>
        <row r="19">
          <cell r="A19" t="str">
            <v>DICDICPDDiscount 2033 CER</v>
          </cell>
          <cell r="B19" t="str">
            <v>US$ 10,95</v>
          </cell>
          <cell r="C19" t="str">
            <v>0,00%</v>
          </cell>
          <cell r="D19" t="str">
            <v>0</v>
          </cell>
          <cell r="E19" t="str">
            <v>10,00 %</v>
          </cell>
          <cell r="F19" t="str">
            <v>0,00</v>
          </cell>
          <cell r="G19" t="str">
            <v>0,00</v>
          </cell>
          <cell r="H19" t="str">
            <v>0,00</v>
          </cell>
          <cell r="I19" t="str">
            <v>1,49</v>
          </cell>
          <cell r="J19" t="str">
            <v>10/07/2023</v>
          </cell>
          <cell r="K19" t="str">
            <v>Ver detalle  Operar</v>
          </cell>
        </row>
        <row r="20">
          <cell r="A20" t="str">
            <v>GD2GD29Bonos Globales Argentina USD 1% 2029</v>
          </cell>
          <cell r="B20" t="str">
            <v>AR$ 17.430,00</v>
          </cell>
          <cell r="C20" t="str">
            <v>3,75%</v>
          </cell>
          <cell r="D20" t="str">
            <v>23.224.907</v>
          </cell>
          <cell r="E20" t="str">
            <v>0,38 %</v>
          </cell>
          <cell r="F20" t="str">
            <v>16.800,00</v>
          </cell>
          <cell r="G20" t="str">
            <v>16.660,00</v>
          </cell>
          <cell r="H20" t="str">
            <v>17.494,00</v>
          </cell>
          <cell r="I20" t="str">
            <v>2,55</v>
          </cell>
          <cell r="J20" t="str">
            <v>19:43</v>
          </cell>
          <cell r="K20" t="str">
            <v>Ver detalle  Operar</v>
          </cell>
        </row>
        <row r="21">
          <cell r="A21" t="str">
            <v>GD2GD29CBonos Globales Argentina USD 1% 2029</v>
          </cell>
          <cell r="B21" t="str">
            <v>US$ 30,10</v>
          </cell>
          <cell r="C21" t="str">
            <v>0,00%</v>
          </cell>
          <cell r="D21" t="str">
            <v>0</v>
          </cell>
          <cell r="E21" t="str">
            <v>0,00 %</v>
          </cell>
          <cell r="F21" t="str">
            <v>0,00</v>
          </cell>
          <cell r="G21" t="str">
            <v>0,00</v>
          </cell>
          <cell r="H21" t="str">
            <v>0,00</v>
          </cell>
          <cell r="I21" t="str">
            <v>0,00</v>
          </cell>
          <cell r="J21" t="str">
            <v>10/07/2023</v>
          </cell>
          <cell r="K21" t="str">
            <v>Ver detalle  Operar</v>
          </cell>
        </row>
        <row r="22">
          <cell r="A22" t="str">
            <v>GD2GD29DBonos Globales Argentina USD 1% 2029</v>
          </cell>
          <cell r="B22" t="str">
            <v>US$ 35,50</v>
          </cell>
          <cell r="C22" t="str">
            <v>2,19%</v>
          </cell>
          <cell r="D22" t="str">
            <v>2.138</v>
          </cell>
          <cell r="E22" t="str">
            <v>0,39 %</v>
          </cell>
          <cell r="F22" t="str">
            <v>35,98</v>
          </cell>
          <cell r="G22" t="str">
            <v>34,00</v>
          </cell>
          <cell r="H22" t="str">
            <v>37,00</v>
          </cell>
          <cell r="I22" t="str">
            <v>2,54</v>
          </cell>
          <cell r="J22" t="str">
            <v>19:43</v>
          </cell>
          <cell r="K22" t="str">
            <v>Ver detalle  Operar</v>
          </cell>
        </row>
        <row r="23">
          <cell r="A23" t="str">
            <v>GD3GD30Bonos Globales Argentina USD Step Up 2030</v>
          </cell>
          <cell r="B23" t="str">
            <v>AR$ 17.575,00</v>
          </cell>
          <cell r="C23" t="str">
            <v>2,36%</v>
          </cell>
          <cell r="D23" t="str">
            <v>6.213.862.741</v>
          </cell>
          <cell r="E23" t="str">
            <v>0,36 %</v>
          </cell>
          <cell r="F23" t="str">
            <v>17.300,00</v>
          </cell>
          <cell r="G23" t="str">
            <v>17.300,00</v>
          </cell>
          <cell r="H23" t="str">
            <v>17.625,00</v>
          </cell>
          <cell r="I23" t="str">
            <v>2,64</v>
          </cell>
          <cell r="J23" t="str">
            <v>19:42</v>
          </cell>
          <cell r="K23" t="str">
            <v>Ver detalle  Operar</v>
          </cell>
        </row>
        <row r="24">
          <cell r="A24" t="str">
            <v>GD3GD30CBonos Globales Argentina USD Step Up 2030</v>
          </cell>
          <cell r="B24" t="str">
            <v>US$ 35,00</v>
          </cell>
          <cell r="C24" t="str">
            <v>1,45%</v>
          </cell>
          <cell r="D24" t="str">
            <v>10.561</v>
          </cell>
          <cell r="E24" t="str">
            <v>0,36 %</v>
          </cell>
          <cell r="F24" t="str">
            <v>34,10</v>
          </cell>
          <cell r="G24" t="str">
            <v>34,00</v>
          </cell>
          <cell r="H24" t="str">
            <v>35,00</v>
          </cell>
          <cell r="I24" t="str">
            <v>2,64</v>
          </cell>
          <cell r="J24" t="str">
            <v>17:28</v>
          </cell>
          <cell r="K24" t="str">
            <v>Ver detalle  Operar</v>
          </cell>
        </row>
        <row r="25">
          <cell r="A25" t="str">
            <v>GD3GD30DBonos Globales Argentina USD Step Up 2030</v>
          </cell>
          <cell r="B25" t="str">
            <v>US$ 36,18</v>
          </cell>
          <cell r="C25" t="str">
            <v>2,02%</v>
          </cell>
          <cell r="D25" t="str">
            <v>3.831.895</v>
          </cell>
          <cell r="E25" t="str">
            <v>0,35 %</v>
          </cell>
          <cell r="F25" t="str">
            <v>35,50</v>
          </cell>
          <cell r="G25" t="str">
            <v>35,35</v>
          </cell>
          <cell r="H25" t="str">
            <v>36,18</v>
          </cell>
          <cell r="I25" t="str">
            <v>2,68</v>
          </cell>
          <cell r="J25" t="str">
            <v>19:43</v>
          </cell>
          <cell r="K25" t="str">
            <v>Ver detalle  Operar</v>
          </cell>
        </row>
        <row r="26">
          <cell r="A26" t="str">
            <v>GD3GD35Bonos Globales Argentina USD Step Up 2035</v>
          </cell>
          <cell r="B26" t="str">
            <v>AR$ 15.990,00</v>
          </cell>
          <cell r="C26" t="str">
            <v>2,83%</v>
          </cell>
          <cell r="D26" t="str">
            <v>1.320.380.313</v>
          </cell>
          <cell r="E26" t="str">
            <v>0,23 %</v>
          </cell>
          <cell r="F26" t="str">
            <v>15.662,00</v>
          </cell>
          <cell r="G26" t="str">
            <v>15.553,00</v>
          </cell>
          <cell r="H26" t="str">
            <v>16.069,50</v>
          </cell>
          <cell r="I26" t="str">
            <v>5,69</v>
          </cell>
          <cell r="J26" t="str">
            <v>19:43</v>
          </cell>
          <cell r="K26" t="str">
            <v>Ver detalle  Operar</v>
          </cell>
        </row>
        <row r="27">
          <cell r="A27" t="str">
            <v>GD3GD35CBonos Globales Argentina USD Step Up 2035</v>
          </cell>
          <cell r="B27" t="str">
            <v>US$ 31,50</v>
          </cell>
          <cell r="C27" t="str">
            <v>0,00%</v>
          </cell>
          <cell r="D27" t="str">
            <v>0</v>
          </cell>
          <cell r="E27" t="str">
            <v>0,23 %</v>
          </cell>
          <cell r="F27" t="str">
            <v>0,00</v>
          </cell>
          <cell r="G27" t="str">
            <v>0,00</v>
          </cell>
          <cell r="H27" t="str">
            <v>0,00</v>
          </cell>
          <cell r="I27" t="str">
            <v>5,71</v>
          </cell>
          <cell r="J27" t="str">
            <v>10/07/2023</v>
          </cell>
          <cell r="K27" t="str">
            <v>Ver detalle  Operar</v>
          </cell>
        </row>
        <row r="28">
          <cell r="A28" t="str">
            <v>GD3GD35DBonos Globales Argentina USD Step Up 2035</v>
          </cell>
          <cell r="B28" t="str">
            <v>US$ 32,90</v>
          </cell>
          <cell r="C28" t="str">
            <v>0,00%</v>
          </cell>
          <cell r="D28" t="str">
            <v>93.579</v>
          </cell>
          <cell r="E28" t="str">
            <v>0,22 %</v>
          </cell>
          <cell r="F28" t="str">
            <v>33,00</v>
          </cell>
          <cell r="G28" t="str">
            <v>32,10</v>
          </cell>
          <cell r="H28" t="str">
            <v>33,24</v>
          </cell>
          <cell r="I28" t="str">
            <v>5,81</v>
          </cell>
          <cell r="J28" t="str">
            <v>19:41</v>
          </cell>
          <cell r="K28" t="str">
            <v>Ver detalle  Operar</v>
          </cell>
        </row>
        <row r="29">
          <cell r="A29" t="str">
            <v>GD3GD38Bonos Globales Argentina USD Step Up 2038</v>
          </cell>
          <cell r="B29" t="str">
            <v>AR$ 18.700,00</v>
          </cell>
          <cell r="C29" t="str">
            <v>2,47%</v>
          </cell>
          <cell r="D29" t="str">
            <v>351.257.984</v>
          </cell>
          <cell r="E29" t="str">
            <v>0,23 %</v>
          </cell>
          <cell r="F29" t="str">
            <v>18.301,50</v>
          </cell>
          <cell r="G29" t="str">
            <v>18.301,50</v>
          </cell>
          <cell r="H29" t="str">
            <v>18.850,00</v>
          </cell>
          <cell r="I29" t="str">
            <v>4,90</v>
          </cell>
          <cell r="J29" t="str">
            <v>19:42</v>
          </cell>
          <cell r="K29" t="str">
            <v>Ver detalle  Operar</v>
          </cell>
        </row>
        <row r="30">
          <cell r="A30" t="str">
            <v>GD3GD38CBonos Globales Argentina USD Step Up 2038</v>
          </cell>
          <cell r="B30" t="str">
            <v>US$ 32,56</v>
          </cell>
          <cell r="C30" t="str">
            <v>0,00%</v>
          </cell>
          <cell r="D30" t="str">
            <v>0</v>
          </cell>
          <cell r="E30" t="str">
            <v>0,25 %</v>
          </cell>
          <cell r="F30" t="str">
            <v>0,00</v>
          </cell>
          <cell r="G30" t="str">
            <v>0,00</v>
          </cell>
          <cell r="H30" t="str">
            <v>0,00</v>
          </cell>
          <cell r="I30" t="str">
            <v>4,43</v>
          </cell>
          <cell r="J30" t="str">
            <v>10/07/2023</v>
          </cell>
          <cell r="K30" t="str">
            <v>Ver detalle  Operar</v>
          </cell>
        </row>
        <row r="31">
          <cell r="A31" t="str">
            <v>GD3GD38DBonos Globales Argentina USD Step Up 2038</v>
          </cell>
          <cell r="B31" t="str">
            <v>US$ 38,70</v>
          </cell>
          <cell r="C31" t="str">
            <v>1,84%</v>
          </cell>
          <cell r="D31" t="str">
            <v>32.436</v>
          </cell>
          <cell r="E31" t="str">
            <v>0,22 %</v>
          </cell>
          <cell r="F31" t="str">
            <v>38,00</v>
          </cell>
          <cell r="G31" t="str">
            <v>37,99</v>
          </cell>
          <cell r="H31" t="str">
            <v>39,50</v>
          </cell>
          <cell r="I31" t="str">
            <v>4,98</v>
          </cell>
          <cell r="J31" t="str">
            <v>19:43</v>
          </cell>
          <cell r="K31" t="str">
            <v>Ver detalle  Operar</v>
          </cell>
        </row>
        <row r="32">
          <cell r="A32" t="str">
            <v>GD4GD41Bonos Globales Argentina USD Step Up 2041</v>
          </cell>
          <cell r="B32" t="str">
            <v>AR$ 16.850,00</v>
          </cell>
          <cell r="C32" t="str">
            <v>2,65%</v>
          </cell>
          <cell r="D32" t="str">
            <v>167.036.921</v>
          </cell>
          <cell r="E32" t="str">
            <v>0,20 %</v>
          </cell>
          <cell r="F32" t="str">
            <v>16.501,00</v>
          </cell>
          <cell r="G32" t="str">
            <v>16.264,00</v>
          </cell>
          <cell r="H32" t="str">
            <v>16.987,00</v>
          </cell>
          <cell r="I32" t="str">
            <v>5,88</v>
          </cell>
          <cell r="J32" t="str">
            <v>19:36</v>
          </cell>
          <cell r="K32" t="str">
            <v>Ver detalle  Operar</v>
          </cell>
        </row>
        <row r="33">
          <cell r="A33" t="str">
            <v>GD4GD41CBonos Globales Argentina USD Step Up 2041</v>
          </cell>
          <cell r="B33" t="str">
            <v>US$ 32,50</v>
          </cell>
          <cell r="C33" t="str">
            <v>0,00%</v>
          </cell>
          <cell r="D33" t="str">
            <v>0</v>
          </cell>
          <cell r="E33" t="str">
            <v>0,20 %</v>
          </cell>
          <cell r="F33" t="str">
            <v>0,00</v>
          </cell>
          <cell r="G33" t="str">
            <v>0,00</v>
          </cell>
          <cell r="H33" t="str">
            <v>0,00</v>
          </cell>
          <cell r="I33" t="str">
            <v>5,84</v>
          </cell>
          <cell r="J33" t="str">
            <v>10/07/2023</v>
          </cell>
          <cell r="K33" t="str">
            <v>Ver detalle  Operar</v>
          </cell>
        </row>
        <row r="34">
          <cell r="A34" t="str">
            <v>GD4GD41DBonos Globales Argentina USD Step Up 2041</v>
          </cell>
          <cell r="B34" t="str">
            <v>US$ 34,42</v>
          </cell>
          <cell r="C34" t="str">
            <v>0,50%</v>
          </cell>
          <cell r="D34" t="str">
            <v>13.537</v>
          </cell>
          <cell r="E34" t="str">
            <v>0,19 %</v>
          </cell>
          <cell r="F34" t="str">
            <v>33,77</v>
          </cell>
          <cell r="G34" t="str">
            <v>33,77</v>
          </cell>
          <cell r="H34" t="str">
            <v>34,50</v>
          </cell>
          <cell r="I34" t="str">
            <v>5,98</v>
          </cell>
          <cell r="J34" t="str">
            <v>18:00</v>
          </cell>
          <cell r="K34" t="str">
            <v>Ver detalle  Operar</v>
          </cell>
        </row>
        <row r="35">
          <cell r="A35" t="str">
            <v>GD4GD46Bonos Globales Argentina USD Step Up 2046</v>
          </cell>
          <cell r="B35" t="str">
            <v>AR$ 16.059,00</v>
          </cell>
          <cell r="C35" t="str">
            <v>2,29%</v>
          </cell>
          <cell r="D35" t="str">
            <v>5.187.197</v>
          </cell>
          <cell r="E35" t="str">
            <v>0,24 %</v>
          </cell>
          <cell r="F35" t="str">
            <v>16.150,00</v>
          </cell>
          <cell r="G35" t="str">
            <v>15.560,00</v>
          </cell>
          <cell r="H35" t="str">
            <v>16.200,00</v>
          </cell>
          <cell r="I35" t="str">
            <v>4,38</v>
          </cell>
          <cell r="J35" t="str">
            <v>19:34</v>
          </cell>
          <cell r="K35" t="str">
            <v>Ver detalle  Operar</v>
          </cell>
        </row>
        <row r="36">
          <cell r="A36" t="str">
            <v>GD4GD46CBonos Globales Argentina USD Step Up 2046</v>
          </cell>
          <cell r="B36" t="str">
            <v>US$ 27,09</v>
          </cell>
          <cell r="C36" t="str">
            <v>0,00%</v>
          </cell>
          <cell r="D36" t="str">
            <v>0</v>
          </cell>
          <cell r="E36" t="str">
            <v>0,26 %</v>
          </cell>
          <cell r="F36" t="str">
            <v>0,00</v>
          </cell>
          <cell r="G36" t="str">
            <v>0,00</v>
          </cell>
          <cell r="H36" t="str">
            <v>0,00</v>
          </cell>
          <cell r="I36" t="str">
            <v>4,35</v>
          </cell>
          <cell r="J36" t="str">
            <v>10/07/2023</v>
          </cell>
          <cell r="K36" t="str">
            <v>Ver detalle  Operar</v>
          </cell>
        </row>
        <row r="37">
          <cell r="A37" t="str">
            <v>GD4GD46DBonos Globales Argentina USD Step Up 2046</v>
          </cell>
          <cell r="B37" t="str">
            <v>US$ 31,33</v>
          </cell>
          <cell r="C37" t="str">
            <v>2,72%</v>
          </cell>
          <cell r="D37" t="str">
            <v>4.708</v>
          </cell>
          <cell r="E37" t="str">
            <v>0,26 %</v>
          </cell>
          <cell r="F37" t="str">
            <v>31,15</v>
          </cell>
          <cell r="G37" t="str">
            <v>30,00</v>
          </cell>
          <cell r="H37" t="str">
            <v>31,33</v>
          </cell>
          <cell r="I37" t="str">
            <v>4,19</v>
          </cell>
          <cell r="J37" t="str">
            <v>19:26</v>
          </cell>
          <cell r="K37" t="str">
            <v>Ver detalle  Operar</v>
          </cell>
        </row>
        <row r="38">
          <cell r="A38" t="str">
            <v>NO2NO20Bogar 2020 CER + 2,00%</v>
          </cell>
          <cell r="B38" t="str">
            <v>AR$ 26,35</v>
          </cell>
          <cell r="C38" t="str">
            <v>0,00%</v>
          </cell>
          <cell r="D38" t="str">
            <v>0</v>
          </cell>
          <cell r="E38" t="str">
            <v>-1,00 %</v>
          </cell>
          <cell r="F38" t="str">
            <v>0,00</v>
          </cell>
          <cell r="G38" t="str">
            <v>0,00</v>
          </cell>
          <cell r="H38" t="str">
            <v>0,00</v>
          </cell>
          <cell r="I38" t="str">
            <v>-1,00</v>
          </cell>
          <cell r="J38" t="str">
            <v>30/09/2020</v>
          </cell>
          <cell r="K38" t="str">
            <v>Ver detalle  Operar</v>
          </cell>
        </row>
        <row r="39">
          <cell r="A39" t="str">
            <v>PAPPAP0Par 2038 CER + 2,5% Step-Up</v>
          </cell>
          <cell r="B39" t="str">
            <v>AR$ 3.600,00</v>
          </cell>
          <cell r="C39" t="str">
            <v>1,18%</v>
          </cell>
          <cell r="D39" t="str">
            <v>18.936</v>
          </cell>
          <cell r="E39" t="str">
            <v>0,15 %</v>
          </cell>
          <cell r="F39" t="str">
            <v>3.600,00</v>
          </cell>
          <cell r="G39" t="str">
            <v>3.600,00</v>
          </cell>
          <cell r="H39" t="str">
            <v>3.600,00</v>
          </cell>
          <cell r="I39" t="str">
            <v>7,54</v>
          </cell>
          <cell r="J39" t="str">
            <v>17:45</v>
          </cell>
          <cell r="K39" t="str">
            <v>Ver detalle  Operar</v>
          </cell>
        </row>
        <row r="40">
          <cell r="A40" t="str">
            <v>PARPARPPar 2038 CER + 2,00%</v>
          </cell>
          <cell r="B40" t="str">
            <v>AR$ 3.810,00</v>
          </cell>
          <cell r="C40" t="str">
            <v>0,00%</v>
          </cell>
          <cell r="D40" t="str">
            <v>2.181.662</v>
          </cell>
          <cell r="E40" t="str">
            <v>0,09 %</v>
          </cell>
          <cell r="F40" t="str">
            <v>3.810,00</v>
          </cell>
          <cell r="G40" t="str">
            <v>3.740,00</v>
          </cell>
          <cell r="H40" t="str">
            <v>3.820,00</v>
          </cell>
          <cell r="I40" t="str">
            <v>8,50</v>
          </cell>
          <cell r="J40" t="str">
            <v>19:21</v>
          </cell>
          <cell r="K40" t="str">
            <v>Ver detalle  Operar</v>
          </cell>
        </row>
        <row r="41">
          <cell r="A41" t="str">
            <v>PR1PR13Bocon 2024 CER + 2,00%</v>
          </cell>
          <cell r="B41" t="str">
            <v>AR$ 820,00</v>
          </cell>
          <cell r="C41" t="str">
            <v>-1,19%</v>
          </cell>
          <cell r="D41" t="str">
            <v>2.923.292</v>
          </cell>
          <cell r="E41" t="str">
            <v>-0,35 %</v>
          </cell>
          <cell r="F41" t="str">
            <v>825,80</v>
          </cell>
          <cell r="G41" t="str">
            <v>800,00</v>
          </cell>
          <cell r="H41" t="str">
            <v>839,90</v>
          </cell>
          <cell r="I41" t="str">
            <v>0,39</v>
          </cell>
          <cell r="J41" t="str">
            <v>19:41</v>
          </cell>
          <cell r="K41" t="str">
            <v>Ver detalle  Operar</v>
          </cell>
        </row>
        <row r="42">
          <cell r="A42" t="str">
            <v>T2VT2V3BONO REP ARG VINC USD V31/07/23</v>
          </cell>
          <cell r="B42" t="str">
            <v>AR$ 26.476,00</v>
          </cell>
          <cell r="C42" t="str">
            <v>-0,09%</v>
          </cell>
          <cell r="D42" t="str">
            <v>890.370.217</v>
          </cell>
          <cell r="E42" t="str">
            <v>1,02 %</v>
          </cell>
          <cell r="F42" t="str">
            <v>26.800,00</v>
          </cell>
          <cell r="G42" t="str">
            <v>26.460,00</v>
          </cell>
          <cell r="H42" t="str">
            <v>26.800,00</v>
          </cell>
          <cell r="I42" t="str">
            <v>0,00</v>
          </cell>
          <cell r="J42" t="str">
            <v>19:40</v>
          </cell>
          <cell r="K42" t="str">
            <v>Ver detalle  Operar</v>
          </cell>
        </row>
        <row r="43">
          <cell r="A43" t="str">
            <v>T2XT2X3BONCER 13/08/2023 (Reapertura T2X3) T2X3</v>
          </cell>
          <cell r="B43" t="str">
            <v>AR$ 487,20</v>
          </cell>
          <cell r="C43" t="str">
            <v>0,15%</v>
          </cell>
          <cell r="D43" t="str">
            <v>5.089.332.490</v>
          </cell>
          <cell r="E43" t="str">
            <v>-0,01 %</v>
          </cell>
          <cell r="F43" t="str">
            <v>495,85</v>
          </cell>
          <cell r="G43" t="str">
            <v>486,10</v>
          </cell>
          <cell r="H43" t="str">
            <v>495,85</v>
          </cell>
          <cell r="I43" t="str">
            <v>0,08</v>
          </cell>
          <cell r="J43" t="str">
            <v>19:43</v>
          </cell>
          <cell r="K43" t="str">
            <v>Ver detalle  Operar</v>
          </cell>
        </row>
        <row r="44">
          <cell r="A44" t="str">
            <v>T2XT2X4BONOS DEL TESORO NACIONAL EN PESOS AJUSTADO POR CER 1,55%</v>
          </cell>
          <cell r="B44" t="str">
            <v>AR$ 376,25</v>
          </cell>
          <cell r="C44" t="str">
            <v>-0,53%</v>
          </cell>
          <cell r="D44" t="str">
            <v>74.690.944</v>
          </cell>
          <cell r="E44" t="str">
            <v>0,08 %</v>
          </cell>
          <cell r="F44" t="str">
            <v>374,50</v>
          </cell>
          <cell r="G44" t="str">
            <v>370,70</v>
          </cell>
          <cell r="H44" t="str">
            <v>385,90</v>
          </cell>
          <cell r="I44" t="str">
            <v>0,98</v>
          </cell>
          <cell r="J44" t="str">
            <v>19:37</v>
          </cell>
          <cell r="K44" t="str">
            <v>Ver detalle  Operar</v>
          </cell>
        </row>
        <row r="45">
          <cell r="A45" t="str">
            <v>TC2TC23TC23</v>
          </cell>
          <cell r="B45" t="str">
            <v>AR$ 921,00</v>
          </cell>
          <cell r="C45" t="str">
            <v>0,00%</v>
          </cell>
          <cell r="D45" t="str">
            <v>0</v>
          </cell>
          <cell r="E45" t="str">
            <v>0,00 %</v>
          </cell>
          <cell r="F45" t="str">
            <v>0,00</v>
          </cell>
          <cell r="G45" t="str">
            <v>0,00</v>
          </cell>
          <cell r="H45" t="str">
            <v>0,00</v>
          </cell>
          <cell r="I45" t="str">
            <v>0,00</v>
          </cell>
          <cell r="J45" t="str">
            <v>01/03/2023</v>
          </cell>
          <cell r="K45" t="str">
            <v>Ver detalle  Operar</v>
          </cell>
        </row>
        <row r="46">
          <cell r="A46" t="str">
            <v>TC2TC25PBono Tesoro Nacional en Pesos CER+4% (BONCER 2025)</v>
          </cell>
          <cell r="B46" t="str">
            <v>AR$ 1.094,50</v>
          </cell>
          <cell r="C46" t="str">
            <v>-0,32%</v>
          </cell>
          <cell r="D46" t="str">
            <v>207.571</v>
          </cell>
          <cell r="E46" t="str">
            <v>0,09 %</v>
          </cell>
          <cell r="F46" t="str">
            <v>1.095,00</v>
          </cell>
          <cell r="G46" t="str">
            <v>1.071,00</v>
          </cell>
          <cell r="H46" t="str">
            <v>1.095,00</v>
          </cell>
          <cell r="I46" t="str">
            <v>1,65</v>
          </cell>
          <cell r="J46" t="str">
            <v>19:10</v>
          </cell>
          <cell r="K46" t="str">
            <v>Ver detalle  Operar</v>
          </cell>
        </row>
        <row r="47">
          <cell r="A47" t="str">
            <v>TDATDA24BONO NACION MONEDA DUAL 30/04/2024</v>
          </cell>
          <cell r="B47" t="str">
            <v>AR$ 29.075,00</v>
          </cell>
          <cell r="C47" t="str">
            <v>0,05%</v>
          </cell>
          <cell r="D47" t="str">
            <v>1.375.466.015</v>
          </cell>
          <cell r="E47" t="str">
            <v>0,00 %</v>
          </cell>
          <cell r="F47" t="str">
            <v>29.060,00</v>
          </cell>
          <cell r="G47" t="str">
            <v>29.060,00</v>
          </cell>
          <cell r="H47" t="str">
            <v>29.250,00</v>
          </cell>
          <cell r="I47" t="str">
            <v>0,00</v>
          </cell>
          <cell r="J47" t="str">
            <v>19:42</v>
          </cell>
          <cell r="K47" t="str">
            <v>Ver detalle  Operar</v>
          </cell>
        </row>
        <row r="48">
          <cell r="A48" t="str">
            <v>TDFTDF24BONO NACION MONEDA DUAL 28/02/24</v>
          </cell>
          <cell r="B48" t="str">
            <v>AR$ 29.138,00</v>
          </cell>
          <cell r="C48" t="str">
            <v>0,13%</v>
          </cell>
          <cell r="D48" t="str">
            <v>2.999.561.643</v>
          </cell>
          <cell r="E48" t="str">
            <v>0,00 %</v>
          </cell>
          <cell r="F48" t="str">
            <v>28.810,00</v>
          </cell>
          <cell r="G48" t="str">
            <v>28.810,00</v>
          </cell>
          <cell r="H48" t="str">
            <v>29.400,00</v>
          </cell>
          <cell r="I48" t="str">
            <v>0,00</v>
          </cell>
          <cell r="J48" t="str">
            <v>19:43</v>
          </cell>
          <cell r="K48" t="str">
            <v>Ver detalle  Operar</v>
          </cell>
        </row>
        <row r="49">
          <cell r="A49" t="str">
            <v>TDJTDJ23BONO DE LA NACION ARGENTINA EN MONEDA DUAL JUNIO DE 2023</v>
          </cell>
          <cell r="B49" t="str">
            <v>AR$ 26.176,00</v>
          </cell>
          <cell r="C49" t="str">
            <v>0,00%</v>
          </cell>
          <cell r="D49" t="str">
            <v>0</v>
          </cell>
          <cell r="E49" t="str">
            <v>0,00 %</v>
          </cell>
          <cell r="F49" t="str">
            <v>0,00</v>
          </cell>
          <cell r="G49" t="str">
            <v>0,00</v>
          </cell>
          <cell r="H49" t="str">
            <v>0,00</v>
          </cell>
          <cell r="I49" t="str">
            <v>0,00</v>
          </cell>
          <cell r="J49" t="str">
            <v>27/06/2023</v>
          </cell>
          <cell r="K49" t="str">
            <v>Ver detalle  Operar</v>
          </cell>
        </row>
        <row r="50">
          <cell r="A50" t="str">
            <v>TDLTDL23BONO NACION MONEDA DUAL 31/07/2023</v>
          </cell>
          <cell r="B50" t="str">
            <v>AR$ 27.320,00</v>
          </cell>
          <cell r="C50" t="str">
            <v>-0,11%</v>
          </cell>
          <cell r="D50" t="str">
            <v>1.709.595.322</v>
          </cell>
          <cell r="E50" t="str">
            <v>0,00 %</v>
          </cell>
          <cell r="F50" t="str">
            <v>27.080,00</v>
          </cell>
          <cell r="G50" t="str">
            <v>27.080,00</v>
          </cell>
          <cell r="H50" t="str">
            <v>27.875,00</v>
          </cell>
          <cell r="I50" t="str">
            <v>0,00</v>
          </cell>
          <cell r="J50" t="str">
            <v>19:33</v>
          </cell>
          <cell r="K50" t="str">
            <v>Ver detalle  Operar</v>
          </cell>
        </row>
        <row r="51">
          <cell r="A51" t="str">
            <v>TDSTDS23BONO DE LA NACION ARGENTINA EN MONEDA DUAL SEPTIEMBRE DE 2023</v>
          </cell>
          <cell r="B51" t="str">
            <v>AR$ 28.245,00</v>
          </cell>
          <cell r="C51" t="str">
            <v>0,48%</v>
          </cell>
          <cell r="D51" t="str">
            <v>561.305.726</v>
          </cell>
          <cell r="E51" t="str">
            <v>0,00 %</v>
          </cell>
          <cell r="F51" t="str">
            <v>28.444,00</v>
          </cell>
          <cell r="G51" t="str">
            <v>28.150,00</v>
          </cell>
          <cell r="H51" t="str">
            <v>28.460,00</v>
          </cell>
          <cell r="I51" t="str">
            <v>0,00</v>
          </cell>
          <cell r="J51" t="str">
            <v>19:43</v>
          </cell>
          <cell r="K51" t="str">
            <v>Ver detalle  Operar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E6459-CBA1-47F8-87C3-388F2B956DD6}">
  <sheetPr codeName="Hoja1"/>
  <dimension ref="B1:JS51"/>
  <sheetViews>
    <sheetView topLeftCell="A9" zoomScale="91" workbookViewId="0">
      <selection activeCell="B11" sqref="B11"/>
    </sheetView>
  </sheetViews>
  <sheetFormatPr baseColWidth="10" defaultColWidth="8.83203125" defaultRowHeight="13" x14ac:dyDescent="0.15"/>
  <cols>
    <col min="3" max="3" width="15.33203125" customWidth="1"/>
    <col min="4" max="4" width="13.83203125" style="33" customWidth="1"/>
    <col min="5" max="5" width="12" style="33" customWidth="1"/>
    <col min="6" max="6" width="13.1640625" style="33" customWidth="1"/>
    <col min="7" max="7" width="15.5" customWidth="1"/>
    <col min="8" max="8" width="15.1640625" customWidth="1"/>
    <col min="9" max="9" width="12.33203125" customWidth="1"/>
    <col min="11" max="11" width="11.1640625" customWidth="1"/>
    <col min="12" max="12" width="11.5" customWidth="1"/>
    <col min="13" max="13" width="10.5" customWidth="1"/>
    <col min="15" max="15" width="10.5" customWidth="1"/>
    <col min="16" max="16" width="10.1640625" customWidth="1"/>
    <col min="17" max="18" width="15.33203125" customWidth="1"/>
  </cols>
  <sheetData>
    <row r="1" spans="2:279" x14ac:dyDescent="0.15">
      <c r="B1" s="33"/>
      <c r="C1" s="210">
        <v>45078</v>
      </c>
      <c r="D1" s="210">
        <v>45108</v>
      </c>
      <c r="E1" s="211">
        <v>45139</v>
      </c>
      <c r="F1" s="210">
        <v>45170</v>
      </c>
      <c r="G1" s="210">
        <v>45200</v>
      </c>
      <c r="H1" s="211">
        <v>45231</v>
      </c>
      <c r="I1" s="210">
        <v>45261</v>
      </c>
      <c r="J1" s="210">
        <v>45292</v>
      </c>
      <c r="K1" s="211">
        <v>45323</v>
      </c>
      <c r="L1" s="210">
        <v>45352</v>
      </c>
      <c r="M1" s="210">
        <v>45383</v>
      </c>
      <c r="N1" s="211">
        <v>45413</v>
      </c>
      <c r="O1" s="210">
        <v>45444</v>
      </c>
      <c r="P1" s="210">
        <v>45474</v>
      </c>
      <c r="Q1" s="211">
        <v>45505</v>
      </c>
      <c r="R1" s="210">
        <v>45536</v>
      </c>
      <c r="S1" s="210">
        <v>45566</v>
      </c>
      <c r="T1" s="211">
        <v>45597</v>
      </c>
      <c r="U1" s="210">
        <v>45627</v>
      </c>
      <c r="V1" s="210">
        <v>45658</v>
      </c>
      <c r="W1" s="211">
        <v>45689</v>
      </c>
      <c r="X1" s="210">
        <v>45717</v>
      </c>
      <c r="Y1" s="210">
        <v>45748</v>
      </c>
      <c r="Z1" s="211">
        <v>45778</v>
      </c>
      <c r="AA1" s="210">
        <v>45809</v>
      </c>
      <c r="AB1" s="210">
        <v>45839</v>
      </c>
      <c r="AC1" s="211">
        <v>45870</v>
      </c>
      <c r="AD1" s="210">
        <v>45901</v>
      </c>
      <c r="AE1" s="210">
        <v>45931</v>
      </c>
      <c r="AF1" s="211">
        <v>45962</v>
      </c>
      <c r="AG1" s="210">
        <v>45992</v>
      </c>
      <c r="AH1" s="210">
        <v>46023</v>
      </c>
      <c r="AI1" s="211">
        <v>46054</v>
      </c>
      <c r="AJ1" s="210">
        <v>46082</v>
      </c>
      <c r="AK1" s="210">
        <v>46113</v>
      </c>
      <c r="AL1" s="211">
        <v>46143</v>
      </c>
      <c r="AM1" s="210">
        <v>46174</v>
      </c>
      <c r="AN1" s="210">
        <v>46204</v>
      </c>
      <c r="AO1" s="211">
        <v>46235</v>
      </c>
      <c r="AP1" s="210">
        <v>46266</v>
      </c>
      <c r="AQ1" s="210">
        <v>46296</v>
      </c>
      <c r="AR1" s="211">
        <v>46327</v>
      </c>
      <c r="AS1" s="210">
        <v>46357</v>
      </c>
      <c r="AT1" s="210">
        <v>46388</v>
      </c>
      <c r="AU1" s="211">
        <v>46419</v>
      </c>
      <c r="AV1" s="210">
        <v>46447</v>
      </c>
      <c r="AW1" s="210">
        <v>46478</v>
      </c>
      <c r="AX1" s="211">
        <v>46508</v>
      </c>
      <c r="AY1" s="210">
        <v>46539</v>
      </c>
      <c r="AZ1" s="210">
        <v>46569</v>
      </c>
      <c r="BA1" s="211">
        <v>46600</v>
      </c>
      <c r="BB1" s="210">
        <v>46631</v>
      </c>
      <c r="BC1" s="210">
        <v>46661</v>
      </c>
      <c r="BD1" s="211">
        <v>46692</v>
      </c>
      <c r="BE1" s="210">
        <v>46722</v>
      </c>
      <c r="BF1" s="210">
        <v>46753</v>
      </c>
      <c r="BG1" s="211">
        <v>46784</v>
      </c>
      <c r="BH1" s="210">
        <v>46813</v>
      </c>
      <c r="BI1" s="210">
        <v>46844</v>
      </c>
      <c r="BJ1" s="211">
        <v>46874</v>
      </c>
      <c r="BK1" s="210">
        <v>46905</v>
      </c>
      <c r="BL1" s="210">
        <v>46935</v>
      </c>
      <c r="BM1" s="211">
        <v>46966</v>
      </c>
      <c r="BN1" s="210">
        <v>46997</v>
      </c>
      <c r="BO1" s="210">
        <v>47027</v>
      </c>
      <c r="BP1" s="211">
        <v>47058</v>
      </c>
      <c r="BQ1" s="210">
        <v>47088</v>
      </c>
      <c r="BR1" s="210">
        <v>47119</v>
      </c>
      <c r="BS1" s="211">
        <v>47150</v>
      </c>
      <c r="BT1" s="210">
        <v>47178</v>
      </c>
      <c r="BU1" s="210">
        <v>47209</v>
      </c>
      <c r="BV1" s="211">
        <v>47239</v>
      </c>
      <c r="BW1" s="210">
        <v>47270</v>
      </c>
      <c r="BX1" s="210">
        <v>47300</v>
      </c>
      <c r="BY1" s="211">
        <v>47331</v>
      </c>
      <c r="BZ1" s="210">
        <v>47362</v>
      </c>
      <c r="CA1" s="210">
        <v>47392</v>
      </c>
      <c r="CB1" s="211">
        <v>47423</v>
      </c>
      <c r="CC1" s="210">
        <v>47453</v>
      </c>
      <c r="CD1" s="210">
        <v>47484</v>
      </c>
      <c r="CE1" s="211">
        <v>47515</v>
      </c>
      <c r="CF1" s="210">
        <v>47543</v>
      </c>
      <c r="CG1" s="210">
        <v>47574</v>
      </c>
      <c r="CH1" s="211">
        <v>47604</v>
      </c>
      <c r="CI1" s="210">
        <v>47635</v>
      </c>
      <c r="CJ1" s="210">
        <v>47665</v>
      </c>
      <c r="CK1" s="211">
        <v>47696</v>
      </c>
      <c r="CL1" s="210">
        <v>47727</v>
      </c>
      <c r="CM1" s="210">
        <v>47757</v>
      </c>
      <c r="CN1" s="211">
        <v>47788</v>
      </c>
      <c r="CO1" s="210">
        <v>47818</v>
      </c>
      <c r="CP1" s="212">
        <v>2031</v>
      </c>
      <c r="CQ1" s="212">
        <f>CP1+1</f>
        <v>2032</v>
      </c>
      <c r="CR1" s="212">
        <f t="shared" ref="CR1:DC1" si="0">CQ1+1</f>
        <v>2033</v>
      </c>
      <c r="CS1" s="212">
        <f t="shared" si="0"/>
        <v>2034</v>
      </c>
      <c r="CT1" s="212">
        <f t="shared" si="0"/>
        <v>2035</v>
      </c>
      <c r="CU1" s="212">
        <f t="shared" si="0"/>
        <v>2036</v>
      </c>
      <c r="CV1" s="212">
        <f t="shared" si="0"/>
        <v>2037</v>
      </c>
      <c r="CW1" s="212">
        <f t="shared" si="0"/>
        <v>2038</v>
      </c>
      <c r="CX1" s="212">
        <f t="shared" si="0"/>
        <v>2039</v>
      </c>
      <c r="CY1" s="212">
        <f t="shared" si="0"/>
        <v>2040</v>
      </c>
      <c r="CZ1" s="212">
        <f t="shared" si="0"/>
        <v>2041</v>
      </c>
      <c r="DA1" s="212">
        <f t="shared" si="0"/>
        <v>2042</v>
      </c>
      <c r="DB1" s="212">
        <f t="shared" si="0"/>
        <v>2043</v>
      </c>
      <c r="DC1" s="212">
        <f t="shared" si="0"/>
        <v>2044</v>
      </c>
      <c r="DD1" s="212">
        <f>DC1+1</f>
        <v>2045</v>
      </c>
      <c r="DE1" s="212">
        <f>DD1+1</f>
        <v>2046</v>
      </c>
      <c r="DH1" s="101"/>
      <c r="DI1" s="208"/>
      <c r="DJ1" s="208"/>
      <c r="DK1" s="101"/>
      <c r="DL1" s="208"/>
      <c r="DM1" s="208"/>
      <c r="DN1" s="101"/>
      <c r="DO1" s="208"/>
      <c r="DP1" s="208"/>
      <c r="DQ1" s="101"/>
      <c r="DR1" s="208"/>
      <c r="DS1" s="208"/>
      <c r="DT1" s="101"/>
      <c r="DU1" s="208"/>
      <c r="DV1" s="208"/>
      <c r="DW1" s="101"/>
      <c r="DX1" s="208"/>
      <c r="DY1" s="208"/>
      <c r="DZ1" s="101"/>
      <c r="EA1" s="208"/>
      <c r="EB1" s="208"/>
      <c r="EC1" s="101"/>
      <c r="ED1" s="208"/>
      <c r="EE1" s="208"/>
      <c r="EF1" s="101"/>
      <c r="EG1" s="208"/>
      <c r="EH1" s="208"/>
      <c r="EI1" s="101"/>
      <c r="EJ1" s="208"/>
      <c r="EK1" s="208"/>
      <c r="EL1" s="101"/>
      <c r="EM1" s="208"/>
      <c r="EN1" s="208"/>
      <c r="EO1" s="101"/>
      <c r="EP1" s="208"/>
      <c r="EQ1" s="208"/>
      <c r="ER1" s="101"/>
      <c r="ES1" s="208"/>
      <c r="ET1" s="208"/>
      <c r="EU1" s="101"/>
      <c r="EV1" s="208"/>
      <c r="EW1" s="208"/>
      <c r="EX1" s="101"/>
      <c r="EY1" s="208"/>
      <c r="EZ1" s="208"/>
      <c r="FA1" s="101"/>
      <c r="FB1" s="208"/>
      <c r="FC1" s="208"/>
      <c r="FD1" s="101"/>
      <c r="FE1" s="208"/>
      <c r="FF1" s="208"/>
      <c r="FG1" s="101"/>
      <c r="FH1" s="208"/>
      <c r="FI1" s="208"/>
      <c r="FJ1" s="101"/>
      <c r="FK1" s="208"/>
      <c r="FL1" s="208"/>
      <c r="FM1" s="101"/>
      <c r="FN1" s="208"/>
      <c r="FO1" s="208"/>
      <c r="FP1" s="101"/>
      <c r="FQ1" s="208"/>
      <c r="FR1" s="208"/>
      <c r="FS1" s="101"/>
      <c r="FT1" s="208"/>
      <c r="FU1" s="208"/>
      <c r="FV1" s="101"/>
      <c r="FW1" s="208"/>
      <c r="FX1" s="208"/>
      <c r="FY1" s="101"/>
      <c r="FZ1" s="208"/>
      <c r="GA1" s="208"/>
      <c r="GB1" s="101"/>
      <c r="GC1" s="208"/>
      <c r="GD1" s="208"/>
      <c r="GE1" s="101"/>
      <c r="GF1" s="208"/>
      <c r="GG1" s="208"/>
      <c r="GH1" s="101"/>
      <c r="GI1" s="208"/>
      <c r="GJ1" s="208"/>
      <c r="GK1" s="101"/>
      <c r="GL1" s="208"/>
      <c r="GM1" s="208"/>
      <c r="GN1" s="101"/>
      <c r="GO1" s="208"/>
      <c r="GP1" s="208"/>
      <c r="GQ1" s="101"/>
      <c r="GR1" s="208"/>
      <c r="GS1" s="208"/>
      <c r="GT1" s="101"/>
      <c r="GU1" s="208"/>
      <c r="GV1" s="208"/>
      <c r="GW1" s="101"/>
      <c r="GX1" s="208"/>
      <c r="GY1" s="208"/>
      <c r="GZ1" s="101"/>
      <c r="HA1" s="208"/>
      <c r="HB1" s="208"/>
      <c r="HC1" s="101"/>
      <c r="HD1" s="208"/>
      <c r="HE1" s="208"/>
      <c r="HF1" s="101"/>
      <c r="HG1" s="208"/>
      <c r="HH1" s="208"/>
      <c r="HI1" s="101"/>
      <c r="HJ1" s="208"/>
      <c r="HK1" s="208"/>
      <c r="HL1" s="101"/>
      <c r="HM1" s="208"/>
      <c r="HN1" s="208"/>
      <c r="HO1" s="101"/>
      <c r="HP1" s="208"/>
      <c r="HQ1" s="208"/>
      <c r="HR1" s="101"/>
      <c r="HS1" s="208"/>
      <c r="HT1" s="208"/>
      <c r="HU1" s="101"/>
      <c r="HV1" s="208"/>
      <c r="HW1" s="208"/>
      <c r="HX1" s="101"/>
      <c r="HY1" s="208"/>
      <c r="HZ1" s="208"/>
      <c r="IA1" s="101"/>
      <c r="IB1" s="208"/>
      <c r="IC1" s="208"/>
      <c r="ID1" s="101"/>
      <c r="IE1" s="208"/>
      <c r="IF1" s="208"/>
      <c r="IG1" s="101"/>
      <c r="IH1" s="208"/>
      <c r="II1" s="208"/>
      <c r="IJ1" s="101"/>
      <c r="IK1" s="208"/>
      <c r="IL1" s="208"/>
      <c r="IM1" s="101"/>
      <c r="IN1" s="208"/>
      <c r="IO1" s="208"/>
      <c r="IP1" s="101"/>
      <c r="IQ1" s="208"/>
      <c r="IR1" s="208"/>
      <c r="IS1" s="101"/>
      <c r="IT1" s="208"/>
      <c r="IU1" s="208"/>
      <c r="IV1" s="101"/>
      <c r="IW1" s="208"/>
      <c r="IX1" s="208"/>
      <c r="IY1" s="101"/>
      <c r="IZ1" s="208"/>
      <c r="JA1" s="208"/>
      <c r="JB1" s="101"/>
      <c r="JC1" s="208"/>
      <c r="JD1" s="208"/>
      <c r="JE1" s="101"/>
      <c r="JF1" s="208"/>
      <c r="JG1" s="208"/>
      <c r="JH1" s="101"/>
      <c r="JI1" s="208"/>
      <c r="JJ1" s="208"/>
      <c r="JK1" s="101"/>
      <c r="JL1" s="208"/>
      <c r="JM1" s="208"/>
      <c r="JN1" s="101"/>
      <c r="JO1" s="208"/>
      <c r="JP1" s="208"/>
      <c r="JQ1" s="101"/>
      <c r="JR1" s="208"/>
      <c r="JS1" s="208"/>
    </row>
    <row r="2" spans="2:279" x14ac:dyDescent="0.15">
      <c r="B2" s="33" t="s">
        <v>0</v>
      </c>
      <c r="C2" s="33"/>
      <c r="E2"/>
      <c r="F2"/>
    </row>
    <row r="3" spans="2:279" x14ac:dyDescent="0.15">
      <c r="B3" s="33" t="s">
        <v>1</v>
      </c>
      <c r="C3" s="33"/>
      <c r="E3"/>
      <c r="F3"/>
    </row>
    <row r="4" spans="2:279" x14ac:dyDescent="0.15">
      <c r="B4" s="33" t="s">
        <v>2</v>
      </c>
      <c r="C4" s="33"/>
      <c r="E4"/>
      <c r="F4"/>
    </row>
    <row r="5" spans="2:279" x14ac:dyDescent="0.15">
      <c r="B5" s="33" t="s">
        <v>3</v>
      </c>
      <c r="C5" s="33"/>
      <c r="E5"/>
      <c r="F5"/>
    </row>
    <row r="6" spans="2:279" x14ac:dyDescent="0.15">
      <c r="B6" s="33" t="s">
        <v>4</v>
      </c>
      <c r="C6" s="80">
        <v>0.06</v>
      </c>
      <c r="D6" s="80">
        <v>0.06</v>
      </c>
      <c r="E6" s="80">
        <v>0.06</v>
      </c>
      <c r="F6" s="80">
        <v>0.06</v>
      </c>
      <c r="G6" s="80">
        <v>0.06</v>
      </c>
      <c r="H6" s="80">
        <v>0.06</v>
      </c>
      <c r="I6" s="80">
        <v>0.06</v>
      </c>
      <c r="J6" s="80">
        <v>0.06</v>
      </c>
      <c r="K6" s="80">
        <v>0.06</v>
      </c>
      <c r="L6" s="80">
        <v>0.06</v>
      </c>
      <c r="M6" s="80">
        <v>0.06</v>
      </c>
      <c r="N6" s="80">
        <v>0.06</v>
      </c>
      <c r="O6" s="80">
        <v>0.06</v>
      </c>
      <c r="P6" s="80">
        <v>0.06</v>
      </c>
      <c r="Q6" s="80">
        <v>0.06</v>
      </c>
      <c r="R6" s="80">
        <v>0.06</v>
      </c>
      <c r="S6" s="80">
        <v>0.06</v>
      </c>
      <c r="T6" s="80">
        <v>0.06</v>
      </c>
      <c r="U6" s="80">
        <v>0.06</v>
      </c>
      <c r="V6" s="80">
        <v>0.06</v>
      </c>
      <c r="W6" s="80">
        <v>0.06</v>
      </c>
      <c r="X6" s="80">
        <v>0.06</v>
      </c>
      <c r="Y6" s="80">
        <v>0.06</v>
      </c>
      <c r="Z6" s="80">
        <v>0.06</v>
      </c>
      <c r="AA6" s="80">
        <v>0.06</v>
      </c>
      <c r="AB6" s="80">
        <v>0.06</v>
      </c>
      <c r="AC6" s="80">
        <v>0.06</v>
      </c>
      <c r="AD6" s="80">
        <v>0.06</v>
      </c>
      <c r="AE6" s="80">
        <v>0.06</v>
      </c>
      <c r="AF6" s="80">
        <v>0.06</v>
      </c>
      <c r="AG6" s="80">
        <v>0.06</v>
      </c>
      <c r="AH6" s="80">
        <v>0.06</v>
      </c>
      <c r="AI6" s="80">
        <v>0.06</v>
      </c>
      <c r="AJ6" s="80">
        <v>0.06</v>
      </c>
      <c r="AK6" s="80">
        <v>0.06</v>
      </c>
      <c r="AL6" s="80">
        <v>0.06</v>
      </c>
      <c r="AM6" s="80">
        <v>0.06</v>
      </c>
      <c r="AN6" s="80">
        <v>0.06</v>
      </c>
      <c r="AO6" s="80">
        <v>0.06</v>
      </c>
      <c r="AP6" s="80">
        <v>0.06</v>
      </c>
      <c r="AQ6" s="80">
        <v>0.06</v>
      </c>
      <c r="AR6" s="80">
        <v>0.06</v>
      </c>
      <c r="AS6" s="80">
        <v>0.06</v>
      </c>
      <c r="AT6" s="80">
        <v>0.06</v>
      </c>
      <c r="AU6" s="80">
        <v>0.06</v>
      </c>
      <c r="AV6" s="80">
        <v>0.06</v>
      </c>
      <c r="AW6" s="80">
        <v>0.06</v>
      </c>
      <c r="AX6" s="80">
        <v>0.06</v>
      </c>
      <c r="AY6" s="80">
        <v>0.06</v>
      </c>
      <c r="AZ6" s="80">
        <v>0.06</v>
      </c>
      <c r="BA6" s="80">
        <v>0.06</v>
      </c>
      <c r="BB6" s="80">
        <v>0.06</v>
      </c>
      <c r="BC6" s="80">
        <v>0.06</v>
      </c>
      <c r="BD6" s="80">
        <v>0.06</v>
      </c>
      <c r="BE6" s="80">
        <v>0.06</v>
      </c>
      <c r="BF6" s="80">
        <v>0.06</v>
      </c>
      <c r="BG6" s="80">
        <v>0.06</v>
      </c>
      <c r="BH6" s="80">
        <v>0.06</v>
      </c>
      <c r="BI6" s="80">
        <v>0.06</v>
      </c>
      <c r="BJ6" s="80">
        <v>0.06</v>
      </c>
      <c r="BK6" s="80">
        <v>0.06</v>
      </c>
      <c r="BL6" s="80">
        <v>0.06</v>
      </c>
      <c r="BM6" s="80">
        <v>0.06</v>
      </c>
      <c r="BN6" s="80">
        <v>0.06</v>
      </c>
      <c r="BO6" s="80">
        <v>0.06</v>
      </c>
      <c r="BP6" s="80">
        <v>0.06</v>
      </c>
      <c r="BQ6" s="80">
        <v>0.06</v>
      </c>
      <c r="BR6" s="80">
        <v>0.06</v>
      </c>
      <c r="BS6" s="80">
        <v>0.06</v>
      </c>
      <c r="BT6" s="80">
        <v>0.06</v>
      </c>
      <c r="BU6" s="80">
        <v>0.06</v>
      </c>
      <c r="BV6" s="80">
        <v>0.06</v>
      </c>
      <c r="BW6" s="80">
        <v>0.06</v>
      </c>
      <c r="BX6" s="80">
        <v>0.06</v>
      </c>
      <c r="BY6" s="80">
        <v>0.06</v>
      </c>
      <c r="BZ6" s="80">
        <v>0.06</v>
      </c>
      <c r="CA6" s="80">
        <v>0.06</v>
      </c>
      <c r="CB6" s="80">
        <v>0.06</v>
      </c>
      <c r="CC6" s="80">
        <v>0.06</v>
      </c>
      <c r="CD6" s="80">
        <v>0.06</v>
      </c>
      <c r="CE6" s="80">
        <v>0.06</v>
      </c>
      <c r="CF6" s="80">
        <v>0.06</v>
      </c>
      <c r="CG6" s="80">
        <v>0.06</v>
      </c>
      <c r="CH6" s="80">
        <v>0.06</v>
      </c>
      <c r="CI6" s="80">
        <v>0.06</v>
      </c>
      <c r="CJ6" s="80">
        <v>0.06</v>
      </c>
      <c r="CK6" s="80">
        <v>0.06</v>
      </c>
      <c r="CL6" s="80">
        <v>0.06</v>
      </c>
      <c r="CM6" s="80">
        <v>0.06</v>
      </c>
      <c r="CN6" s="80">
        <v>0.06</v>
      </c>
      <c r="CO6" s="80">
        <v>0.06</v>
      </c>
      <c r="CP6" s="80">
        <v>0.2</v>
      </c>
      <c r="CQ6" s="80">
        <v>0.2</v>
      </c>
      <c r="CR6" s="80">
        <v>0.2</v>
      </c>
      <c r="CS6" s="80">
        <v>0.2</v>
      </c>
      <c r="CT6" s="80">
        <v>0.2</v>
      </c>
      <c r="CU6" s="80">
        <v>0.2</v>
      </c>
      <c r="CV6" s="80">
        <v>0.2</v>
      </c>
      <c r="CW6" s="80">
        <v>0.2</v>
      </c>
      <c r="CX6" s="80">
        <v>0.2</v>
      </c>
      <c r="CY6" s="80">
        <v>0.2</v>
      </c>
      <c r="CZ6" s="80">
        <v>0.2</v>
      </c>
      <c r="DA6" s="80">
        <v>0.2</v>
      </c>
      <c r="DB6" s="80">
        <v>0.2</v>
      </c>
      <c r="DC6" s="80">
        <v>0.2</v>
      </c>
      <c r="DD6" s="80">
        <v>0.2</v>
      </c>
      <c r="DE6" s="80">
        <v>0.2</v>
      </c>
      <c r="DH6" s="80"/>
      <c r="DI6" s="80"/>
      <c r="DJ6" s="80"/>
      <c r="DK6" s="80"/>
      <c r="DL6" s="80"/>
      <c r="DM6" s="80"/>
      <c r="DN6" s="80"/>
      <c r="DO6" s="80"/>
      <c r="DP6" s="80"/>
      <c r="DQ6" s="80"/>
      <c r="DR6" s="80"/>
      <c r="DS6" s="80"/>
      <c r="DT6" s="80"/>
      <c r="DU6" s="80"/>
      <c r="DV6" s="80"/>
      <c r="DW6" s="80"/>
      <c r="DX6" s="80"/>
      <c r="DY6" s="80"/>
      <c r="DZ6" s="80"/>
      <c r="EA6" s="80"/>
      <c r="EB6" s="80"/>
      <c r="EC6" s="80"/>
      <c r="ED6" s="80"/>
      <c r="EE6" s="80"/>
      <c r="EF6" s="80"/>
      <c r="EG6" s="80"/>
      <c r="EH6" s="80"/>
      <c r="EI6" s="80"/>
      <c r="EJ6" s="80"/>
      <c r="EK6" s="80"/>
      <c r="EL6" s="80"/>
      <c r="EM6" s="80"/>
      <c r="EN6" s="80"/>
      <c r="EO6" s="80"/>
      <c r="EP6" s="80"/>
      <c r="EQ6" s="80"/>
      <c r="ER6" s="80"/>
      <c r="ES6" s="80"/>
      <c r="ET6" s="80"/>
      <c r="EU6" s="80"/>
      <c r="EV6" s="80"/>
      <c r="EW6" s="80"/>
      <c r="EX6" s="80"/>
      <c r="EY6" s="80"/>
      <c r="EZ6" s="80"/>
      <c r="FA6" s="80"/>
      <c r="FB6" s="80"/>
      <c r="FC6" s="80"/>
      <c r="FD6" s="80"/>
      <c r="FE6" s="80"/>
      <c r="FF6" s="80"/>
      <c r="FG6" s="80"/>
      <c r="FH6" s="80"/>
      <c r="FI6" s="80"/>
      <c r="FJ6" s="80"/>
      <c r="FK6" s="80"/>
      <c r="FL6" s="80"/>
      <c r="FM6" s="80"/>
      <c r="FN6" s="80"/>
      <c r="FO6" s="80"/>
      <c r="FP6" s="80"/>
      <c r="FQ6" s="80"/>
      <c r="FR6" s="80"/>
      <c r="FS6" s="80"/>
      <c r="FT6" s="80"/>
      <c r="FU6" s="80"/>
      <c r="FV6" s="80"/>
      <c r="FW6" s="80"/>
      <c r="FX6" s="80"/>
      <c r="FY6" s="80"/>
      <c r="FZ6" s="80"/>
      <c r="GA6" s="80"/>
      <c r="GB6" s="80"/>
      <c r="GC6" s="80"/>
      <c r="GD6" s="80"/>
      <c r="GE6" s="80"/>
      <c r="GF6" s="80"/>
      <c r="GG6" s="80"/>
      <c r="GH6" s="80"/>
      <c r="GI6" s="80"/>
      <c r="GJ6" s="80"/>
      <c r="GK6" s="80"/>
      <c r="GL6" s="80"/>
      <c r="GM6" s="80"/>
      <c r="GN6" s="80"/>
      <c r="GO6" s="80"/>
      <c r="GP6" s="80"/>
      <c r="GQ6" s="80"/>
      <c r="GR6" s="80"/>
      <c r="GS6" s="80"/>
      <c r="GT6" s="80"/>
      <c r="GU6" s="80"/>
      <c r="GV6" s="80"/>
      <c r="GW6" s="80"/>
      <c r="GX6" s="80"/>
      <c r="GY6" s="80"/>
      <c r="GZ6" s="80"/>
      <c r="HA6" s="80"/>
      <c r="HB6" s="80"/>
      <c r="HC6" s="80"/>
      <c r="HD6" s="80"/>
      <c r="HE6" s="80"/>
      <c r="HF6" s="80"/>
      <c r="HG6" s="80"/>
      <c r="HH6" s="80"/>
      <c r="HI6" s="80"/>
      <c r="HJ6" s="80"/>
      <c r="HK6" s="80"/>
      <c r="HL6" s="80"/>
      <c r="HM6" s="80"/>
      <c r="HN6" s="80"/>
      <c r="HO6" s="80"/>
      <c r="HP6" s="80"/>
      <c r="HQ6" s="80"/>
      <c r="HR6" s="80"/>
      <c r="HS6" s="80"/>
      <c r="HT6" s="80"/>
      <c r="HU6" s="80"/>
      <c r="HV6" s="80"/>
      <c r="HW6" s="80"/>
      <c r="HX6" s="80"/>
      <c r="HY6" s="80"/>
      <c r="HZ6" s="80"/>
      <c r="IA6" s="80"/>
      <c r="IB6" s="80"/>
      <c r="IC6" s="80"/>
      <c r="ID6" s="80"/>
      <c r="IE6" s="80"/>
      <c r="IF6" s="80"/>
      <c r="IG6" s="80"/>
      <c r="IH6" s="80"/>
      <c r="II6" s="80"/>
      <c r="IJ6" s="80"/>
      <c r="IK6" s="80"/>
      <c r="IL6" s="80"/>
      <c r="IM6" s="80"/>
      <c r="IN6" s="80"/>
      <c r="IO6" s="80"/>
      <c r="IP6" s="80"/>
      <c r="IQ6" s="80"/>
      <c r="IR6" s="80"/>
      <c r="IS6" s="80"/>
      <c r="IT6" s="80"/>
      <c r="IU6" s="80"/>
      <c r="IV6" s="80"/>
      <c r="IW6" s="80"/>
      <c r="IX6" s="80"/>
      <c r="IY6" s="80"/>
      <c r="IZ6" s="80"/>
      <c r="JA6" s="80"/>
      <c r="JB6" s="80"/>
      <c r="JC6" s="80"/>
      <c r="JD6" s="80"/>
      <c r="JE6" s="80"/>
      <c r="JF6" s="80"/>
      <c r="JG6" s="80"/>
      <c r="JH6" s="80"/>
      <c r="JI6" s="80"/>
      <c r="JJ6" s="80"/>
      <c r="JK6" s="80"/>
      <c r="JL6" s="80"/>
      <c r="JM6" s="80"/>
      <c r="JN6" s="80"/>
      <c r="JO6" s="80"/>
      <c r="JP6" s="80"/>
      <c r="JQ6" s="80"/>
      <c r="JR6" s="80"/>
      <c r="JS6" s="80"/>
    </row>
    <row r="7" spans="2:279" x14ac:dyDescent="0.15">
      <c r="B7" s="95" t="s">
        <v>5</v>
      </c>
      <c r="C7" s="85">
        <f ca="1">TODAY()+360</f>
        <v>45478</v>
      </c>
      <c r="JS7" t="s">
        <v>6</v>
      </c>
    </row>
    <row r="8" spans="2:279" x14ac:dyDescent="0.15">
      <c r="JS8" t="s">
        <v>6</v>
      </c>
    </row>
    <row r="9" spans="2:279" x14ac:dyDescent="0.15">
      <c r="B9" s="35" t="s">
        <v>7</v>
      </c>
      <c r="L9" s="35" t="s">
        <v>8</v>
      </c>
    </row>
    <row r="10" spans="2:279" x14ac:dyDescent="0.15">
      <c r="B10" s="95" t="s">
        <v>9</v>
      </c>
      <c r="C10" s="96" t="s">
        <v>10</v>
      </c>
      <c r="D10" s="96" t="s">
        <v>11</v>
      </c>
      <c r="E10" s="96" t="s">
        <v>12</v>
      </c>
      <c r="F10" s="96" t="s">
        <v>13</v>
      </c>
      <c r="G10" s="33"/>
      <c r="L10" s="95" t="s">
        <v>9</v>
      </c>
      <c r="M10" s="96" t="s">
        <v>14</v>
      </c>
      <c r="N10" s="96" t="s">
        <v>10</v>
      </c>
      <c r="O10" s="96" t="s">
        <v>12</v>
      </c>
      <c r="P10" s="96" t="s">
        <v>13</v>
      </c>
      <c r="S10" s="33"/>
      <c r="T10" s="33"/>
      <c r="U10" s="33"/>
      <c r="V10" s="33"/>
      <c r="W10" s="33"/>
    </row>
    <row r="11" spans="2:279" x14ac:dyDescent="0.15">
      <c r="B11" s="97" t="s">
        <v>15</v>
      </c>
      <c r="C11" s="64">
        <v>0.2</v>
      </c>
      <c r="D11" s="82">
        <f ca="1">'Calculos ALs'!D70</f>
        <v>64.960421138689938</v>
      </c>
      <c r="E11" s="86">
        <f ca="1">'Calculos ALs'!D73</f>
        <v>2.1412162972158915</v>
      </c>
      <c r="F11" s="84">
        <f ca="1">'Calculos ALs'!D74</f>
        <v>6.8758227124507849</v>
      </c>
      <c r="G11" s="64"/>
      <c r="L11" s="97" t="s">
        <v>15</v>
      </c>
      <c r="M11" s="78">
        <v>30</v>
      </c>
      <c r="N11" s="88">
        <f ca="1">'Calculos ALs'!D77</f>
        <v>0.76556354761123657</v>
      </c>
      <c r="O11" s="90">
        <f ca="1">'Calculos ALs'!D79</f>
        <v>3.6883077902861201</v>
      </c>
      <c r="P11" s="90">
        <f ca="1">'Calculos ALs'!D80</f>
        <v>1.9096957722527981</v>
      </c>
      <c r="S11" s="78"/>
      <c r="T11" s="78"/>
      <c r="U11" s="78"/>
      <c r="V11" s="78"/>
      <c r="W11" s="78"/>
    </row>
    <row r="12" spans="2:279" x14ac:dyDescent="0.15">
      <c r="B12" s="97" t="s">
        <v>16</v>
      </c>
      <c r="C12" s="64">
        <v>0.2</v>
      </c>
      <c r="D12" s="82">
        <f ca="1">'Calculos ALs'!D54</f>
        <v>61.933702825738592</v>
      </c>
      <c r="E12" s="86">
        <f ca="1">'Calculos ALs'!D57</f>
        <v>2.299865727813581</v>
      </c>
      <c r="F12" s="84">
        <f ca="1">'Calculos ALs'!D58</f>
        <v>8.3409454523409821</v>
      </c>
      <c r="L12" s="97" t="s">
        <v>16</v>
      </c>
      <c r="M12" s="78">
        <v>30</v>
      </c>
      <c r="N12" s="88">
        <f ca="1">'Calculos ALs'!D61</f>
        <v>0.71272310018539464</v>
      </c>
      <c r="O12" s="90">
        <f ca="1">'Calculos ALs'!D63</f>
        <v>3.8505741227907349</v>
      </c>
      <c r="P12" s="90">
        <f ca="1">'Calculos ALs'!D64</f>
        <v>2.1251473591094663</v>
      </c>
    </row>
    <row r="13" spans="2:279" x14ac:dyDescent="0.15">
      <c r="B13" s="97" t="s">
        <v>17</v>
      </c>
      <c r="C13" s="64">
        <v>0.2</v>
      </c>
      <c r="D13" s="82">
        <f ca="1">'Calculos ALs'!D37</f>
        <v>41.318095476101874</v>
      </c>
      <c r="E13" s="86">
        <f ca="1">'Calculos ALs'!D40</f>
        <v>5.3874286763895611</v>
      </c>
      <c r="F13" s="84">
        <f ca="1">'Calculos ALs'!D41</f>
        <v>35.837075113911588</v>
      </c>
      <c r="L13" s="97" t="s">
        <v>17</v>
      </c>
      <c r="M13" s="78">
        <v>30</v>
      </c>
      <c r="N13" s="88">
        <f ca="1">'Calculos ALs'!D44</f>
        <v>0.27033814787864685</v>
      </c>
      <c r="O13" s="90">
        <f ca="1">'Calculos ALs'!D46</f>
        <v>7.1900632039539509</v>
      </c>
      <c r="P13" s="90">
        <f ca="1">'Calculos ALs'!D47</f>
        <v>32.115892761627983</v>
      </c>
    </row>
    <row r="14" spans="2:279" x14ac:dyDescent="0.15">
      <c r="B14" s="97" t="s">
        <v>18</v>
      </c>
      <c r="C14" s="64">
        <v>0.2</v>
      </c>
      <c r="D14" s="82">
        <f ca="1">'Calculos ALs'!D21</f>
        <v>47.470015335609048</v>
      </c>
      <c r="E14" s="86">
        <f ca="1">'Calculos ALs'!D24</f>
        <v>4.5372788267543642</v>
      </c>
      <c r="F14" s="84">
        <f ca="1">'Calculos ALs'!D25</f>
        <v>28.200466909026307</v>
      </c>
      <c r="L14" s="97" t="s">
        <v>18</v>
      </c>
      <c r="M14" s="78">
        <v>30</v>
      </c>
      <c r="N14" s="88">
        <f ca="1">'Calculos ALs'!D28</f>
        <v>0.32947021126747134</v>
      </c>
      <c r="O14" s="90">
        <f ca="1">'Calculos ALs'!D30</f>
        <v>6.780459175961437</v>
      </c>
      <c r="P14" s="90">
        <f ca="1">'Calculos ALs'!D31</f>
        <v>16.18211007439858</v>
      </c>
    </row>
    <row r="15" spans="2:279" x14ac:dyDescent="0.15">
      <c r="B15" s="97" t="s">
        <v>19</v>
      </c>
      <c r="C15" s="64">
        <v>0.2</v>
      </c>
      <c r="D15" s="82">
        <f ca="1">'Calculos ALs'!solver_opt</f>
        <v>37.801568059457033</v>
      </c>
      <c r="E15" s="86">
        <f ca="1">'Calculos ALs'!D7</f>
        <v>5.2806034151271319</v>
      </c>
      <c r="F15" s="84">
        <f ca="1">'Calculos ALs'!D8</f>
        <v>37.911379780697814</v>
      </c>
      <c r="L15" s="97" t="s">
        <v>19</v>
      </c>
      <c r="M15" s="78">
        <v>30</v>
      </c>
      <c r="N15" s="88">
        <f ca="1">'Calculos ALs'!D11</f>
        <v>0.25146859288215639</v>
      </c>
      <c r="O15" s="90">
        <f ca="1">'Calculos ALs'!D13</f>
        <v>6.5017295533323427</v>
      </c>
      <c r="P15" s="90">
        <f ca="1">'Calculos ALs'!D14</f>
        <v>29.240089520007263</v>
      </c>
    </row>
    <row r="16" spans="2:279" x14ac:dyDescent="0.15">
      <c r="B16" s="97" t="s">
        <v>20</v>
      </c>
      <c r="C16" s="64">
        <v>0.2</v>
      </c>
      <c r="D16" s="81">
        <f ca="1">'Calculos GDs'!D70</f>
        <v>64.960421138689938</v>
      </c>
      <c r="E16" s="86">
        <f ca="1">'Calculos GDs'!D73</f>
        <v>2.1412162972158915</v>
      </c>
      <c r="F16" s="84">
        <f ca="1">'Calculos GDs'!D74</f>
        <v>6.8758227124507849</v>
      </c>
      <c r="L16" s="97" t="s">
        <v>20</v>
      </c>
      <c r="M16" s="78">
        <v>30</v>
      </c>
      <c r="N16" s="88">
        <f ca="1">'Calculos GDs'!D77</f>
        <v>0.76556354761123657</v>
      </c>
      <c r="O16" s="90">
        <f ca="1">'Calculos GDs'!D79</f>
        <v>3.6883077902861201</v>
      </c>
      <c r="P16" s="90">
        <f ca="1">'Calculos GDs'!D80</f>
        <v>1.9096957722527981</v>
      </c>
    </row>
    <row r="17" spans="2:16" x14ac:dyDescent="0.15">
      <c r="B17" s="97" t="s">
        <v>21</v>
      </c>
      <c r="C17" s="64">
        <v>0.2</v>
      </c>
      <c r="D17" s="81">
        <f ca="1">'Calculos GDs'!D54</f>
        <v>61.933702825738592</v>
      </c>
      <c r="E17" s="86">
        <f ca="1">'Calculos GDs'!D57</f>
        <v>2.299865727813581</v>
      </c>
      <c r="F17" s="84">
        <f ca="1">'Calculos GDs'!D58</f>
        <v>8.3409454523409821</v>
      </c>
      <c r="L17" s="97" t="s">
        <v>21</v>
      </c>
      <c r="M17" s="78">
        <v>30</v>
      </c>
      <c r="N17" s="88">
        <f ca="1">'Calculos GDs'!D61</f>
        <v>0.71272310018539464</v>
      </c>
      <c r="O17" s="90">
        <f ca="1">'Calculos GDs'!D63</f>
        <v>3.8505741227907349</v>
      </c>
      <c r="P17" s="90">
        <f ca="1">'Calculos GDs'!D64</f>
        <v>2.1251473591094663</v>
      </c>
    </row>
    <row r="18" spans="2:16" x14ac:dyDescent="0.15">
      <c r="B18" s="97" t="s">
        <v>22</v>
      </c>
      <c r="C18" s="64">
        <v>0.15</v>
      </c>
      <c r="D18" s="81">
        <f ca="1">'Calculos GDs'!D37</f>
        <v>53.672634626943719</v>
      </c>
      <c r="E18" s="86">
        <f ca="1">'Calculos GDs'!D40</f>
        <v>5.9189041232240056</v>
      </c>
      <c r="F18" s="84">
        <f ca="1">'Calculos GDs'!D41</f>
        <v>27.58798224519261</v>
      </c>
      <c r="L18" s="97" t="s">
        <v>22</v>
      </c>
      <c r="M18" s="78">
        <v>30</v>
      </c>
      <c r="N18" s="88">
        <f ca="1">'Calculos GDs'!D44</f>
        <v>0.27033814787864685</v>
      </c>
      <c r="O18" s="90">
        <f ca="1">'Calculos GDs'!D46</f>
        <v>10.028151301210054</v>
      </c>
      <c r="P18" s="90">
        <f ca="1">'Calculos GDs'!D47</f>
        <v>32.115892761627983</v>
      </c>
    </row>
    <row r="19" spans="2:16" x14ac:dyDescent="0.15">
      <c r="B19" s="97" t="s">
        <v>23</v>
      </c>
      <c r="C19" s="64">
        <v>0.2</v>
      </c>
      <c r="D19" s="81">
        <f ca="1">'Calculos GDs'!D21</f>
        <v>47.470015335609048</v>
      </c>
      <c r="E19" s="86">
        <f ca="1">'Calculos GDs'!D24</f>
        <v>4.5372788267543642</v>
      </c>
      <c r="F19" s="84">
        <f ca="1">'Calculos GDs'!D25</f>
        <v>28.200466909026307</v>
      </c>
      <c r="L19" s="97" t="s">
        <v>23</v>
      </c>
      <c r="M19" s="78">
        <v>30</v>
      </c>
      <c r="N19" s="88">
        <f ca="1">'Calculos GDs'!D28</f>
        <v>0.32947021126747134</v>
      </c>
      <c r="O19" s="90">
        <f ca="1">'Calculos GDs'!D30</f>
        <v>6.780459175961437</v>
      </c>
      <c r="P19" s="90">
        <f ca="1">'Calculos GDs'!D31</f>
        <v>16.18211007439858</v>
      </c>
    </row>
    <row r="20" spans="2:16" x14ac:dyDescent="0.15">
      <c r="B20" s="97" t="s">
        <v>24</v>
      </c>
      <c r="C20" s="64">
        <v>0.2</v>
      </c>
      <c r="D20" s="81">
        <f ca="1">'Calculos GDs'!solver_opt</f>
        <v>37.801568059457033</v>
      </c>
      <c r="E20" s="86">
        <f ca="1">'Calculos GDs'!D7</f>
        <v>5.2806034151271319</v>
      </c>
      <c r="F20" s="84">
        <f ca="1">'Calculos GDs'!D8</f>
        <v>37.911379780697814</v>
      </c>
      <c r="L20" s="97" t="s">
        <v>24</v>
      </c>
      <c r="M20" s="78">
        <v>30</v>
      </c>
      <c r="N20" s="88">
        <f ca="1">'Calculos GDs'!D11</f>
        <v>0.25146859288215639</v>
      </c>
      <c r="O20" s="90">
        <f ca="1">'Calculos GDs'!D13</f>
        <v>6.5017295533323427</v>
      </c>
      <c r="P20" s="90">
        <f ca="1">'Calculos GDs'!D14</f>
        <v>29.240089520007263</v>
      </c>
    </row>
    <row r="23" spans="2:16" x14ac:dyDescent="0.15">
      <c r="B23" s="79" t="s">
        <v>25</v>
      </c>
    </row>
    <row r="25" spans="2:16" x14ac:dyDescent="0.15">
      <c r="B25" s="95" t="s">
        <v>9</v>
      </c>
      <c r="C25" s="96" t="s">
        <v>26</v>
      </c>
      <c r="D25" s="96" t="s">
        <v>27</v>
      </c>
      <c r="E25" s="96" t="s">
        <v>28</v>
      </c>
      <c r="F25" s="96" t="s">
        <v>29</v>
      </c>
      <c r="G25" s="96" t="s">
        <v>30</v>
      </c>
      <c r="H25" s="95" t="s">
        <v>31</v>
      </c>
      <c r="I25" s="95" t="s">
        <v>32</v>
      </c>
    </row>
    <row r="26" spans="2:16" x14ac:dyDescent="0.15">
      <c r="B26" s="97" t="s">
        <v>15</v>
      </c>
      <c r="C26" s="78">
        <v>30</v>
      </c>
      <c r="D26" s="92">
        <f ca="1">D11-C26</f>
        <v>34.960421138689938</v>
      </c>
      <c r="E26" s="83">
        <f ca="1">SUMIFS('Calculos ALs'!$H$74:$BB$74,'Calculos ALs'!$H$70:$BB$70,"&gt;="&amp;TODAY(),'Calculos ALs'!$H$70:$BB$70,"&lt;="&amp;$C$7)</f>
        <v>0</v>
      </c>
      <c r="F26" s="83">
        <f ca="1">SUMIFS('Calculos ALs'!$H$73:$BB$73,'Calculos ALs'!$H$70:$BB$70,"&gt;="&amp;TODAY(),'Calculos ALs'!$H$70:$BB$70,"&lt;="&amp;$C$7)</f>
        <v>0.5</v>
      </c>
      <c r="G26" s="94">
        <f t="shared" ref="G26:G35" ca="1" si="1">IF($C$7=TODAY(),0,(1+((D26+E26)/C26))^(365/($C$7-TODAY()))-1)</f>
        <v>1.1887072791881907</v>
      </c>
      <c r="H26" s="94">
        <f t="shared" ref="H26:H35" ca="1" si="2">IF($C$7=TODAY(),0,(1+(F26/C26))^(365/($C$7-TODAY()))-1)</f>
        <v>1.690009332545972E-2</v>
      </c>
      <c r="I26" s="87">
        <f ca="1">H26+G26</f>
        <v>1.2056073725136505</v>
      </c>
      <c r="K26" t="s">
        <v>33</v>
      </c>
    </row>
    <row r="27" spans="2:16" x14ac:dyDescent="0.15">
      <c r="B27" s="97" t="s">
        <v>16</v>
      </c>
      <c r="C27" s="78">
        <v>30</v>
      </c>
      <c r="D27" s="92">
        <f t="shared" ref="D27:D35" ca="1" si="3">D12-C27</f>
        <v>31.933702825738592</v>
      </c>
      <c r="E27" s="83">
        <f ca="1">SUMIFS('Calculos ALs'!$H$58:$BB$58,'Calculos ALs'!$H$54:$BB$54,"&gt;="&amp;TODAY(),'Calculos ALs'!$H$54:$BB$54,"&lt;="&amp;$C$7)</f>
        <v>0</v>
      </c>
      <c r="F27" s="83">
        <f ca="1">SUMIFS('Calculos ALs'!$H$57:$BB$57,'Calculos ALs'!$H$54:$BB$54,"&gt;="&amp;TODAY(),'Calculos ALs'!$H$54:$BB$54,"&lt;="&amp;$C$7)</f>
        <v>0.375</v>
      </c>
      <c r="G27" s="94">
        <f t="shared" ca="1" si="1"/>
        <v>1.0853458585990747</v>
      </c>
      <c r="H27" s="94">
        <f t="shared" ca="1" si="2"/>
        <v>1.2674706758561527E-2</v>
      </c>
      <c r="I27" s="87">
        <f t="shared" ref="I27:I35" ca="1" si="4">H27+G27</f>
        <v>1.0980205653576363</v>
      </c>
      <c r="K27" t="s">
        <v>34</v>
      </c>
    </row>
    <row r="28" spans="2:16" x14ac:dyDescent="0.15">
      <c r="B28" s="97" t="s">
        <v>17</v>
      </c>
      <c r="C28" s="78">
        <v>30</v>
      </c>
      <c r="D28" s="92">
        <f t="shared" ca="1" si="3"/>
        <v>11.318095476101874</v>
      </c>
      <c r="E28" s="83">
        <f ca="1">SUMIFS('Calculos ALs'!$H$41:$BB$41,'Calculos ALs'!$H$37:$BB$37,"&gt;="&amp;TODAY(),'Calculos ALs'!$H$37:$BB$37,"&lt;="&amp;$C$7)</f>
        <v>0</v>
      </c>
      <c r="F28" s="83">
        <f ca="1">SUMIFS('Calculos ALs'!$H$40:$BB$40,'Calculos ALs'!$H$37:$BB$37,"&gt;="&amp;TODAY(),'Calculos ALs'!$H$37:$BB$37,"&lt;="&amp;$C$7)</f>
        <v>1.8124999999999998</v>
      </c>
      <c r="G28" s="94">
        <f t="shared" ca="1" si="1"/>
        <v>0.38340665366767301</v>
      </c>
      <c r="H28" s="94">
        <f t="shared" ca="1" si="2"/>
        <v>6.1280991915481975E-2</v>
      </c>
      <c r="I28" s="87">
        <f t="shared" ca="1" si="4"/>
        <v>0.44468764558315499</v>
      </c>
      <c r="K28" t="s">
        <v>35</v>
      </c>
    </row>
    <row r="29" spans="2:16" x14ac:dyDescent="0.15">
      <c r="B29" s="97" t="s">
        <v>18</v>
      </c>
      <c r="C29" s="78">
        <v>30</v>
      </c>
      <c r="D29" s="92">
        <f t="shared" ca="1" si="3"/>
        <v>17.470015335609048</v>
      </c>
      <c r="E29" s="83">
        <f ca="1">SUMIFS('Calculos ALs'!$H$25:$BB$25,'Calculos ALs'!$H$21:$BB$21,"&gt;="&amp;TODAY(),'Calculos ALs'!$H$21:$BB$21,"&lt;="&amp;$C$7)</f>
        <v>0</v>
      </c>
      <c r="F29" s="83">
        <f ca="1">SUMIFS('Calculos ALs'!$H$24:$BB$24,'Calculos ALs'!$H$21:$BB$21,"&gt;="&amp;TODAY(),'Calculos ALs'!$H$21:$BB$21,"&lt;="&amp;$C$7)</f>
        <v>2.125</v>
      </c>
      <c r="G29" s="94">
        <f t="shared" ca="1" si="1"/>
        <v>0.59245125232292239</v>
      </c>
      <c r="H29" s="94">
        <f t="shared" ca="1" si="2"/>
        <v>7.1851661584127591E-2</v>
      </c>
      <c r="I29" s="87">
        <f t="shared" ca="1" si="4"/>
        <v>0.66430291390704999</v>
      </c>
    </row>
    <row r="30" spans="2:16" x14ac:dyDescent="0.15">
      <c r="B30" s="97" t="s">
        <v>19</v>
      </c>
      <c r="C30" s="78">
        <v>30</v>
      </c>
      <c r="D30" s="92">
        <f t="shared" ca="1" si="3"/>
        <v>7.8015680594570327</v>
      </c>
      <c r="E30" s="83">
        <f ca="1">SUMIFS('Calculos ALs'!$H$8:$BB$8,'Calculos ALs'!$H$4:$BB$4,"&gt;="&amp;TODAY(),'Calculos ALs'!$H$4:$BB$4,"&lt;="&amp;$C$7)</f>
        <v>0</v>
      </c>
      <c r="F30" s="83">
        <f ca="1">SUMIFS('Calculos ALs'!$H$7:$BB$7,'Calculos ALs'!$H$4:$BB$4,"&gt;="&amp;TODAY(),'Calculos ALs'!$H$4:$BB$4,"&lt;="&amp;$C$7)</f>
        <v>1.7500000000000002</v>
      </c>
      <c r="G30" s="94">
        <f t="shared" ca="1" si="1"/>
        <v>0.26410411818283497</v>
      </c>
      <c r="H30" s="94">
        <f t="shared" ca="1" si="2"/>
        <v>5.91670305879477E-2</v>
      </c>
      <c r="I30" s="87">
        <f t="shared" ca="1" si="4"/>
        <v>0.32327114877078267</v>
      </c>
    </row>
    <row r="31" spans="2:16" x14ac:dyDescent="0.15">
      <c r="B31" s="97" t="s">
        <v>20</v>
      </c>
      <c r="C31" s="78">
        <v>30</v>
      </c>
      <c r="D31" s="92">
        <f t="shared" ca="1" si="3"/>
        <v>34.960421138689938</v>
      </c>
      <c r="E31" s="83">
        <f ca="1">SUMIFS('Calculos GDs'!$H$74:$BB$74,'Calculos GDs'!$H$70:$BB$70,"&gt;="&amp;TODAY(),'Calculos GDs'!$H$70:$BB$70,"&lt;="&amp;$C$7)</f>
        <v>0</v>
      </c>
      <c r="F31" s="83">
        <f ca="1">SUMIFS('Calculos GDs'!$H$73:$BB$73,'Calculos GDs'!$H$70:$BB$70,"&gt;="&amp;TODAY(),'Calculos GDs'!$H$70:$BB$70,"&lt;="&amp;$C$7)</f>
        <v>0.5</v>
      </c>
      <c r="G31" s="94">
        <f t="shared" ca="1" si="1"/>
        <v>1.1887072791881907</v>
      </c>
      <c r="H31" s="94">
        <f t="shared" ca="1" si="2"/>
        <v>1.690009332545972E-2</v>
      </c>
      <c r="I31" s="87">
        <f t="shared" ca="1" si="4"/>
        <v>1.2056073725136505</v>
      </c>
    </row>
    <row r="32" spans="2:16" x14ac:dyDescent="0.15">
      <c r="B32" s="97" t="s">
        <v>21</v>
      </c>
      <c r="C32" s="78">
        <v>30</v>
      </c>
      <c r="D32" s="92">
        <f t="shared" ca="1" si="3"/>
        <v>31.933702825738592</v>
      </c>
      <c r="E32" s="83">
        <f ca="1">SUMIFS('Calculos GDs'!$H$58:$BB$58,'Calculos GDs'!$H$54:$BB$54,"&gt;="&amp;TODAY(),'Calculos GDs'!$H$54:$BB$54,"&lt;="&amp;$C$7)</f>
        <v>0</v>
      </c>
      <c r="F32" s="83">
        <f ca="1">SUMIFS('Calculos GDs'!$H$57:$BB$57,'Calculos GDs'!$H$54:$BB$54,"&gt;="&amp;TODAY(),'Calculos GDs'!$H$54:$BB$54,"&lt;="&amp;$C$7)</f>
        <v>0.375</v>
      </c>
      <c r="G32" s="94">
        <f t="shared" ca="1" si="1"/>
        <v>1.0853458585990747</v>
      </c>
      <c r="H32" s="94">
        <f t="shared" ca="1" si="2"/>
        <v>1.2674706758561527E-2</v>
      </c>
      <c r="I32" s="87">
        <f t="shared" ca="1" si="4"/>
        <v>1.0980205653576363</v>
      </c>
    </row>
    <row r="33" spans="2:9" x14ac:dyDescent="0.15">
      <c r="B33" s="97" t="s">
        <v>22</v>
      </c>
      <c r="C33" s="78">
        <v>30</v>
      </c>
      <c r="D33" s="92">
        <f t="shared" ca="1" si="3"/>
        <v>23.672634626943719</v>
      </c>
      <c r="E33" s="83">
        <f ca="1">SUMIFS('Calculos GDs'!$H$41:$BB$41,'Calculos GDs'!$H$37:$BB$37,"&gt;="&amp;TODAY(),'Calculos GDs'!$H$37:$BB$37,"&lt;="&amp;$C$7)</f>
        <v>0</v>
      </c>
      <c r="F33" s="83">
        <f ca="1">SUMIFS('Calculos GDs'!$H$40:$BB$40,'Calculos GDs'!$H$37:$BB$37,"&gt;="&amp;TODAY(),'Calculos GDs'!$H$37:$BB$37,"&lt;="&amp;$C$7)</f>
        <v>1.8124999999999998</v>
      </c>
      <c r="G33" s="94">
        <f t="shared" ca="1" si="1"/>
        <v>0.80360085426662065</v>
      </c>
      <c r="H33" s="94">
        <f t="shared" ca="1" si="2"/>
        <v>6.1280991915481975E-2</v>
      </c>
      <c r="I33" s="87">
        <f t="shared" ca="1" si="4"/>
        <v>0.86488184618210262</v>
      </c>
    </row>
    <row r="34" spans="2:9" x14ac:dyDescent="0.15">
      <c r="B34" s="97" t="s">
        <v>23</v>
      </c>
      <c r="C34" s="78">
        <v>30</v>
      </c>
      <c r="D34" s="92">
        <f t="shared" ca="1" si="3"/>
        <v>17.470015335609048</v>
      </c>
      <c r="E34" s="83">
        <f ca="1">SUMIFS('Calculos GDs'!$H$25:$BB$25,'Calculos GDs'!$H$21:$BB$21,"&gt;="&amp;TODAY(),'Calculos GDs'!$H$21:$BB$21,"&lt;="&amp;$C$7)</f>
        <v>0</v>
      </c>
      <c r="F34" s="83">
        <f ca="1">SUMIFS('Calculos GDs'!$H$24:$BB$24,'Calculos GDs'!$H$21:$BB$21,"&gt;="&amp;TODAY(),'Calculos GDs'!$H$21:$BB$21,"&lt;="&amp;$C$7)</f>
        <v>2.125</v>
      </c>
      <c r="G34" s="94">
        <f t="shared" ca="1" si="1"/>
        <v>0.59245125232292239</v>
      </c>
      <c r="H34" s="94">
        <f t="shared" ca="1" si="2"/>
        <v>7.1851661584127591E-2</v>
      </c>
      <c r="I34" s="87">
        <f t="shared" ca="1" si="4"/>
        <v>0.66430291390704999</v>
      </c>
    </row>
    <row r="35" spans="2:9" x14ac:dyDescent="0.15">
      <c r="B35" s="97" t="s">
        <v>24</v>
      </c>
      <c r="C35" s="78">
        <v>30</v>
      </c>
      <c r="D35" s="92">
        <f t="shared" ca="1" si="3"/>
        <v>7.8015680594570327</v>
      </c>
      <c r="E35" s="83">
        <f ca="1">SUMIFS('Calculos GDs'!$H$8:$BB$8,'Calculos GDs'!$H$4:$BB$4,"&gt;="&amp;TODAY(),'Calculos GDs'!$H$4:$BB$4,"&lt;="&amp;$C$7)</f>
        <v>0</v>
      </c>
      <c r="F35" s="83">
        <f ca="1">SUMIFS('Calculos GDs'!$H$7:$BB$7,'Calculos GDs'!$H$4:$BB$4,"&gt;="&amp;TODAY(),'Calculos GDs'!$H$4:$BB$4,"&lt;="&amp;$C$7)</f>
        <v>1.7500000000000002</v>
      </c>
      <c r="G35" s="94">
        <f t="shared" ca="1" si="1"/>
        <v>0.26410411818283497</v>
      </c>
      <c r="H35" s="94">
        <f t="shared" ca="1" si="2"/>
        <v>5.91670305879477E-2</v>
      </c>
      <c r="I35" s="87">
        <f t="shared" ca="1" si="4"/>
        <v>0.32327114877078267</v>
      </c>
    </row>
    <row r="39" spans="2:9" x14ac:dyDescent="0.15">
      <c r="B39" t="s">
        <v>36</v>
      </c>
    </row>
    <row r="41" spans="2:9" x14ac:dyDescent="0.15">
      <c r="C41" s="33" t="s">
        <v>37</v>
      </c>
      <c r="D41" s="33" t="s">
        <v>38</v>
      </c>
      <c r="E41" s="33" t="s">
        <v>39</v>
      </c>
      <c r="F41" s="33" t="s">
        <v>40</v>
      </c>
      <c r="G41" s="33"/>
      <c r="H41" s="33"/>
    </row>
    <row r="42" spans="2:9" x14ac:dyDescent="0.15">
      <c r="B42" t="s">
        <v>41</v>
      </c>
      <c r="C42" s="64">
        <v>0.09</v>
      </c>
      <c r="G42" s="32"/>
    </row>
    <row r="43" spans="2:9" x14ac:dyDescent="0.15">
      <c r="B43" t="s">
        <v>42</v>
      </c>
      <c r="C43" s="64">
        <v>0.09</v>
      </c>
      <c r="D43" s="93">
        <f ca="1">'Calculo Boncer'!D13</f>
        <v>1.1995642066001895</v>
      </c>
      <c r="E43" s="92">
        <f ca="1">'Calculo Boncer'!D5</f>
        <v>91.964186105411329</v>
      </c>
      <c r="F43" s="228">
        <f ca="1">'Calculo Boncer'!D12</f>
        <v>885.06812086994819</v>
      </c>
    </row>
    <row r="44" spans="2:9" x14ac:dyDescent="0.15">
      <c r="B44" t="s">
        <v>43</v>
      </c>
      <c r="C44" s="64">
        <v>0.09</v>
      </c>
    </row>
    <row r="45" spans="2:9" x14ac:dyDescent="0.15">
      <c r="B45" t="s">
        <v>44</v>
      </c>
      <c r="C45" s="64">
        <v>0.09</v>
      </c>
    </row>
    <row r="46" spans="2:9" x14ac:dyDescent="0.15">
      <c r="B46" t="s">
        <v>45</v>
      </c>
      <c r="C46" s="64">
        <v>0.09</v>
      </c>
    </row>
    <row r="47" spans="2:9" x14ac:dyDescent="0.15">
      <c r="B47" t="s">
        <v>46</v>
      </c>
      <c r="C47" s="64">
        <v>0.09</v>
      </c>
    </row>
    <row r="48" spans="2:9" x14ac:dyDescent="0.15">
      <c r="B48" t="s">
        <v>47</v>
      </c>
      <c r="C48" s="64">
        <v>0.09</v>
      </c>
    </row>
    <row r="49" spans="2:3" x14ac:dyDescent="0.15">
      <c r="B49" t="s">
        <v>48</v>
      </c>
      <c r="C49" s="64">
        <v>0.09</v>
      </c>
    </row>
    <row r="50" spans="2:3" x14ac:dyDescent="0.15">
      <c r="B50" t="s">
        <v>49</v>
      </c>
      <c r="C50" s="64">
        <v>0.09</v>
      </c>
    </row>
    <row r="51" spans="2:3" x14ac:dyDescent="0.15">
      <c r="B51" t="s">
        <v>50</v>
      </c>
      <c r="C51" s="64">
        <v>0.09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B8E61-7403-42BC-ABA2-34BAFADE7976}">
  <sheetPr codeName="Hoja2"/>
  <dimension ref="B2:N25"/>
  <sheetViews>
    <sheetView topLeftCell="A2" zoomScale="83" workbookViewId="0">
      <selection activeCell="G22" sqref="G22"/>
    </sheetView>
  </sheetViews>
  <sheetFormatPr baseColWidth="10" defaultColWidth="8.83203125" defaultRowHeight="13" x14ac:dyDescent="0.15"/>
  <cols>
    <col min="3" max="3" width="11.5" customWidth="1"/>
    <col min="5" max="5" width="34" bestFit="1" customWidth="1"/>
    <col min="7" max="7" width="8.83203125" bestFit="1" customWidth="1"/>
    <col min="8" max="8" width="7.83203125" customWidth="1"/>
    <col min="9" max="9" width="8.83203125" customWidth="1"/>
    <col min="10" max="10" width="8.83203125" bestFit="1" customWidth="1"/>
    <col min="11" max="11" width="9" bestFit="1" customWidth="1"/>
    <col min="12" max="14" width="8.83203125" bestFit="1" customWidth="1"/>
  </cols>
  <sheetData>
    <row r="2" spans="2:14" x14ac:dyDescent="0.15">
      <c r="B2" s="243" t="s">
        <v>51</v>
      </c>
      <c r="C2" s="244"/>
      <c r="E2" s="174" t="s">
        <v>52</v>
      </c>
    </row>
    <row r="4" spans="2:14" x14ac:dyDescent="0.15">
      <c r="B4" s="144">
        <v>45078</v>
      </c>
      <c r="C4" s="137">
        <v>7.0000000000000007E-2</v>
      </c>
      <c r="E4" s="133" t="s">
        <v>53</v>
      </c>
      <c r="F4" s="164">
        <f ca="1">TODAY()</f>
        <v>45118</v>
      </c>
    </row>
    <row r="5" spans="2:14" x14ac:dyDescent="0.15">
      <c r="B5" s="145">
        <v>45108</v>
      </c>
      <c r="C5" s="68">
        <v>0.08</v>
      </c>
      <c r="E5" s="121" t="s">
        <v>54</v>
      </c>
      <c r="F5" s="165">
        <v>2</v>
      </c>
    </row>
    <row r="6" spans="2:14" x14ac:dyDescent="0.15">
      <c r="B6" s="145">
        <v>45139</v>
      </c>
      <c r="C6" s="68">
        <v>0.08</v>
      </c>
      <c r="E6" s="118" t="s">
        <v>55</v>
      </c>
      <c r="F6" s="162">
        <f>0</f>
        <v>0</v>
      </c>
    </row>
    <row r="7" spans="2:14" x14ac:dyDescent="0.15">
      <c r="B7" s="145">
        <v>45170</v>
      </c>
      <c r="C7" s="68">
        <v>0.09</v>
      </c>
    </row>
    <row r="8" spans="2:14" x14ac:dyDescent="0.15">
      <c r="B8" s="145">
        <v>45200</v>
      </c>
      <c r="C8" s="68">
        <v>0.09</v>
      </c>
      <c r="F8" s="13"/>
      <c r="G8" s="245" t="s">
        <v>56</v>
      </c>
      <c r="H8" s="245"/>
      <c r="I8" s="245"/>
      <c r="J8" s="245"/>
      <c r="K8" s="246" t="s">
        <v>57</v>
      </c>
      <c r="L8" s="246"/>
      <c r="M8" s="246"/>
      <c r="N8" s="246"/>
    </row>
    <row r="9" spans="2:14" x14ac:dyDescent="0.15">
      <c r="B9" s="145">
        <v>45231</v>
      </c>
      <c r="C9" s="68">
        <v>0.08</v>
      </c>
      <c r="G9" s="156" t="s">
        <v>58</v>
      </c>
      <c r="H9" s="157" t="s">
        <v>59</v>
      </c>
      <c r="I9" s="157" t="s">
        <v>60</v>
      </c>
      <c r="J9" s="158" t="s">
        <v>61</v>
      </c>
      <c r="K9" s="156" t="s">
        <v>58</v>
      </c>
      <c r="L9" s="157" t="s">
        <v>59</v>
      </c>
      <c r="M9" s="157" t="s">
        <v>60</v>
      </c>
      <c r="N9" s="158" t="s">
        <v>61</v>
      </c>
    </row>
    <row r="10" spans="2:14" x14ac:dyDescent="0.15">
      <c r="B10" s="145">
        <v>45261</v>
      </c>
      <c r="C10" s="68">
        <v>7.0000000000000007E-2</v>
      </c>
      <c r="E10" s="141" t="s">
        <v>62</v>
      </c>
      <c r="F10" s="147">
        <v>127.51</v>
      </c>
      <c r="G10" s="150">
        <f ca="1">'Calculo Leceres'!E10</f>
        <v>3.6937499492061825</v>
      </c>
      <c r="H10" s="151">
        <f ca="1">'Calculo Leceres'!E9</f>
        <v>1.5627236264463331</v>
      </c>
      <c r="I10" s="151">
        <f ca="1">'Calculo Leceres'!E11</f>
        <v>0.12844303779010957</v>
      </c>
      <c r="J10" s="152">
        <f ca="1">'Calculo Leceres'!E8</f>
        <v>2.1407172965018262E-2</v>
      </c>
      <c r="K10" s="159">
        <f ca="1">'Calculo Leceres'!H10</f>
        <v>10.705653379884927</v>
      </c>
      <c r="L10" s="160">
        <f ca="1">'Calculo Leceres'!H9</f>
        <v>2.5019932440831263</v>
      </c>
      <c r="M10" s="160">
        <f ca="1">'Calculo Leceres'!H11</f>
        <v>0.20564328033559942</v>
      </c>
      <c r="N10" s="161">
        <f>'Calculo Leceres'!H8</f>
        <v>3.4273880055933237E-2</v>
      </c>
    </row>
    <row r="11" spans="2:14" x14ac:dyDescent="0.15">
      <c r="B11" s="145">
        <v>45292</v>
      </c>
      <c r="C11" s="68">
        <v>0.06</v>
      </c>
      <c r="E11" s="142" t="s">
        <v>63</v>
      </c>
      <c r="F11" s="148">
        <v>127.51</v>
      </c>
      <c r="G11" s="150">
        <f ca="1">'Calculo Leceres'!E23</f>
        <v>5.8521963275542479</v>
      </c>
      <c r="H11" s="151">
        <f ca="1">'Calculo Leceres'!E22</f>
        <v>2.308355835821871</v>
      </c>
      <c r="I11" s="151">
        <f ca="1">'Calculo Leceres'!E24</f>
        <v>0.1897278769168661</v>
      </c>
      <c r="J11" s="152">
        <f ca="1">'Calculo Leceres'!E21</f>
        <v>0.423725591781001</v>
      </c>
      <c r="K11" s="150">
        <f ca="1">'Calculo Leceres'!H23</f>
        <v>15.348896393758196</v>
      </c>
      <c r="L11" s="151">
        <f ca="1">'Calculo Leceres'!H22</f>
        <v>3.6507010007757259</v>
      </c>
      <c r="M11" s="151">
        <f ca="1">'Calculo Leceres'!H24</f>
        <v>0.30005761650211443</v>
      </c>
      <c r="N11" s="152">
        <f>'Calculo Leceres'!H21</f>
        <v>0.67012867685472233</v>
      </c>
    </row>
    <row r="12" spans="2:14" x14ac:dyDescent="0.15">
      <c r="B12" s="145">
        <v>45323</v>
      </c>
      <c r="C12" s="68">
        <v>0.05</v>
      </c>
      <c r="E12" s="142" t="s">
        <v>64</v>
      </c>
      <c r="F12" s="148">
        <v>127.51</v>
      </c>
      <c r="G12" s="150">
        <f ca="1">'Calculo Leceres'!E36</f>
        <v>-0.32025336524448378</v>
      </c>
      <c r="H12" s="151">
        <f ca="1">'Calculo Leceres'!E35</f>
        <v>-0.3668935784374569</v>
      </c>
      <c r="I12" s="151">
        <f ca="1">'Calculo Leceres'!E37</f>
        <v>-3.0155636583900566E-2</v>
      </c>
      <c r="J12" s="152">
        <f ca="1">'Calculo Leceres'!E34</f>
        <v>-9.7503224954611833E-2</v>
      </c>
      <c r="K12" s="150">
        <f ca="1">'Calculo Leceres'!H36</f>
        <v>0.6402754271627924</v>
      </c>
      <c r="L12" s="151">
        <f ca="1">'Calculo Leceres'!H35</f>
        <v>0.52887905894185705</v>
      </c>
      <c r="M12" s="151">
        <f ca="1">'Calculo Leceres'!H37</f>
        <v>4.3469511693851264E-2</v>
      </c>
      <c r="N12" s="152">
        <f>'Calculo Leceres'!H34</f>
        <v>0.14055142114345243</v>
      </c>
    </row>
    <row r="13" spans="2:14" x14ac:dyDescent="0.15">
      <c r="B13" s="145">
        <v>45352</v>
      </c>
      <c r="C13" s="68">
        <v>0.05</v>
      </c>
      <c r="E13" s="143" t="s">
        <v>65</v>
      </c>
      <c r="F13" s="149">
        <v>127.51</v>
      </c>
      <c r="G13" s="153">
        <f ca="1">'Calculo Leceres'!E49</f>
        <v>-0.29489144577631921</v>
      </c>
      <c r="H13" s="154">
        <f ca="1">'Calculo Leceres'!E48</f>
        <v>-0.32807567730335196</v>
      </c>
      <c r="I13" s="154">
        <f ca="1">'Calculo Leceres'!E50</f>
        <v>-2.6965124161919339E-2</v>
      </c>
      <c r="J13" s="155">
        <f ca="1">'Calculo Leceres'!E47</f>
        <v>-0.11954538378450907</v>
      </c>
      <c r="K13" s="153">
        <f ca="1">'Calculo Leceres'!H49</f>
        <v>0.74578469729926744</v>
      </c>
      <c r="L13" s="154">
        <f ca="1">'Calculo Leceres'!H48</f>
        <v>0.61780121286947454</v>
      </c>
      <c r="M13" s="154">
        <f ca="1">'Calculo Leceres'!H50</f>
        <v>5.0778181879682839E-2</v>
      </c>
      <c r="N13" s="155">
        <f>'Calculo Leceres'!H47</f>
        <v>0.22511660633326058</v>
      </c>
    </row>
    <row r="14" spans="2:14" x14ac:dyDescent="0.15">
      <c r="B14" s="145">
        <v>45383</v>
      </c>
      <c r="C14" s="68">
        <v>0.05</v>
      </c>
    </row>
    <row r="15" spans="2:14" x14ac:dyDescent="0.15">
      <c r="B15" s="145">
        <v>45413</v>
      </c>
      <c r="C15" s="68">
        <v>0.04</v>
      </c>
      <c r="E15" s="174" t="s">
        <v>66</v>
      </c>
    </row>
    <row r="16" spans="2:14" x14ac:dyDescent="0.15">
      <c r="B16" s="145">
        <v>45444</v>
      </c>
      <c r="C16" s="68">
        <v>0.03</v>
      </c>
    </row>
    <row r="17" spans="2:9" x14ac:dyDescent="0.15">
      <c r="B17" s="146">
        <v>45474</v>
      </c>
      <c r="C17" s="138">
        <v>0.03</v>
      </c>
      <c r="E17" s="133" t="s">
        <v>67</v>
      </c>
      <c r="F17" s="166">
        <f ca="1">F4</f>
        <v>45118</v>
      </c>
    </row>
    <row r="18" spans="2:9" x14ac:dyDescent="0.15">
      <c r="E18" s="170" t="s">
        <v>68</v>
      </c>
      <c r="F18" s="139">
        <v>2</v>
      </c>
    </row>
    <row r="19" spans="2:9" x14ac:dyDescent="0.15">
      <c r="E19" s="171" t="s">
        <v>55</v>
      </c>
      <c r="F19" s="172">
        <f>0</f>
        <v>0</v>
      </c>
    </row>
    <row r="21" spans="2:9" x14ac:dyDescent="0.15">
      <c r="E21" s="13"/>
      <c r="F21" s="173" t="s">
        <v>58</v>
      </c>
      <c r="G21" s="175" t="s">
        <v>14</v>
      </c>
      <c r="H21" s="176" t="s">
        <v>69</v>
      </c>
      <c r="I21" s="175" t="s">
        <v>70</v>
      </c>
    </row>
    <row r="22" spans="2:9" x14ac:dyDescent="0.15">
      <c r="E22" s="123" t="s">
        <v>62</v>
      </c>
      <c r="F22" s="167">
        <v>0.1</v>
      </c>
      <c r="G22" s="103">
        <f ca="1">'Calculo Leceres'!E17</f>
        <v>130.06969626151408</v>
      </c>
      <c r="H22" s="147">
        <v>100</v>
      </c>
      <c r="I22" s="177">
        <f ca="1">G22/H22-1</f>
        <v>0.30069696261514078</v>
      </c>
    </row>
    <row r="23" spans="2:9" x14ac:dyDescent="0.15">
      <c r="E23" s="124" t="s">
        <v>63</v>
      </c>
      <c r="F23" s="168">
        <v>0.1</v>
      </c>
      <c r="G23" s="14">
        <f ca="1">'Calculo Leceres'!E30</f>
        <v>178.39078971152122</v>
      </c>
      <c r="H23" s="148">
        <v>100</v>
      </c>
      <c r="I23" s="178">
        <f t="shared" ref="I23:I25" ca="1" si="0">G23/H23-1</f>
        <v>0.78390789711521225</v>
      </c>
    </row>
    <row r="24" spans="2:9" x14ac:dyDescent="0.15">
      <c r="E24" s="124" t="s">
        <v>64</v>
      </c>
      <c r="F24" s="168">
        <v>0.1</v>
      </c>
      <c r="G24" s="14">
        <f ca="1">'Calculo Leceres'!E43</f>
        <v>112.1991731990847</v>
      </c>
      <c r="H24" s="148">
        <v>100</v>
      </c>
      <c r="I24" s="178">
        <f t="shared" ca="1" si="0"/>
        <v>0.12199173199084701</v>
      </c>
    </row>
    <row r="25" spans="2:9" x14ac:dyDescent="0.15">
      <c r="E25" s="125" t="s">
        <v>65</v>
      </c>
      <c r="F25" s="169">
        <v>0.1</v>
      </c>
      <c r="G25" s="104">
        <f ca="1">'Calculo Leceres'!E56</f>
        <v>108.43473101932491</v>
      </c>
      <c r="H25" s="149">
        <v>100</v>
      </c>
      <c r="I25" s="179">
        <f t="shared" ca="1" si="0"/>
        <v>8.4347310193249037E-2</v>
      </c>
    </row>
  </sheetData>
  <mergeCells count="3">
    <mergeCell ref="B2:C2"/>
    <mergeCell ref="G8:J8"/>
    <mergeCell ref="K8:N8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523-F9C6-4372-B3DF-E3AF80016D50}">
  <sheetPr codeName="Hoja3"/>
  <dimension ref="A2:AI8450"/>
  <sheetViews>
    <sheetView topLeftCell="A49" zoomScale="65" workbookViewId="0">
      <selection activeCell="J200" sqref="J200"/>
    </sheetView>
  </sheetViews>
  <sheetFormatPr baseColWidth="10" defaultColWidth="8.83203125" defaultRowHeight="13" x14ac:dyDescent="0.15"/>
  <cols>
    <col min="1" max="1" width="24.83203125" bestFit="1" customWidth="1"/>
    <col min="2" max="2" width="11.1640625" bestFit="1" customWidth="1"/>
    <col min="3" max="3" width="16.5" bestFit="1" customWidth="1"/>
    <col min="4" max="4" width="11.1640625" bestFit="1" customWidth="1"/>
    <col min="6" max="6" width="14.6640625" bestFit="1" customWidth="1"/>
    <col min="7" max="13" width="9.5" bestFit="1" customWidth="1"/>
    <col min="19" max="20" width="8.83203125" bestFit="1" customWidth="1"/>
    <col min="22" max="22" width="11.1640625" bestFit="1" customWidth="1"/>
  </cols>
  <sheetData>
    <row r="2" spans="1:35" x14ac:dyDescent="0.15">
      <c r="AD2" t="s">
        <v>71</v>
      </c>
      <c r="AG2" t="s">
        <v>72</v>
      </c>
      <c r="AH2" t="s">
        <v>73</v>
      </c>
    </row>
    <row r="3" spans="1:35" ht="21" thickBot="1" x14ac:dyDescent="0.25">
      <c r="F3" s="230" t="s">
        <v>74</v>
      </c>
    </row>
    <row r="4" spans="1:35" ht="17" thickBot="1" x14ac:dyDescent="0.25">
      <c r="A4" s="36" t="s">
        <v>75</v>
      </c>
      <c r="C4" s="36" t="s">
        <v>76</v>
      </c>
      <c r="AD4" s="98">
        <v>44927</v>
      </c>
      <c r="AE4" s="99">
        <v>73.611699999999999</v>
      </c>
      <c r="AG4" s="190">
        <v>45078</v>
      </c>
      <c r="AH4" s="64" cm="1">
        <f t="array" ref="AH4:AH94">TRANSPOSE('Monitor Bonos'!C6:CO6)</f>
        <v>0.06</v>
      </c>
      <c r="AI4">
        <f>(1+AH4)^(1/30)</f>
        <v>1.0019441844179806</v>
      </c>
    </row>
    <row r="5" spans="1:35" ht="15" thickBot="1" x14ac:dyDescent="0.2">
      <c r="A5" s="44" t="s">
        <v>77</v>
      </c>
      <c r="B5" s="45">
        <f>'Monitor Bonos'!C43</f>
        <v>0.09</v>
      </c>
      <c r="C5" s="46" t="s">
        <v>11</v>
      </c>
      <c r="D5" s="47">
        <f ca="1">SUM(H13:Q13)</f>
        <v>91.964186105411329</v>
      </c>
      <c r="F5" s="191" t="s">
        <v>78</v>
      </c>
      <c r="G5" s="31">
        <f ca="1">B6</f>
        <v>45478</v>
      </c>
      <c r="H5" s="192">
        <v>45239</v>
      </c>
      <c r="I5" s="193">
        <v>45421</v>
      </c>
      <c r="J5" s="193">
        <v>45605</v>
      </c>
      <c r="K5" s="193">
        <v>45786</v>
      </c>
      <c r="L5" s="193">
        <v>45970</v>
      </c>
      <c r="M5" s="193">
        <v>46151</v>
      </c>
      <c r="N5" s="194">
        <v>46335</v>
      </c>
      <c r="AD5" s="98">
        <v>44928</v>
      </c>
      <c r="AE5" s="99">
        <v>73.725300000000004</v>
      </c>
      <c r="AG5" s="190">
        <v>45108</v>
      </c>
      <c r="AH5" s="32">
        <v>0.06</v>
      </c>
      <c r="AI5">
        <f>(1+AH5)^(1/31)</f>
        <v>1.0018814098322764</v>
      </c>
    </row>
    <row r="6" spans="1:35" ht="15" thickBot="1" x14ac:dyDescent="0.2">
      <c r="A6" s="180" t="s">
        <v>79</v>
      </c>
      <c r="B6" s="181">
        <f ca="1">'Monitor Bonos'!$C$7</f>
        <v>45478</v>
      </c>
      <c r="C6" s="182" t="s">
        <v>80</v>
      </c>
      <c r="D6" s="183">
        <f ca="1">+B10*((B6-B9)/(B8-B9))</f>
        <v>4.5978260869565215</v>
      </c>
      <c r="F6" s="130" t="s">
        <v>81</v>
      </c>
      <c r="H6" s="195">
        <f t="shared" ref="H6:N6" ca="1" si="0">+(H5-$B$6)/365</f>
        <v>-0.65479452054794518</v>
      </c>
      <c r="I6" s="196">
        <f t="shared" ca="1" si="0"/>
        <v>-0.15616438356164383</v>
      </c>
      <c r="J6" s="196">
        <f t="shared" ca="1" si="0"/>
        <v>0.34794520547945207</v>
      </c>
      <c r="K6" s="196">
        <f t="shared" ca="1" si="0"/>
        <v>0.84383561643835614</v>
      </c>
      <c r="L6" s="196">
        <f t="shared" ca="1" si="0"/>
        <v>1.3479452054794521</v>
      </c>
      <c r="M6" s="196">
        <f t="shared" ca="1" si="0"/>
        <v>1.8438356164383563</v>
      </c>
      <c r="N6" s="197">
        <f t="shared" ca="1" si="0"/>
        <v>2.3479452054794518</v>
      </c>
      <c r="AD6" s="98">
        <v>44929</v>
      </c>
      <c r="AE6" s="99">
        <v>73.839200000000005</v>
      </c>
      <c r="AG6" s="190">
        <v>45139</v>
      </c>
      <c r="AH6" s="32">
        <v>0.06</v>
      </c>
      <c r="AI6">
        <f>(1+AH6)^(1/31)</f>
        <v>1.0018814098322764</v>
      </c>
    </row>
    <row r="7" spans="1:35" ht="15" thickBot="1" x14ac:dyDescent="0.2">
      <c r="A7" s="184" t="s">
        <v>82</v>
      </c>
      <c r="B7" s="185">
        <v>100</v>
      </c>
      <c r="C7" s="182" t="s">
        <v>83</v>
      </c>
      <c r="D7" s="186">
        <f ca="1">SUM(N15:AV15)/D5</f>
        <v>983.28422846868375</v>
      </c>
      <c r="F7" s="132" t="s">
        <v>29</v>
      </c>
      <c r="H7" s="198">
        <v>0.02</v>
      </c>
      <c r="I7" s="199">
        <v>0.02</v>
      </c>
      <c r="J7" s="199">
        <v>0.02</v>
      </c>
      <c r="K7" s="199">
        <v>0.02</v>
      </c>
      <c r="L7" s="199">
        <v>0.02</v>
      </c>
      <c r="M7" s="199">
        <v>0.02</v>
      </c>
      <c r="N7" s="200">
        <v>0.02</v>
      </c>
      <c r="AD7" s="98">
        <v>44930</v>
      </c>
      <c r="AE7" s="99">
        <v>73.953199999999995</v>
      </c>
      <c r="AG7" s="190">
        <v>45170</v>
      </c>
      <c r="AH7" s="32">
        <v>0.06</v>
      </c>
      <c r="AI7">
        <f t="shared" ref="AI7:AI55" si="1">(1+AH7)^(1/30)</f>
        <v>1.0019441844179806</v>
      </c>
    </row>
    <row r="8" spans="1:35" ht="15" thickBot="1" x14ac:dyDescent="0.2">
      <c r="A8" s="184" t="s">
        <v>84</v>
      </c>
      <c r="B8" s="181">
        <f>H5</f>
        <v>45239</v>
      </c>
      <c r="C8" s="182" t="s">
        <v>85</v>
      </c>
      <c r="D8" s="186">
        <f ca="1">+D7/(1+B5/2)</f>
        <v>940.94184542457776</v>
      </c>
      <c r="F8" s="201" t="s">
        <v>56</v>
      </c>
      <c r="AD8" s="98">
        <v>44931</v>
      </c>
      <c r="AE8" s="99">
        <v>74.067400000000006</v>
      </c>
      <c r="AG8" s="190">
        <v>45200</v>
      </c>
      <c r="AH8" s="32">
        <v>0.06</v>
      </c>
      <c r="AI8">
        <f>(1+AH8)^(1/31)</f>
        <v>1.0018814098322764</v>
      </c>
    </row>
    <row r="9" spans="1:35" ht="15" thickBot="1" x14ac:dyDescent="0.2">
      <c r="A9" s="184" t="s">
        <v>86</v>
      </c>
      <c r="B9" s="181">
        <v>45055</v>
      </c>
      <c r="C9" s="182" t="s">
        <v>13</v>
      </c>
      <c r="D9" s="186">
        <f ca="1">SUM(O17:AV17)/D5</f>
        <v>983.97179395126761</v>
      </c>
      <c r="F9" s="13" t="s">
        <v>87</v>
      </c>
      <c r="H9" s="13">
        <f t="shared" ref="H9:N9" si="2">H7*H10/2</f>
        <v>1</v>
      </c>
      <c r="I9" s="13">
        <f t="shared" si="2"/>
        <v>1</v>
      </c>
      <c r="J9" s="13">
        <f t="shared" si="2"/>
        <v>1</v>
      </c>
      <c r="K9" s="13">
        <f t="shared" si="2"/>
        <v>0.8</v>
      </c>
      <c r="L9" s="13">
        <f t="shared" si="2"/>
        <v>0.6</v>
      </c>
      <c r="M9" s="13">
        <f t="shared" si="2"/>
        <v>0.4</v>
      </c>
      <c r="N9" s="13">
        <f t="shared" si="2"/>
        <v>0.2</v>
      </c>
      <c r="AD9" s="98">
        <v>44932</v>
      </c>
      <c r="AE9" s="99">
        <v>74.181799999999996</v>
      </c>
      <c r="AG9" s="190">
        <v>45231</v>
      </c>
      <c r="AH9" s="32">
        <v>0.06</v>
      </c>
      <c r="AI9">
        <f t="shared" si="1"/>
        <v>1.0019441844179806</v>
      </c>
    </row>
    <row r="10" spans="1:35" ht="15" thickBot="1" x14ac:dyDescent="0.2">
      <c r="A10" s="184" t="s">
        <v>88</v>
      </c>
      <c r="B10" s="187">
        <f>H7*100</f>
        <v>2</v>
      </c>
      <c r="F10" s="13" t="s">
        <v>89</v>
      </c>
      <c r="H10" s="13">
        <v>100</v>
      </c>
      <c r="I10" s="13">
        <v>100</v>
      </c>
      <c r="J10" s="13">
        <v>100</v>
      </c>
      <c r="K10" s="13">
        <f>J10-J11</f>
        <v>80</v>
      </c>
      <c r="L10" s="13">
        <f>K10-K11</f>
        <v>60</v>
      </c>
      <c r="M10" s="13">
        <f>L10-L11</f>
        <v>40</v>
      </c>
      <c r="N10" s="13">
        <f>M10-M11</f>
        <v>20</v>
      </c>
      <c r="AD10" s="98">
        <v>44933</v>
      </c>
      <c r="AE10" s="99">
        <v>74.296400000000006</v>
      </c>
      <c r="AG10" s="190">
        <v>45261</v>
      </c>
      <c r="AH10" s="32">
        <v>0.06</v>
      </c>
      <c r="AI10">
        <f>(1+AH10)^(1/31)</f>
        <v>1.0018814098322764</v>
      </c>
    </row>
    <row r="11" spans="1:35" ht="15" thickBot="1" x14ac:dyDescent="0.2">
      <c r="A11" s="184" t="s">
        <v>90</v>
      </c>
      <c r="B11" s="188">
        <f>22.5303</f>
        <v>22.5303</v>
      </c>
      <c r="C11" s="218" t="s">
        <v>57</v>
      </c>
      <c r="F11" s="13" t="s">
        <v>28</v>
      </c>
      <c r="H11" s="13">
        <v>0</v>
      </c>
      <c r="I11" s="13">
        <v>0</v>
      </c>
      <c r="J11" s="13">
        <v>20</v>
      </c>
      <c r="K11" s="13">
        <v>20</v>
      </c>
      <c r="L11" s="13">
        <v>20</v>
      </c>
      <c r="M11" s="13">
        <v>20</v>
      </c>
      <c r="N11" s="13">
        <v>20</v>
      </c>
      <c r="AD11" s="98">
        <v>44934</v>
      </c>
      <c r="AE11" s="99">
        <v>74.411100000000005</v>
      </c>
      <c r="AG11" s="190">
        <v>45292</v>
      </c>
      <c r="AH11" s="32">
        <v>0.06</v>
      </c>
      <c r="AI11">
        <f>(1+AH11)^(1/31)</f>
        <v>1.0018814098322764</v>
      </c>
    </row>
    <row r="12" spans="1:35" ht="15" thickBot="1" x14ac:dyDescent="0.2">
      <c r="A12" s="43" t="s">
        <v>91</v>
      </c>
      <c r="B12" s="213">
        <f ca="1">_xlfn.XLOOKUP(TODAY()+2-14,AD4:AD1450,AE4:AE1450)</f>
        <v>108.0095</v>
      </c>
      <c r="C12" s="214" t="s">
        <v>14</v>
      </c>
      <c r="D12" s="219">
        <f ca="1">D5*_xlfn.XLOOKUP(B6-14,$AD$4:$AD$6450,$AE$4:$AE$6450)/B11</f>
        <v>885.06812086994819</v>
      </c>
      <c r="F12" s="13" t="s">
        <v>92</v>
      </c>
      <c r="H12" s="13">
        <f ca="1">IF(H$6&gt;=0,H9+H11,0)</f>
        <v>0</v>
      </c>
      <c r="I12" s="13">
        <f t="shared" ref="I12:N12" ca="1" si="3">IF(I6&gt;=0,I9+I11,0)</f>
        <v>0</v>
      </c>
      <c r="J12" s="13">
        <f t="shared" ca="1" si="3"/>
        <v>21</v>
      </c>
      <c r="K12" s="13">
        <f t="shared" ca="1" si="3"/>
        <v>20.8</v>
      </c>
      <c r="L12" s="13">
        <f t="shared" ca="1" si="3"/>
        <v>20.6</v>
      </c>
      <c r="M12" s="13">
        <f t="shared" ca="1" si="3"/>
        <v>20.399999999999999</v>
      </c>
      <c r="N12" s="13">
        <f t="shared" ca="1" si="3"/>
        <v>20.2</v>
      </c>
      <c r="AD12" s="98">
        <v>44935</v>
      </c>
      <c r="AE12" s="99">
        <v>74.525999999999996</v>
      </c>
      <c r="AG12" s="190">
        <v>45323</v>
      </c>
      <c r="AH12" s="32">
        <v>0.06</v>
      </c>
      <c r="AI12">
        <f>(1+AH12)^(1/28)</f>
        <v>1.0020831992838277</v>
      </c>
    </row>
    <row r="13" spans="1:35" ht="15" thickBot="1" x14ac:dyDescent="0.2">
      <c r="A13" s="50" t="s">
        <v>93</v>
      </c>
      <c r="B13" s="189">
        <f ca="1">B12/B11*100</f>
        <v>479.39663475408673</v>
      </c>
      <c r="C13" s="182" t="s">
        <v>94</v>
      </c>
      <c r="D13" s="227">
        <f ca="1">XIRR(G18:N18,G5:N5)</f>
        <v>1.1995642066001895</v>
      </c>
      <c r="F13" s="13" t="s">
        <v>95</v>
      </c>
      <c r="H13">
        <f t="shared" ref="H13:N13" ca="1" si="4">H12/(1+$B$5)^((H5-$B$6)/365)</f>
        <v>0</v>
      </c>
      <c r="I13">
        <f t="shared" ca="1" si="4"/>
        <v>0</v>
      </c>
      <c r="J13">
        <f t="shared" ca="1" si="4"/>
        <v>20.37965952850108</v>
      </c>
      <c r="K13">
        <f t="shared" ca="1" si="4"/>
        <v>19.341115703621121</v>
      </c>
      <c r="L13" s="89">
        <f t="shared" ca="1" si="4"/>
        <v>18.340803245396341</v>
      </c>
      <c r="M13" s="89">
        <f t="shared" ca="1" si="4"/>
        <v>17.402909331063462</v>
      </c>
      <c r="N13" s="89">
        <f t="shared" ca="1" si="4"/>
        <v>16.49969829682934</v>
      </c>
      <c r="AD13" s="98">
        <v>44936</v>
      </c>
      <c r="AE13" s="99">
        <v>74.641099999999994</v>
      </c>
      <c r="AG13" s="190">
        <v>45352</v>
      </c>
      <c r="AH13" s="32">
        <v>0.06</v>
      </c>
      <c r="AI13">
        <f>(1+AH13)^(1/31)</f>
        <v>1.0018814098322764</v>
      </c>
    </row>
    <row r="14" spans="1:35" ht="15" thickBot="1" x14ac:dyDescent="0.2">
      <c r="A14" s="50" t="s">
        <v>96</v>
      </c>
      <c r="B14">
        <v>404.5</v>
      </c>
      <c r="C14" s="182"/>
      <c r="D14" s="186"/>
      <c r="AD14" s="98">
        <v>44937</v>
      </c>
      <c r="AE14" s="99">
        <v>74.756399999999999</v>
      </c>
      <c r="AG14" s="190">
        <v>45383</v>
      </c>
      <c r="AH14" s="32">
        <v>0.06</v>
      </c>
      <c r="AI14">
        <f t="shared" si="1"/>
        <v>1.0019441844179806</v>
      </c>
    </row>
    <row r="15" spans="1:35" ht="15" thickBot="1" x14ac:dyDescent="0.2">
      <c r="A15" s="50" t="s">
        <v>97</v>
      </c>
      <c r="B15" s="31">
        <v>46335</v>
      </c>
      <c r="C15" s="182"/>
      <c r="D15" s="186"/>
      <c r="F15" s="204" t="s">
        <v>57</v>
      </c>
      <c r="AD15" s="98">
        <v>44938</v>
      </c>
      <c r="AE15" s="99">
        <v>74.871899999999997</v>
      </c>
      <c r="AG15" s="190">
        <v>45413</v>
      </c>
      <c r="AH15" s="32">
        <v>0.06</v>
      </c>
      <c r="AI15">
        <f>(1+AH15)^(1/31)</f>
        <v>1.0018814098322764</v>
      </c>
    </row>
    <row r="16" spans="1:35" ht="15" thickBot="1" x14ac:dyDescent="0.2">
      <c r="A16" s="50" t="s">
        <v>96</v>
      </c>
      <c r="F16" s="103" t="s">
        <v>87</v>
      </c>
      <c r="G16" s="103"/>
      <c r="H16" s="205">
        <f t="shared" ref="H16:N16" si="5">H7/2*H19</f>
        <v>6.0954020073923862</v>
      </c>
      <c r="I16" s="205">
        <f t="shared" si="5"/>
        <v>8.6619751781100121</v>
      </c>
      <c r="J16" s="205">
        <f t="shared" si="5"/>
        <v>12.298730516653771</v>
      </c>
      <c r="K16" s="205">
        <f t="shared" si="5"/>
        <v>13.955600720310112</v>
      </c>
      <c r="L16" s="205">
        <f t="shared" si="5"/>
        <v>14.861175043325696</v>
      </c>
      <c r="M16" s="205">
        <f t="shared" si="5"/>
        <v>14.05271224663214</v>
      </c>
      <c r="N16" s="216">
        <f t="shared" si="5"/>
        <v>9.9763920696849357</v>
      </c>
      <c r="AD16" s="98">
        <v>44939</v>
      </c>
      <c r="AE16" s="99">
        <v>74.987499999999997</v>
      </c>
      <c r="AG16" s="190">
        <v>45444</v>
      </c>
      <c r="AH16" s="32">
        <v>0.06</v>
      </c>
      <c r="AI16">
        <f t="shared" si="1"/>
        <v>1.0019441844179806</v>
      </c>
    </row>
    <row r="17" spans="1:35" ht="15" thickBot="1" x14ac:dyDescent="0.2">
      <c r="F17" s="14" t="s">
        <v>28</v>
      </c>
      <c r="G17" s="14"/>
      <c r="H17" s="222">
        <f t="shared" ref="H17:N17" si="6">H11*_xlfn.XLOOKUP(H5+2-14,$AD$4:$AD$1450,$AE$4:$AE$1450)/$B$11</f>
        <v>0</v>
      </c>
      <c r="I17" s="222">
        <f t="shared" si="6"/>
        <v>0</v>
      </c>
      <c r="J17" s="222">
        <f t="shared" si="6"/>
        <v>245.97461033307542</v>
      </c>
      <c r="K17" s="222">
        <f t="shared" si="6"/>
        <v>348.89001800775281</v>
      </c>
      <c r="L17" s="222">
        <f t="shared" si="6"/>
        <v>495.37250144418988</v>
      </c>
      <c r="M17" s="222">
        <f t="shared" si="6"/>
        <v>702.63561233160704</v>
      </c>
      <c r="N17" s="222">
        <f t="shared" si="6"/>
        <v>997.63920696849357</v>
      </c>
      <c r="AD17" s="98">
        <v>44940</v>
      </c>
      <c r="AE17" s="99">
        <v>75.103300000000004</v>
      </c>
      <c r="AG17" s="190">
        <v>45474</v>
      </c>
      <c r="AH17" s="32">
        <v>0.06</v>
      </c>
      <c r="AI17">
        <f>(1+AH17)^(1/31)</f>
        <v>1.0018814098322764</v>
      </c>
    </row>
    <row r="18" spans="1:35" ht="15" thickBot="1" x14ac:dyDescent="0.2">
      <c r="F18" s="14" t="s">
        <v>92</v>
      </c>
      <c r="G18" s="226">
        <f ca="1">-D12</f>
        <v>-885.06812086994819</v>
      </c>
      <c r="H18" s="222">
        <f t="shared" ref="H18:N18" ca="1" si="7">IF(H$6&gt;=0,H16+H17,0)</f>
        <v>0</v>
      </c>
      <c r="I18" s="222">
        <f t="shared" ca="1" si="7"/>
        <v>0</v>
      </c>
      <c r="J18" s="222">
        <f t="shared" ca="1" si="7"/>
        <v>258.27334084972921</v>
      </c>
      <c r="K18" s="222">
        <f t="shared" ca="1" si="7"/>
        <v>362.8456187280629</v>
      </c>
      <c r="L18" s="222">
        <f t="shared" ca="1" si="7"/>
        <v>510.23367648751559</v>
      </c>
      <c r="M18" s="222">
        <f t="shared" ca="1" si="7"/>
        <v>716.68832457823919</v>
      </c>
      <c r="N18" s="223">
        <f t="shared" ca="1" si="7"/>
        <v>1007.6155990381785</v>
      </c>
      <c r="AD18" s="98">
        <v>44941</v>
      </c>
      <c r="AE18" s="99">
        <v>75.219300000000004</v>
      </c>
      <c r="AG18" s="190">
        <v>45505</v>
      </c>
      <c r="AH18" s="32">
        <v>0.06</v>
      </c>
      <c r="AI18">
        <f>(1+AH18)^(1/31)</f>
        <v>1.0018814098322764</v>
      </c>
    </row>
    <row r="19" spans="1:35" ht="15" thickBot="1" x14ac:dyDescent="0.2">
      <c r="F19" s="104" t="s">
        <v>89</v>
      </c>
      <c r="G19" s="104"/>
      <c r="H19" s="224">
        <f t="shared" ref="H19:N19" si="8">H10*_xlfn.XLOOKUP(H5+2-14,$AD$4:$AD$2450,$AE$4:$AE$2450)/$B$11</f>
        <v>609.54020073923857</v>
      </c>
      <c r="I19" s="224">
        <f t="shared" si="8"/>
        <v>866.19751781100115</v>
      </c>
      <c r="J19" s="224">
        <f t="shared" si="8"/>
        <v>1229.873051665377</v>
      </c>
      <c r="K19" s="224">
        <f t="shared" si="8"/>
        <v>1395.5600720310113</v>
      </c>
      <c r="L19" s="224">
        <f t="shared" si="8"/>
        <v>1486.1175043325695</v>
      </c>
      <c r="M19" s="224">
        <f t="shared" si="8"/>
        <v>1405.2712246632141</v>
      </c>
      <c r="N19" s="225">
        <f t="shared" si="8"/>
        <v>997.63920696849357</v>
      </c>
      <c r="AD19" s="98">
        <v>44942</v>
      </c>
      <c r="AE19" s="99">
        <v>75.340100000000007</v>
      </c>
      <c r="AG19" s="190">
        <v>45536</v>
      </c>
      <c r="AH19" s="32">
        <v>0.06</v>
      </c>
      <c r="AI19">
        <f t="shared" si="1"/>
        <v>1.0019441844179806</v>
      </c>
    </row>
    <row r="20" spans="1:35" ht="15" thickBot="1" x14ac:dyDescent="0.2">
      <c r="AD20" s="98">
        <v>44943</v>
      </c>
      <c r="AE20" s="99">
        <v>75.461100000000002</v>
      </c>
      <c r="AG20" s="190">
        <v>45566</v>
      </c>
      <c r="AH20" s="32">
        <v>0.06</v>
      </c>
      <c r="AI20">
        <f>(1+AH20)^(1/31)</f>
        <v>1.0018814098322764</v>
      </c>
    </row>
    <row r="21" spans="1:35" ht="21" thickBot="1" x14ac:dyDescent="0.25">
      <c r="F21" s="230" t="s">
        <v>41</v>
      </c>
      <c r="AD21" s="98">
        <v>44944</v>
      </c>
      <c r="AE21" s="99">
        <v>75.5822</v>
      </c>
      <c r="AG21" s="190">
        <v>45597</v>
      </c>
      <c r="AH21" s="32">
        <v>0.06</v>
      </c>
      <c r="AI21">
        <f t="shared" si="1"/>
        <v>1.0019441844179806</v>
      </c>
    </row>
    <row r="22" spans="1:35" ht="17" thickBot="1" x14ac:dyDescent="0.25">
      <c r="A22" s="36" t="s">
        <v>75</v>
      </c>
      <c r="C22" s="36" t="s">
        <v>76</v>
      </c>
      <c r="AD22" s="98">
        <v>44945</v>
      </c>
      <c r="AE22" s="99">
        <v>75.703599999999994</v>
      </c>
      <c r="AG22" s="190">
        <v>45627</v>
      </c>
      <c r="AH22" s="32">
        <v>0.06</v>
      </c>
      <c r="AI22">
        <f>(1+AH22)^(1/31)</f>
        <v>1.0018814098322764</v>
      </c>
    </row>
    <row r="23" spans="1:35" ht="15" thickBot="1" x14ac:dyDescent="0.2">
      <c r="A23" s="44" t="s">
        <v>77</v>
      </c>
      <c r="B23" s="45">
        <f>'Monitor Bonos'!C42</f>
        <v>0.09</v>
      </c>
      <c r="C23" s="46" t="s">
        <v>11</v>
      </c>
      <c r="D23" s="47">
        <f ca="1">SUM(H31:Q31)</f>
        <v>0</v>
      </c>
      <c r="F23" s="191" t="s">
        <v>78</v>
      </c>
      <c r="G23" s="31">
        <f ca="1">B24</f>
        <v>45478</v>
      </c>
      <c r="H23" s="192">
        <v>45194</v>
      </c>
      <c r="I23" s="192">
        <v>45376</v>
      </c>
      <c r="J23" s="193"/>
      <c r="K23" s="193"/>
      <c r="L23" s="193"/>
      <c r="M23" s="193"/>
      <c r="N23" s="194"/>
      <c r="AD23" s="98">
        <v>44946</v>
      </c>
      <c r="AE23" s="99">
        <v>75.825199999999995</v>
      </c>
      <c r="AG23" s="190">
        <v>45658</v>
      </c>
      <c r="AH23" s="32">
        <v>0.06</v>
      </c>
      <c r="AI23">
        <f>(1+AH23)^(1/31)</f>
        <v>1.0018814098322764</v>
      </c>
    </row>
    <row r="24" spans="1:35" ht="15" thickBot="1" x14ac:dyDescent="0.2">
      <c r="A24" s="180" t="s">
        <v>79</v>
      </c>
      <c r="B24" s="181">
        <f ca="1">'Monitor Bonos'!$C$7</f>
        <v>45478</v>
      </c>
      <c r="C24" s="182" t="s">
        <v>80</v>
      </c>
      <c r="D24" s="183">
        <f ca="1">+B28*((B24-B27)/(B26-B27))/2</f>
        <v>1.9076086956521741</v>
      </c>
      <c r="F24" s="130" t="s">
        <v>81</v>
      </c>
      <c r="H24" s="195">
        <f ca="1">+(H23-$B$6)/365</f>
        <v>-0.77808219178082194</v>
      </c>
      <c r="I24" s="196">
        <f ca="1">+(I23-$B$6)/365</f>
        <v>-0.27945205479452057</v>
      </c>
      <c r="J24" s="196"/>
      <c r="K24" s="196"/>
      <c r="L24" s="196"/>
      <c r="M24" s="196"/>
      <c r="N24" s="197"/>
      <c r="AD24" s="98">
        <v>44947</v>
      </c>
      <c r="AE24" s="99">
        <v>75.946899999999999</v>
      </c>
      <c r="AG24" s="190">
        <v>45689</v>
      </c>
      <c r="AH24" s="32">
        <v>0.06</v>
      </c>
      <c r="AI24">
        <f>(1+AH24)^(1/28)</f>
        <v>1.0020831992838277</v>
      </c>
    </row>
    <row r="25" spans="1:35" ht="15" thickBot="1" x14ac:dyDescent="0.2">
      <c r="A25" s="184" t="s">
        <v>82</v>
      </c>
      <c r="B25" s="185">
        <v>100</v>
      </c>
      <c r="C25" s="182" t="s">
        <v>83</v>
      </c>
      <c r="D25" s="186"/>
      <c r="F25" s="132" t="s">
        <v>29</v>
      </c>
      <c r="H25" s="229">
        <v>1.4999999999999999E-2</v>
      </c>
      <c r="I25" s="229">
        <v>1.4999999999999999E-2</v>
      </c>
      <c r="J25" s="199"/>
      <c r="K25" s="199"/>
      <c r="L25" s="199"/>
      <c r="M25" s="199"/>
      <c r="N25" s="200"/>
      <c r="AD25" s="98">
        <v>44948</v>
      </c>
      <c r="AE25" s="99">
        <v>76.068899999999999</v>
      </c>
      <c r="AG25" s="190">
        <v>45717</v>
      </c>
      <c r="AH25" s="32">
        <v>0.06</v>
      </c>
      <c r="AI25">
        <f>(1+AH25)^(1/31)</f>
        <v>1.0018814098322764</v>
      </c>
    </row>
    <row r="26" spans="1:35" ht="15" thickBot="1" x14ac:dyDescent="0.2">
      <c r="A26" s="184" t="s">
        <v>84</v>
      </c>
      <c r="B26" s="181">
        <f>H23</f>
        <v>45194</v>
      </c>
      <c r="C26" s="182" t="s">
        <v>85</v>
      </c>
      <c r="D26" s="186"/>
      <c r="F26" s="201" t="s">
        <v>56</v>
      </c>
      <c r="AD26" s="98">
        <v>44949</v>
      </c>
      <c r="AE26" s="99">
        <v>76.191100000000006</v>
      </c>
      <c r="AG26" s="190">
        <v>45748</v>
      </c>
      <c r="AH26" s="32">
        <v>0.06</v>
      </c>
      <c r="AI26">
        <f t="shared" si="1"/>
        <v>1.0019441844179806</v>
      </c>
    </row>
    <row r="27" spans="1:35" ht="15" thickBot="1" x14ac:dyDescent="0.2">
      <c r="A27" s="184" t="s">
        <v>86</v>
      </c>
      <c r="B27" s="181">
        <v>45010</v>
      </c>
      <c r="C27" s="182" t="s">
        <v>13</v>
      </c>
      <c r="D27" s="186"/>
      <c r="F27" s="103" t="s">
        <v>87</v>
      </c>
      <c r="G27" s="202"/>
      <c r="H27" s="202">
        <f>H25*H28/2</f>
        <v>0.75</v>
      </c>
      <c r="I27" s="106">
        <f>I25*I28/2</f>
        <v>0.75</v>
      </c>
      <c r="J27" s="13"/>
      <c r="K27" s="13"/>
      <c r="L27" s="13"/>
      <c r="M27" s="13"/>
      <c r="N27" s="13"/>
      <c r="AD27" s="98">
        <v>44950</v>
      </c>
      <c r="AE27" s="99">
        <v>76.313400000000001</v>
      </c>
      <c r="AG27" s="190">
        <v>45778</v>
      </c>
      <c r="AH27" s="32">
        <v>0.06</v>
      </c>
      <c r="AI27">
        <f>(1+AH27)^(1/31)</f>
        <v>1.0018814098322764</v>
      </c>
    </row>
    <row r="28" spans="1:35" ht="15" thickBot="1" x14ac:dyDescent="0.2">
      <c r="A28" s="184" t="s">
        <v>88</v>
      </c>
      <c r="B28" s="187">
        <f>H25*100</f>
        <v>1.5</v>
      </c>
      <c r="F28" s="14" t="s">
        <v>89</v>
      </c>
      <c r="G28" s="13"/>
      <c r="H28" s="13">
        <v>100</v>
      </c>
      <c r="I28" s="15">
        <v>100</v>
      </c>
      <c r="J28" s="13"/>
      <c r="K28" s="13"/>
      <c r="L28" s="13"/>
      <c r="M28" s="13"/>
      <c r="N28" s="13"/>
      <c r="AD28" s="98">
        <v>44951</v>
      </c>
      <c r="AE28" s="99">
        <v>76.436000000000007</v>
      </c>
      <c r="AG28" s="190">
        <v>45809</v>
      </c>
      <c r="AH28" s="32">
        <v>0.06</v>
      </c>
      <c r="AI28">
        <f t="shared" si="1"/>
        <v>1.0019441844179806</v>
      </c>
    </row>
    <row r="29" spans="1:35" ht="15" thickBot="1" x14ac:dyDescent="0.2">
      <c r="A29" s="184" t="s">
        <v>90</v>
      </c>
      <c r="B29" s="188">
        <v>20.152100000000001</v>
      </c>
      <c r="C29" s="218" t="s">
        <v>57</v>
      </c>
      <c r="F29" s="14" t="s">
        <v>28</v>
      </c>
      <c r="G29" s="13"/>
      <c r="H29" s="13">
        <v>0</v>
      </c>
      <c r="I29" s="15">
        <v>100</v>
      </c>
      <c r="J29" s="13"/>
      <c r="K29" s="13"/>
      <c r="L29" s="13"/>
      <c r="M29" s="13"/>
      <c r="N29" s="13"/>
      <c r="AD29" s="98">
        <v>44952</v>
      </c>
      <c r="AE29" s="99">
        <v>76.558700000000002</v>
      </c>
      <c r="AG29" s="190">
        <v>45839</v>
      </c>
      <c r="AH29" s="32">
        <v>0.06</v>
      </c>
      <c r="AI29">
        <f>(1+AH29)^(1/31)</f>
        <v>1.0018814098322764</v>
      </c>
    </row>
    <row r="30" spans="1:35" ht="15" thickBot="1" x14ac:dyDescent="0.2">
      <c r="A30" s="43" t="s">
        <v>91</v>
      </c>
      <c r="B30" s="213">
        <f ca="1">_xlfn.XLOOKUP(TODAY()+2-14,AD22:AD1468,AE22:AE1468)</f>
        <v>108.0095</v>
      </c>
      <c r="C30" s="214" t="s">
        <v>14</v>
      </c>
      <c r="D30" s="219">
        <f ca="1">D23*_xlfn.XLOOKUP(B24+2-14,$AD$4:$AD$6450,$AE$4:$AE$6450)/B29</f>
        <v>0</v>
      </c>
      <c r="F30" s="14" t="s">
        <v>92</v>
      </c>
      <c r="G30" s="13"/>
      <c r="H30" s="13">
        <f ca="1">IF(H24&gt;=0,H27+H29,0)</f>
        <v>0</v>
      </c>
      <c r="I30" s="15">
        <f ca="1">IF(I24&gt;=0,I27+I29,0)</f>
        <v>0</v>
      </c>
      <c r="J30" s="13"/>
      <c r="K30" s="13"/>
      <c r="L30" s="13"/>
      <c r="M30" s="13"/>
      <c r="N30" s="13"/>
      <c r="AD30" s="98">
        <v>44953</v>
      </c>
      <c r="AE30" s="99">
        <v>76.681700000000006</v>
      </c>
      <c r="AG30" s="190">
        <v>45870</v>
      </c>
      <c r="AH30" s="32">
        <v>0.06</v>
      </c>
      <c r="AI30">
        <f>(1+AH30)^(1/31)</f>
        <v>1.0018814098322764</v>
      </c>
    </row>
    <row r="31" spans="1:35" ht="15" thickBot="1" x14ac:dyDescent="0.2">
      <c r="A31" s="50" t="s">
        <v>93</v>
      </c>
      <c r="B31" s="189">
        <f ca="1">B30/B29*100</f>
        <v>535.97143721994235</v>
      </c>
      <c r="C31" s="182" t="s">
        <v>94</v>
      </c>
      <c r="D31" s="227" t="e">
        <f ca="1">XIRR(G36:N36,G23:N23)</f>
        <v>#NUM!</v>
      </c>
      <c r="F31" s="104" t="s">
        <v>95</v>
      </c>
      <c r="G31" s="203"/>
      <c r="H31" s="203">
        <f ca="1">H30/(1+$B$5)^((H23-$B$6)/365)</f>
        <v>0</v>
      </c>
      <c r="I31" s="105">
        <f ca="1">I30/(1+$B$5)^((I23-$B$6)/365)</f>
        <v>0</v>
      </c>
      <c r="L31" s="89"/>
      <c r="M31" s="89"/>
      <c r="N31" s="89"/>
      <c r="AD31" s="98">
        <v>44954</v>
      </c>
      <c r="AE31" s="99">
        <v>76.8048</v>
      </c>
      <c r="AG31" s="190">
        <v>45901</v>
      </c>
      <c r="AH31" s="32">
        <v>0.06</v>
      </c>
      <c r="AI31">
        <f t="shared" si="1"/>
        <v>1.0019441844179806</v>
      </c>
    </row>
    <row r="32" spans="1:35" ht="15" thickBot="1" x14ac:dyDescent="0.2">
      <c r="A32" s="50" t="s">
        <v>96</v>
      </c>
      <c r="B32">
        <v>510</v>
      </c>
      <c r="C32" s="182"/>
      <c r="D32" s="186"/>
      <c r="AD32" s="98">
        <v>44955</v>
      </c>
      <c r="AE32" s="99">
        <v>76.928100000000001</v>
      </c>
      <c r="AG32" s="190">
        <v>45931</v>
      </c>
      <c r="AH32" s="32">
        <v>0.06</v>
      </c>
      <c r="AI32">
        <f>(1+AH32)^(1/31)</f>
        <v>1.0018814098322764</v>
      </c>
    </row>
    <row r="33" spans="1:35" ht="15" thickBot="1" x14ac:dyDescent="0.2">
      <c r="A33" s="50" t="s">
        <v>97</v>
      </c>
      <c r="B33" s="31">
        <v>45376</v>
      </c>
      <c r="C33" s="182"/>
      <c r="D33" s="186"/>
      <c r="F33" s="204" t="s">
        <v>57</v>
      </c>
      <c r="AD33" s="98">
        <v>44956</v>
      </c>
      <c r="AE33" s="99">
        <v>77.051699999999997</v>
      </c>
      <c r="AG33" s="190">
        <v>45962</v>
      </c>
      <c r="AH33" s="32">
        <v>0.06</v>
      </c>
      <c r="AI33">
        <f t="shared" si="1"/>
        <v>1.0019441844179806</v>
      </c>
    </row>
    <row r="34" spans="1:35" ht="15" thickBot="1" x14ac:dyDescent="0.2">
      <c r="A34" s="50" t="s">
        <v>96</v>
      </c>
      <c r="F34" s="103" t="s">
        <v>87</v>
      </c>
      <c r="G34" s="103"/>
      <c r="H34" s="205">
        <f>H25/2*H37</f>
        <v>4.1973536136593381</v>
      </c>
      <c r="I34" s="205">
        <f>I25/2*I37</f>
        <v>5.9324288057575876</v>
      </c>
      <c r="J34" s="205"/>
      <c r="K34" s="205"/>
      <c r="L34" s="205"/>
      <c r="M34" s="205"/>
      <c r="N34" s="216"/>
      <c r="AD34" s="98">
        <v>44957</v>
      </c>
      <c r="AE34" s="99">
        <v>77.175399999999996</v>
      </c>
      <c r="AG34" s="190">
        <v>45992</v>
      </c>
      <c r="AH34" s="32">
        <v>0.06</v>
      </c>
      <c r="AI34">
        <f>(1+AH34)^(1/31)</f>
        <v>1.0018814098322764</v>
      </c>
    </row>
    <row r="35" spans="1:35" ht="15" thickBot="1" x14ac:dyDescent="0.2">
      <c r="B35" s="231"/>
      <c r="F35" s="14" t="s">
        <v>28</v>
      </c>
      <c r="G35" s="14"/>
      <c r="H35" s="222">
        <f>H29*_xlfn.XLOOKUP(H23+2-14,$AD$4:$AD$1450,$AE$4:$AE$1450)/$B$11</f>
        <v>0</v>
      </c>
      <c r="I35" s="222">
        <f>I29*_xlfn.XLOOKUP(I23+2-14,$AD$4:$AD$1450,$AE$4:$AE$1450)/$B$29</f>
        <v>884.33728641918344</v>
      </c>
      <c r="J35" s="222"/>
      <c r="K35" s="222"/>
      <c r="L35" s="222"/>
      <c r="M35" s="222"/>
      <c r="N35" s="222"/>
      <c r="AD35" s="98">
        <v>44958</v>
      </c>
      <c r="AE35" s="99">
        <v>77.299300000000002</v>
      </c>
      <c r="AG35" s="190">
        <v>46023</v>
      </c>
      <c r="AH35" s="32">
        <v>0.06</v>
      </c>
      <c r="AI35">
        <f>(1+AH35)^(1/31)</f>
        <v>1.0018814098322764</v>
      </c>
    </row>
    <row r="36" spans="1:35" ht="15" thickBot="1" x14ac:dyDescent="0.2">
      <c r="F36" s="14" t="s">
        <v>92</v>
      </c>
      <c r="G36" s="226">
        <f ca="1">-D30</f>
        <v>0</v>
      </c>
      <c r="H36" s="220">
        <f ca="1">IF(H$6&gt;=0,H34+H35,0)</f>
        <v>0</v>
      </c>
      <c r="I36" s="222">
        <f ca="1">IF(I$6&gt;=0,I34+I35,0)</f>
        <v>0</v>
      </c>
      <c r="J36" s="222"/>
      <c r="K36" s="222"/>
      <c r="L36" s="222"/>
      <c r="M36" s="222"/>
      <c r="N36" s="223"/>
      <c r="AD36" s="98">
        <v>44959</v>
      </c>
      <c r="AE36" s="99">
        <v>77.423500000000004</v>
      </c>
      <c r="AG36" s="190">
        <v>46054</v>
      </c>
      <c r="AH36" s="32">
        <v>0.06</v>
      </c>
      <c r="AI36">
        <f>(1+AH36)^(1/28)</f>
        <v>1.0020831992838277</v>
      </c>
    </row>
    <row r="37" spans="1:35" ht="15" thickBot="1" x14ac:dyDescent="0.2">
      <c r="F37" s="104" t="s">
        <v>89</v>
      </c>
      <c r="G37" s="104"/>
      <c r="H37" s="224">
        <f>H28*_xlfn.XLOOKUP(H23+2-14,$AD$4:$AD$2450,$AE$4:$AE$2450)/$B$11</f>
        <v>559.64714848791175</v>
      </c>
      <c r="I37" s="224">
        <f>I28*_xlfn.XLOOKUP(I23+2-14,$AD$4:$AD$2450,$AE$4:$AE$2450)/$B$11</f>
        <v>790.99050743434509</v>
      </c>
      <c r="J37" s="224"/>
      <c r="K37" s="224"/>
      <c r="L37" s="224"/>
      <c r="M37" s="224"/>
      <c r="N37" s="225"/>
      <c r="AD37" s="98">
        <v>44960</v>
      </c>
      <c r="AE37" s="99">
        <v>77.547799999999995</v>
      </c>
      <c r="AG37" s="190">
        <v>46082</v>
      </c>
      <c r="AH37" s="32">
        <v>0.06</v>
      </c>
      <c r="AI37">
        <f>(1+AH37)^(1/31)</f>
        <v>1.0018814098322764</v>
      </c>
    </row>
    <row r="38" spans="1:35" ht="15" thickBot="1" x14ac:dyDescent="0.2">
      <c r="AD38" s="98">
        <v>44961</v>
      </c>
      <c r="AE38" s="99">
        <v>77.672300000000007</v>
      </c>
      <c r="AG38" s="190">
        <v>46113</v>
      </c>
      <c r="AH38" s="32">
        <v>0.06</v>
      </c>
      <c r="AI38">
        <f t="shared" si="1"/>
        <v>1.0019441844179806</v>
      </c>
    </row>
    <row r="39" spans="1:35" ht="21" thickBot="1" x14ac:dyDescent="0.25">
      <c r="F39" s="230" t="s">
        <v>43</v>
      </c>
      <c r="AD39" s="98">
        <v>44962</v>
      </c>
      <c r="AE39" s="99">
        <v>77.7971</v>
      </c>
      <c r="AG39" s="190">
        <v>46143</v>
      </c>
      <c r="AH39" s="32">
        <v>0.06</v>
      </c>
      <c r="AI39">
        <f>(1+AH39)^(1/31)</f>
        <v>1.0018814098322764</v>
      </c>
    </row>
    <row r="40" spans="1:35" ht="17" thickBot="1" x14ac:dyDescent="0.25">
      <c r="A40" s="36" t="s">
        <v>75</v>
      </c>
      <c r="C40" s="36" t="s">
        <v>76</v>
      </c>
      <c r="AD40" s="98">
        <v>44963</v>
      </c>
      <c r="AE40" s="99">
        <v>77.921999999999997</v>
      </c>
      <c r="AG40" s="190">
        <v>46174</v>
      </c>
      <c r="AH40" s="32">
        <v>0.06</v>
      </c>
      <c r="AI40">
        <f>(1+AH40)^(1/30)</f>
        <v>1.0019441844179806</v>
      </c>
    </row>
    <row r="41" spans="1:35" ht="15" thickBot="1" x14ac:dyDescent="0.2">
      <c r="A41" s="44" t="s">
        <v>77</v>
      </c>
      <c r="B41" s="45">
        <f>'Monitor Bonos'!C44</f>
        <v>0.09</v>
      </c>
      <c r="C41" s="46" t="s">
        <v>11</v>
      </c>
      <c r="D41" s="47">
        <f ca="1">SUM(H49:Q49)</f>
        <v>0</v>
      </c>
      <c r="F41" s="191" t="s">
        <v>78</v>
      </c>
      <c r="G41" s="31">
        <f ca="1">B42</f>
        <v>45478</v>
      </c>
      <c r="H41" s="192">
        <v>45213</v>
      </c>
      <c r="I41" s="192">
        <v>45396</v>
      </c>
      <c r="J41" s="193"/>
      <c r="K41" s="193"/>
      <c r="L41" s="193"/>
      <c r="M41" s="193"/>
      <c r="N41" s="194"/>
      <c r="AD41" s="98">
        <v>44964</v>
      </c>
      <c r="AE41" s="99">
        <v>78.0471</v>
      </c>
      <c r="AG41" s="190">
        <v>46204</v>
      </c>
      <c r="AH41" s="32">
        <v>0.06</v>
      </c>
      <c r="AI41">
        <f>(1+AH41)^(1/31)</f>
        <v>1.0018814098322764</v>
      </c>
    </row>
    <row r="42" spans="1:35" ht="15" thickBot="1" x14ac:dyDescent="0.2">
      <c r="A42" s="180" t="s">
        <v>79</v>
      </c>
      <c r="B42" s="181">
        <f ca="1">'Monitor Bonos'!$C$7</f>
        <v>45478</v>
      </c>
      <c r="C42" s="182" t="s">
        <v>80</v>
      </c>
      <c r="D42" s="183">
        <f ca="1">+B46*((B42-B45)/(B44-B45))/2</f>
        <v>2.0984228971962615</v>
      </c>
      <c r="F42" s="130" t="s">
        <v>81</v>
      </c>
      <c r="H42" s="195">
        <f ca="1">+(H41-$B$42)/365</f>
        <v>-0.72602739726027399</v>
      </c>
      <c r="I42" s="196">
        <f ca="1">+(I41-$B$42)/365</f>
        <v>-0.22465753424657534</v>
      </c>
      <c r="J42" s="196"/>
      <c r="K42" s="196"/>
      <c r="L42" s="196"/>
      <c r="M42" s="196"/>
      <c r="N42" s="197"/>
      <c r="AD42" s="98">
        <v>44965</v>
      </c>
      <c r="AE42" s="99">
        <v>78.172499999999999</v>
      </c>
      <c r="AG42" s="190">
        <v>46235</v>
      </c>
      <c r="AH42" s="32">
        <v>0.06</v>
      </c>
      <c r="AI42">
        <f>(1+AH42)^(1/31)</f>
        <v>1.0018814098322764</v>
      </c>
    </row>
    <row r="43" spans="1:35" ht="15" thickBot="1" x14ac:dyDescent="0.2">
      <c r="A43" s="184" t="s">
        <v>82</v>
      </c>
      <c r="B43" s="185">
        <v>100</v>
      </c>
      <c r="C43" s="182" t="s">
        <v>83</v>
      </c>
      <c r="D43" s="186"/>
      <c r="F43" s="132" t="s">
        <v>29</v>
      </c>
      <c r="H43" s="233">
        <v>3.7499999999999999E-2</v>
      </c>
      <c r="I43" s="233">
        <v>3.7499999999999999E-2</v>
      </c>
      <c r="J43" s="199"/>
      <c r="K43" s="199"/>
      <c r="L43" s="199"/>
      <c r="M43" s="199"/>
      <c r="N43" s="200"/>
      <c r="AD43" s="98">
        <v>44966</v>
      </c>
      <c r="AE43" s="99">
        <v>78.298000000000002</v>
      </c>
      <c r="AG43" s="190">
        <v>46266</v>
      </c>
      <c r="AH43" s="32">
        <v>0.06</v>
      </c>
      <c r="AI43">
        <f t="shared" si="1"/>
        <v>1.0019441844179806</v>
      </c>
    </row>
    <row r="44" spans="1:35" ht="15" thickBot="1" x14ac:dyDescent="0.2">
      <c r="A44" s="184" t="s">
        <v>84</v>
      </c>
      <c r="B44" s="181">
        <f>H41</f>
        <v>45213</v>
      </c>
      <c r="C44" s="182" t="s">
        <v>85</v>
      </c>
      <c r="D44" s="186"/>
      <c r="F44" s="201" t="s">
        <v>56</v>
      </c>
      <c r="AD44" s="98">
        <v>44967</v>
      </c>
      <c r="AE44" s="99">
        <v>78.423699999999997</v>
      </c>
      <c r="AG44" s="190">
        <v>46296</v>
      </c>
      <c r="AH44" s="32">
        <v>0.06</v>
      </c>
      <c r="AI44">
        <f>(1+AH44)^(1/31)</f>
        <v>1.0018814098322764</v>
      </c>
    </row>
    <row r="45" spans="1:35" ht="15" thickBot="1" x14ac:dyDescent="0.2">
      <c r="A45" s="184" t="s">
        <v>86</v>
      </c>
      <c r="B45" s="181">
        <v>44999</v>
      </c>
      <c r="C45" s="182" t="s">
        <v>13</v>
      </c>
      <c r="D45" s="186"/>
      <c r="F45" s="103" t="s">
        <v>87</v>
      </c>
      <c r="G45" s="202"/>
      <c r="H45" s="202">
        <f>H43*H46/2</f>
        <v>1.875</v>
      </c>
      <c r="I45" s="106">
        <f>I43*I46/2</f>
        <v>1.875</v>
      </c>
      <c r="J45" s="13"/>
      <c r="K45" s="13"/>
      <c r="L45" s="13"/>
      <c r="M45" s="13"/>
      <c r="N45" s="13"/>
      <c r="AD45" s="98">
        <v>44968</v>
      </c>
      <c r="AE45" s="99">
        <v>78.549700000000001</v>
      </c>
      <c r="AG45" s="190">
        <v>46327</v>
      </c>
      <c r="AH45" s="32">
        <v>0.06</v>
      </c>
      <c r="AI45">
        <f t="shared" si="1"/>
        <v>1.0019441844179806</v>
      </c>
    </row>
    <row r="46" spans="1:35" ht="15" thickBot="1" x14ac:dyDescent="0.2">
      <c r="A46" s="184" t="s">
        <v>88</v>
      </c>
      <c r="B46" s="187">
        <f>H43*100/2</f>
        <v>1.875</v>
      </c>
      <c r="F46" s="14" t="s">
        <v>89</v>
      </c>
      <c r="G46" s="13"/>
      <c r="H46" s="13">
        <v>100</v>
      </c>
      <c r="I46" s="15">
        <v>100</v>
      </c>
      <c r="J46" s="13"/>
      <c r="K46" s="13"/>
      <c r="L46" s="13"/>
      <c r="M46" s="13"/>
      <c r="N46" s="13"/>
      <c r="AD46" s="98">
        <v>44969</v>
      </c>
      <c r="AE46" s="99">
        <v>78.675799999999995</v>
      </c>
      <c r="AG46" s="190">
        <v>46357</v>
      </c>
      <c r="AH46" s="32">
        <v>0.06</v>
      </c>
      <c r="AI46">
        <f>(1+AH46)^(1/31)</f>
        <v>1.0018814098322764</v>
      </c>
    </row>
    <row r="47" spans="1:35" ht="15" thickBot="1" x14ac:dyDescent="0.2">
      <c r="A47" s="184" t="s">
        <v>90</v>
      </c>
      <c r="B47" s="188">
        <v>81.223399999999998</v>
      </c>
      <c r="C47" s="218" t="s">
        <v>57</v>
      </c>
      <c r="F47" s="14" t="s">
        <v>28</v>
      </c>
      <c r="G47" s="13"/>
      <c r="H47" s="13">
        <v>0</v>
      </c>
      <c r="I47" s="15">
        <v>100</v>
      </c>
      <c r="J47" s="13"/>
      <c r="K47" s="13"/>
      <c r="L47" s="13"/>
      <c r="M47" s="13"/>
      <c r="N47" s="13"/>
      <c r="AD47" s="98">
        <v>44970</v>
      </c>
      <c r="AE47" s="99">
        <v>78.802199999999999</v>
      </c>
      <c r="AG47" s="190">
        <v>46388</v>
      </c>
      <c r="AH47" s="32">
        <v>0.06</v>
      </c>
      <c r="AI47">
        <f>(1+AH47)^(1/31)</f>
        <v>1.0018814098322764</v>
      </c>
    </row>
    <row r="48" spans="1:35" ht="15" thickBot="1" x14ac:dyDescent="0.2">
      <c r="A48" s="43" t="s">
        <v>91</v>
      </c>
      <c r="B48" s="213">
        <f ca="1">_xlfn.XLOOKUP(TODAY()+2-14,AD40:AD1486,AE40:AE1486)</f>
        <v>108.0095</v>
      </c>
      <c r="C48" s="214" t="s">
        <v>14</v>
      </c>
      <c r="D48" s="219">
        <f ca="1">D41*_xlfn.XLOOKUP(B42+2-14,$AD$4:$AD$6450,$AE$4:$AE$6450)/B47</f>
        <v>0</v>
      </c>
      <c r="F48" s="14" t="s">
        <v>92</v>
      </c>
      <c r="G48" s="13"/>
      <c r="H48" s="13">
        <f ca="1">IF($H42&gt;=0,H45+H47,0)</f>
        <v>0</v>
      </c>
      <c r="I48" s="15">
        <f ca="1">IF(I42&gt;=0,I45+I47,0)</f>
        <v>0</v>
      </c>
      <c r="J48" s="13"/>
      <c r="K48" s="13"/>
      <c r="L48" s="13"/>
      <c r="M48" s="13"/>
      <c r="N48" s="13"/>
      <c r="AD48" s="98">
        <v>44971</v>
      </c>
      <c r="AE48" s="99">
        <v>78.928700000000006</v>
      </c>
      <c r="AG48" s="190">
        <v>46419</v>
      </c>
      <c r="AH48" s="32">
        <v>0.06</v>
      </c>
      <c r="AI48">
        <f>(1+AH48)^(1/28)</f>
        <v>1.0020831992838277</v>
      </c>
    </row>
    <row r="49" spans="1:35" ht="15" thickBot="1" x14ac:dyDescent="0.2">
      <c r="A49" s="50" t="s">
        <v>93</v>
      </c>
      <c r="B49" s="189">
        <f ca="1">B48/B47*100</f>
        <v>132.97830428177102</v>
      </c>
      <c r="C49" s="182" t="s">
        <v>94</v>
      </c>
      <c r="D49" s="227" t="e">
        <f ca="1">XIRR(G54:N54,G41:N41)</f>
        <v>#NUM!</v>
      </c>
      <c r="F49" s="104" t="s">
        <v>95</v>
      </c>
      <c r="G49" s="203"/>
      <c r="H49" s="203">
        <f ca="1">H48/(1+$B41)^((H41-$B42)/365)</f>
        <v>0</v>
      </c>
      <c r="I49" s="203">
        <f ca="1">I48/(1+$B41)^((I41-$B42)/365)</f>
        <v>0</v>
      </c>
      <c r="L49" s="89"/>
      <c r="M49" s="89"/>
      <c r="N49" s="89"/>
      <c r="AD49" s="98">
        <v>44972</v>
      </c>
      <c r="AE49" s="99">
        <v>79.055499999999995</v>
      </c>
      <c r="AG49" s="190">
        <v>46447</v>
      </c>
      <c r="AH49" s="32">
        <v>0.06</v>
      </c>
      <c r="AI49">
        <f>(1+AH49)^(1/31)</f>
        <v>1.0018814098322764</v>
      </c>
    </row>
    <row r="50" spans="1:35" ht="15" thickBot="1" x14ac:dyDescent="0.2">
      <c r="A50" s="50" t="s">
        <v>96</v>
      </c>
      <c r="B50">
        <v>510</v>
      </c>
      <c r="C50" s="182"/>
      <c r="D50" s="186"/>
      <c r="AD50" s="98">
        <v>44973</v>
      </c>
      <c r="AE50" s="99">
        <v>79.220100000000002</v>
      </c>
      <c r="AG50" s="190">
        <v>46478</v>
      </c>
      <c r="AH50" s="32">
        <v>0.06</v>
      </c>
      <c r="AI50">
        <f>(1+AH50)^(1/30)</f>
        <v>1.0019441844179806</v>
      </c>
    </row>
    <row r="51" spans="1:35" ht="15" thickBot="1" x14ac:dyDescent="0.2">
      <c r="A51" s="50" t="s">
        <v>97</v>
      </c>
      <c r="B51" s="31">
        <v>45376</v>
      </c>
      <c r="C51" s="182"/>
      <c r="D51" s="186"/>
      <c r="F51" s="204" t="s">
        <v>57</v>
      </c>
      <c r="AD51" s="98">
        <v>44974</v>
      </c>
      <c r="AE51" s="99">
        <v>79.385199999999998</v>
      </c>
      <c r="AG51" s="190">
        <v>46508</v>
      </c>
      <c r="AH51" s="32">
        <v>0.06</v>
      </c>
      <c r="AI51">
        <f>(1+AH51)^(1/31)</f>
        <v>1.0018814098322764</v>
      </c>
    </row>
    <row r="52" spans="1:35" ht="15" thickBot="1" x14ac:dyDescent="0.2">
      <c r="A52" s="50" t="s">
        <v>96</v>
      </c>
      <c r="F52" s="103" t="s">
        <v>87</v>
      </c>
      <c r="G52" s="103"/>
      <c r="H52" s="205">
        <f>H43/2*H55</f>
        <v>10.874908556477532</v>
      </c>
      <c r="I52" s="205">
        <f>I43/2*I55</f>
        <v>13.016435549793949</v>
      </c>
      <c r="J52" s="205"/>
      <c r="K52" s="205"/>
      <c r="L52" s="205"/>
      <c r="M52" s="205"/>
      <c r="N52" s="216"/>
      <c r="AD52" s="98">
        <v>44975</v>
      </c>
      <c r="AE52" s="99">
        <v>79.550600000000003</v>
      </c>
      <c r="AG52" s="190">
        <v>46539</v>
      </c>
      <c r="AH52" s="32">
        <v>0.06</v>
      </c>
      <c r="AI52">
        <f>(1+AH52)^(1/30)</f>
        <v>1.0019441844179806</v>
      </c>
    </row>
    <row r="53" spans="1:35" ht="15" thickBot="1" x14ac:dyDescent="0.2">
      <c r="B53" s="231"/>
      <c r="F53" s="14" t="s">
        <v>28</v>
      </c>
      <c r="G53" s="14"/>
      <c r="H53" s="222">
        <f>H47*_xlfn.XLOOKUP(H41+2-14,$AD$4:$AD$1450,$AE$4:$AE$1450)/$B$11</f>
        <v>0</v>
      </c>
      <c r="I53" s="222">
        <f>I47*_xlfn.XLOOKUP(I41+2-14,$AD$4:$AD$1450,$AE$4:$AE$1450)/$B47</f>
        <v>228.64292842395193</v>
      </c>
      <c r="J53" s="222"/>
      <c r="K53" s="222"/>
      <c r="L53" s="222"/>
      <c r="M53" s="222"/>
      <c r="N53" s="222"/>
      <c r="AD53" s="98">
        <v>44976</v>
      </c>
      <c r="AE53" s="99">
        <v>79.716300000000004</v>
      </c>
      <c r="AG53" s="190">
        <v>46569</v>
      </c>
      <c r="AH53" s="32">
        <v>0.06</v>
      </c>
      <c r="AI53">
        <f>(1+AH53)^(1/31)</f>
        <v>1.0018814098322764</v>
      </c>
    </row>
    <row r="54" spans="1:35" ht="15" thickBot="1" x14ac:dyDescent="0.2">
      <c r="F54" s="14" t="s">
        <v>92</v>
      </c>
      <c r="G54" s="226">
        <f ca="1">-D48</f>
        <v>0</v>
      </c>
      <c r="H54" s="220">
        <f ca="1">IF(H$6&gt;=0,H52+H53,0)</f>
        <v>0</v>
      </c>
      <c r="I54" s="222">
        <f ca="1">IF(I$42&gt;=0,I52+I53,0)</f>
        <v>0</v>
      </c>
      <c r="J54" s="222"/>
      <c r="K54" s="222"/>
      <c r="L54" s="222"/>
      <c r="M54" s="222"/>
      <c r="N54" s="223"/>
      <c r="AD54" s="98">
        <v>44977</v>
      </c>
      <c r="AE54" s="99">
        <v>79.882300000000001</v>
      </c>
      <c r="AG54" s="190">
        <v>46600</v>
      </c>
      <c r="AH54" s="32">
        <v>0.06</v>
      </c>
      <c r="AI54">
        <f>(1+AH54)^(1/31)</f>
        <v>1.0018814098322764</v>
      </c>
    </row>
    <row r="55" spans="1:35" ht="15" thickBot="1" x14ac:dyDescent="0.2">
      <c r="C55" s="31"/>
      <c r="F55" s="104" t="s">
        <v>89</v>
      </c>
      <c r="G55" s="104"/>
      <c r="H55" s="224">
        <f>H46*_xlfn.XLOOKUP(H41+2-14,$AD$4:$AD$2450,$AE$4:$AE$2450)/$B$11</f>
        <v>579.99512301213508</v>
      </c>
      <c r="I55" s="224">
        <f>I46*_xlfn.XLOOKUP(I41+2-14,$AD$4:$AD$2450,$AE$4:$AE$2450)/$B$66</f>
        <v>694.20989598901065</v>
      </c>
      <c r="J55" s="224"/>
      <c r="K55" s="224"/>
      <c r="L55" s="224"/>
      <c r="M55" s="224"/>
      <c r="N55" s="225"/>
      <c r="AD55" s="98">
        <v>44978</v>
      </c>
      <c r="AE55" s="99">
        <v>80.048699999999997</v>
      </c>
      <c r="AG55" s="190">
        <v>46631</v>
      </c>
      <c r="AH55" s="32">
        <v>0.06</v>
      </c>
      <c r="AI55">
        <f t="shared" si="1"/>
        <v>1.0019441844179806</v>
      </c>
    </row>
    <row r="56" spans="1:35" ht="15" thickBot="1" x14ac:dyDescent="0.2">
      <c r="AD56" s="98">
        <v>44979</v>
      </c>
      <c r="AE56" s="99">
        <v>80.215500000000006</v>
      </c>
      <c r="AG56" s="190">
        <v>46661</v>
      </c>
      <c r="AH56" s="32">
        <v>0.06</v>
      </c>
      <c r="AI56">
        <f>(1+AH56)^(1/31)</f>
        <v>1.0018814098322764</v>
      </c>
    </row>
    <row r="57" spans="1:35" ht="15" thickBot="1" x14ac:dyDescent="0.2">
      <c r="AD57" s="98">
        <v>44980</v>
      </c>
      <c r="AE57" s="99">
        <v>80.382599999999996</v>
      </c>
      <c r="AG57" s="190">
        <v>46692</v>
      </c>
      <c r="AH57" s="32">
        <v>0.06</v>
      </c>
      <c r="AI57">
        <f>(1+AH57)^(1/30)</f>
        <v>1.0019441844179806</v>
      </c>
    </row>
    <row r="58" spans="1:35" ht="21" thickBot="1" x14ac:dyDescent="0.25">
      <c r="F58" s="230" t="s">
        <v>44</v>
      </c>
      <c r="AD58" s="98">
        <v>44981</v>
      </c>
      <c r="AE58" s="99">
        <v>80.5501</v>
      </c>
      <c r="AG58" s="190">
        <v>46722</v>
      </c>
      <c r="AH58" s="32">
        <v>0.06</v>
      </c>
      <c r="AI58">
        <f>(1+AH58)^(1/31)</f>
        <v>1.0018814098322764</v>
      </c>
    </row>
    <row r="59" spans="1:35" ht="17" thickBot="1" x14ac:dyDescent="0.25">
      <c r="A59" s="36" t="s">
        <v>75</v>
      </c>
      <c r="C59" s="36" t="s">
        <v>76</v>
      </c>
      <c r="AD59" s="98">
        <v>44982</v>
      </c>
      <c r="AE59" s="99">
        <v>80.7179</v>
      </c>
      <c r="AG59" s="190">
        <v>46753</v>
      </c>
      <c r="AH59" s="32">
        <v>0.06</v>
      </c>
      <c r="AI59">
        <f>(1+AH59)^(1/31)</f>
        <v>1.0018814098322764</v>
      </c>
    </row>
    <row r="60" spans="1:35" ht="15" thickBot="1" x14ac:dyDescent="0.2">
      <c r="A60" s="44" t="s">
        <v>77</v>
      </c>
      <c r="B60" s="45">
        <f>'Monitor Bonos'!C45</f>
        <v>0.09</v>
      </c>
      <c r="C60" s="46" t="s">
        <v>11</v>
      </c>
      <c r="D60" s="47">
        <f ca="1">SUM(H68:Q68)</f>
        <v>100.27657718997555</v>
      </c>
      <c r="F60" s="191" t="s">
        <v>78</v>
      </c>
      <c r="G60" s="31">
        <f ca="1">B61</f>
        <v>45478</v>
      </c>
      <c r="H60" s="192">
        <v>45133</v>
      </c>
      <c r="I60" s="192">
        <v>45317</v>
      </c>
      <c r="J60" s="192">
        <v>45499</v>
      </c>
      <c r="K60" s="193"/>
      <c r="L60" s="193"/>
      <c r="M60" s="193"/>
      <c r="N60" s="194"/>
      <c r="AD60" s="98">
        <v>44983</v>
      </c>
      <c r="AE60" s="99">
        <v>80.885999999999996</v>
      </c>
      <c r="AG60" s="190">
        <v>46784</v>
      </c>
      <c r="AH60" s="32">
        <v>0.06</v>
      </c>
      <c r="AI60">
        <f>(1+AH60)^(1/28)</f>
        <v>1.0020831992838277</v>
      </c>
    </row>
    <row r="61" spans="1:35" ht="15" thickBot="1" x14ac:dyDescent="0.2">
      <c r="A61" s="180" t="s">
        <v>79</v>
      </c>
      <c r="B61" s="181">
        <f ca="1">'Monitor Bonos'!$C$7</f>
        <v>45478</v>
      </c>
      <c r="C61" s="182" t="s">
        <v>80</v>
      </c>
      <c r="D61" s="183">
        <f ca="1">+B65*((B61-B64)/(B63-B64))/2</f>
        <v>1.3851679104477612</v>
      </c>
      <c r="F61" s="130" t="s">
        <v>81</v>
      </c>
      <c r="H61" s="195">
        <f ca="1">+(H60-$B$42)/365</f>
        <v>-0.9452054794520548</v>
      </c>
      <c r="I61" s="196">
        <f ca="1">+(I60-$B$42)/365</f>
        <v>-0.44109589041095892</v>
      </c>
      <c r="J61" s="196">
        <f ca="1">+(J60-$B$42)/365</f>
        <v>5.7534246575342465E-2</v>
      </c>
      <c r="K61" s="196"/>
      <c r="L61" s="196"/>
      <c r="M61" s="196"/>
      <c r="N61" s="197"/>
      <c r="AD61" s="98">
        <v>44984</v>
      </c>
      <c r="AE61" s="99">
        <v>81.054500000000004</v>
      </c>
      <c r="AG61" s="190">
        <v>46813</v>
      </c>
      <c r="AH61" s="32">
        <v>0.06</v>
      </c>
      <c r="AI61">
        <f>(1+AH61)^(1/31)</f>
        <v>1.0018814098322764</v>
      </c>
    </row>
    <row r="62" spans="1:35" ht="15" thickBot="1" x14ac:dyDescent="0.2">
      <c r="A62" s="184" t="s">
        <v>82</v>
      </c>
      <c r="B62" s="185">
        <v>100</v>
      </c>
      <c r="C62" s="182" t="s">
        <v>83</v>
      </c>
      <c r="D62" s="186"/>
      <c r="F62" s="132" t="s">
        <v>29</v>
      </c>
      <c r="H62" s="233">
        <v>1.55E-2</v>
      </c>
      <c r="I62" s="233">
        <v>1.55E-2</v>
      </c>
      <c r="J62" s="233">
        <v>1.55E-2</v>
      </c>
      <c r="K62" s="199"/>
      <c r="L62" s="199"/>
      <c r="M62" s="199"/>
      <c r="N62" s="200"/>
      <c r="AD62" s="98">
        <v>44985</v>
      </c>
      <c r="AE62" s="99">
        <v>81.223399999999998</v>
      </c>
      <c r="AG62" s="190">
        <v>46844</v>
      </c>
      <c r="AH62" s="32">
        <v>0.06</v>
      </c>
      <c r="AI62">
        <f>(1+AH62)^(1/30)</f>
        <v>1.0019441844179806</v>
      </c>
    </row>
    <row r="63" spans="1:35" ht="15" thickBot="1" x14ac:dyDescent="0.2">
      <c r="A63" s="184" t="s">
        <v>84</v>
      </c>
      <c r="B63" s="181">
        <f>H60</f>
        <v>45133</v>
      </c>
      <c r="C63" s="182" t="s">
        <v>85</v>
      </c>
      <c r="D63" s="186"/>
      <c r="F63" s="201" t="s">
        <v>56</v>
      </c>
      <c r="AD63" s="98">
        <v>44986</v>
      </c>
      <c r="AE63" s="99">
        <v>81.392600000000002</v>
      </c>
      <c r="AG63" s="190">
        <v>46874</v>
      </c>
      <c r="AH63" s="32">
        <v>0.06</v>
      </c>
      <c r="AI63">
        <f>(1+AH63)^(1/31)</f>
        <v>1.0018814098322764</v>
      </c>
    </row>
    <row r="64" spans="1:35" ht="15" thickBot="1" x14ac:dyDescent="0.2">
      <c r="A64" s="184" t="s">
        <v>86</v>
      </c>
      <c r="B64" s="181">
        <v>44999</v>
      </c>
      <c r="C64" s="182" t="s">
        <v>13</v>
      </c>
      <c r="D64" s="186"/>
      <c r="F64" s="103" t="s">
        <v>87</v>
      </c>
      <c r="G64" s="202"/>
      <c r="H64" s="103">
        <f>H62*H65/2</f>
        <v>0.77500000000000002</v>
      </c>
      <c r="I64" s="202">
        <f>I62*I65/2</f>
        <v>0.77500000000000002</v>
      </c>
      <c r="J64" s="106">
        <f>J62*J65/2</f>
        <v>0.77500000000000002</v>
      </c>
      <c r="K64" s="13"/>
      <c r="L64" s="13"/>
      <c r="M64" s="13"/>
      <c r="N64" s="13"/>
      <c r="AD64" s="98">
        <v>44987</v>
      </c>
      <c r="AE64" s="99">
        <v>81.562100000000001</v>
      </c>
      <c r="AG64" s="190">
        <v>46905</v>
      </c>
      <c r="AH64" s="32">
        <v>0.06</v>
      </c>
      <c r="AI64">
        <f>(1+AH64)^(1/30)</f>
        <v>1.0019441844179806</v>
      </c>
    </row>
    <row r="65" spans="1:35" ht="15" thickBot="1" x14ac:dyDescent="0.2">
      <c r="A65" s="184" t="s">
        <v>88</v>
      </c>
      <c r="B65" s="187">
        <f>H62*100/2</f>
        <v>0.77500000000000002</v>
      </c>
      <c r="F65" s="14" t="s">
        <v>89</v>
      </c>
      <c r="G65" s="13"/>
      <c r="H65" s="14">
        <v>100</v>
      </c>
      <c r="I65" s="13">
        <v>100</v>
      </c>
      <c r="J65" s="15">
        <v>100</v>
      </c>
      <c r="K65" s="13"/>
      <c r="L65" s="13"/>
      <c r="M65" s="13"/>
      <c r="N65" s="13"/>
      <c r="AD65" s="98">
        <v>44988</v>
      </c>
      <c r="AE65" s="99">
        <v>81.731999999999999</v>
      </c>
      <c r="AG65" s="190">
        <v>46935</v>
      </c>
      <c r="AH65" s="32">
        <v>0.06</v>
      </c>
      <c r="AI65">
        <f>(1+AH65)^(1/31)</f>
        <v>1.0018814098322764</v>
      </c>
    </row>
    <row r="66" spans="1:35" ht="15" thickBot="1" x14ac:dyDescent="0.2">
      <c r="A66" s="184" t="s">
        <v>90</v>
      </c>
      <c r="B66" s="188">
        <v>26.7515</v>
      </c>
      <c r="C66" s="218" t="s">
        <v>57</v>
      </c>
      <c r="F66" s="14" t="s">
        <v>28</v>
      </c>
      <c r="G66" s="13"/>
      <c r="H66" s="14">
        <v>0</v>
      </c>
      <c r="I66" s="13">
        <v>0</v>
      </c>
      <c r="J66" s="15">
        <v>100</v>
      </c>
      <c r="K66" s="13"/>
      <c r="L66" s="13"/>
      <c r="M66" s="13"/>
      <c r="N66" s="13"/>
      <c r="AD66" s="98">
        <v>44989</v>
      </c>
      <c r="AE66" s="99">
        <v>81.902299999999997</v>
      </c>
      <c r="AG66" s="190">
        <v>46966</v>
      </c>
      <c r="AH66" s="32">
        <v>0.06</v>
      </c>
      <c r="AI66">
        <f>(1+AH66)^(1/31)</f>
        <v>1.0018814098322764</v>
      </c>
    </row>
    <row r="67" spans="1:35" ht="15" thickBot="1" x14ac:dyDescent="0.2">
      <c r="A67" s="43" t="s">
        <v>91</v>
      </c>
      <c r="B67" s="213">
        <f ca="1">_xlfn.XLOOKUP(TODAY()+2-14,AD59:AD4505,AE59:AE4505)</f>
        <v>108.0095</v>
      </c>
      <c r="C67" s="214" t="s">
        <v>14</v>
      </c>
      <c r="D67" s="219">
        <f ca="1">D60*_xlfn.XLOOKUP(B61+2-14,$AD$4:$AD$6450,$AE$4:$AE$6450)/B66</f>
        <v>815.84741246939416</v>
      </c>
      <c r="F67" s="14" t="s">
        <v>92</v>
      </c>
      <c r="G67" s="13"/>
      <c r="H67" s="14">
        <f ca="1">IF($H61&gt;=0,H64+H66,0)</f>
        <v>0</v>
      </c>
      <c r="I67" s="13">
        <f ca="1">IF(I61&gt;=0,I64+I66,0)</f>
        <v>0</v>
      </c>
      <c r="J67" s="15">
        <f ca="1">IF(J61&gt;=0,J64+J66,0)</f>
        <v>100.77500000000001</v>
      </c>
      <c r="K67" s="13"/>
      <c r="L67" s="13"/>
      <c r="M67" s="13"/>
      <c r="N67" s="13"/>
      <c r="AD67" s="98">
        <v>44990</v>
      </c>
      <c r="AE67" s="99">
        <v>82.072900000000004</v>
      </c>
      <c r="AG67" s="190">
        <v>46997</v>
      </c>
      <c r="AH67" s="32">
        <v>0.06</v>
      </c>
      <c r="AI67">
        <f>(1+AH67)^(1/30)</f>
        <v>1.0019441844179806</v>
      </c>
    </row>
    <row r="68" spans="1:35" ht="15" thickBot="1" x14ac:dyDescent="0.2">
      <c r="A68" s="50" t="s">
        <v>93</v>
      </c>
      <c r="B68" s="189">
        <f ca="1">B67/B66*100</f>
        <v>403.75119152197072</v>
      </c>
      <c r="C68" s="182" t="s">
        <v>94</v>
      </c>
      <c r="D68" s="227">
        <f ca="1">XIRR(G73:N73,G60:N60)</f>
        <v>1.1646249175071719</v>
      </c>
      <c r="F68" s="104" t="s">
        <v>95</v>
      </c>
      <c r="G68" s="203"/>
      <c r="H68" s="104">
        <f ca="1">H67/(1+$B60)^((H60-$B61)/365)</f>
        <v>0</v>
      </c>
      <c r="I68" s="203">
        <f ca="1">I67/(1+$B60)^((I60-$B61)/365)</f>
        <v>0</v>
      </c>
      <c r="J68" s="105">
        <f ca="1">J67/(1+$B60)^((J60-$B61)/365)</f>
        <v>100.27657718997555</v>
      </c>
      <c r="L68" s="89"/>
      <c r="M68" s="89"/>
      <c r="N68" s="89"/>
      <c r="AD68" s="98">
        <v>44991</v>
      </c>
      <c r="AE68" s="99">
        <v>82.243899999999996</v>
      </c>
      <c r="AG68" s="190">
        <v>47027</v>
      </c>
      <c r="AH68" s="32">
        <v>0.06</v>
      </c>
      <c r="AI68">
        <f>(1+AH68)^(1/31)</f>
        <v>1.0018814098322764</v>
      </c>
    </row>
    <row r="69" spans="1:35" ht="15" thickBot="1" x14ac:dyDescent="0.2">
      <c r="A69" s="50" t="s">
        <v>96</v>
      </c>
      <c r="C69" s="182"/>
      <c r="D69" s="186"/>
      <c r="AD69" s="98">
        <v>44992</v>
      </c>
      <c r="AE69" s="99">
        <v>82.415199999999999</v>
      </c>
      <c r="AG69" s="190">
        <v>47058</v>
      </c>
      <c r="AH69" s="32">
        <v>0.06</v>
      </c>
      <c r="AI69">
        <f t="shared" ref="AI69:AI94" si="9">(1+AH69)^(1/30)</f>
        <v>1.0019441844179806</v>
      </c>
    </row>
    <row r="70" spans="1:35" ht="15" thickBot="1" x14ac:dyDescent="0.2">
      <c r="A70" s="50" t="s">
        <v>97</v>
      </c>
      <c r="B70" s="31">
        <v>45376</v>
      </c>
      <c r="C70" s="182"/>
      <c r="D70" s="186"/>
      <c r="F70" s="204" t="s">
        <v>57</v>
      </c>
      <c r="AD70" s="98">
        <v>44993</v>
      </c>
      <c r="AE70" s="99">
        <v>82.5869</v>
      </c>
      <c r="AG70" s="190">
        <v>47088</v>
      </c>
      <c r="AH70" s="32">
        <v>0.06</v>
      </c>
      <c r="AI70">
        <f>(1+AH70)^(1/31)</f>
        <v>1.0018814098322764</v>
      </c>
    </row>
    <row r="71" spans="1:35" ht="15" thickBot="1" x14ac:dyDescent="0.2">
      <c r="A71" s="50" t="s">
        <v>96</v>
      </c>
      <c r="F71" s="103" t="s">
        <v>87</v>
      </c>
      <c r="G71" s="103"/>
      <c r="H71" s="205">
        <f>H62/2*H74</f>
        <v>3.2488148328131126</v>
      </c>
      <c r="I71" s="205">
        <f>I62/2*I74</f>
        <v>4.6206367042320986</v>
      </c>
      <c r="J71" s="205">
        <f>J62/2*J74</f>
        <v>6.5592445698965669</v>
      </c>
      <c r="K71" s="205"/>
      <c r="L71" s="205"/>
      <c r="M71" s="205"/>
      <c r="N71" s="216"/>
      <c r="AD71" s="98">
        <v>44994</v>
      </c>
      <c r="AE71" s="99">
        <v>82.759</v>
      </c>
      <c r="AG71" s="190">
        <v>47119</v>
      </c>
      <c r="AH71" s="32">
        <v>0.06</v>
      </c>
      <c r="AI71">
        <f>(1+AH71)^(1/31)</f>
        <v>1.0018814098322764</v>
      </c>
    </row>
    <row r="72" spans="1:35" ht="15" thickBot="1" x14ac:dyDescent="0.2">
      <c r="B72" s="231"/>
      <c r="F72" s="14" t="s">
        <v>28</v>
      </c>
      <c r="G72" s="14"/>
      <c r="H72" s="222">
        <f>H66*_xlfn.XLOOKUP(H60+2-14,$AD$4:$AD$1450,$AE$4:$AE$1450)/$B66</f>
        <v>0</v>
      </c>
      <c r="I72" s="222">
        <f>I66*_xlfn.XLOOKUP(I60+2-14,$AD$4:$AD$1450,$AE$4:$AE$1450)/$B66</f>
        <v>0</v>
      </c>
      <c r="J72" s="222">
        <f>J66*_xlfn.XLOOKUP(J60+2-14,$AD$4:$AD$1450,$AE$4:$AE$1450)/$B66</f>
        <v>846.35413805116991</v>
      </c>
      <c r="K72" s="222"/>
      <c r="L72" s="222"/>
      <c r="M72" s="222"/>
      <c r="N72" s="222"/>
      <c r="AD72" s="98">
        <v>44995</v>
      </c>
      <c r="AE72" s="99">
        <v>82.931399999999996</v>
      </c>
      <c r="AG72" s="190">
        <v>47150</v>
      </c>
      <c r="AH72" s="32">
        <v>0.06</v>
      </c>
      <c r="AI72">
        <f>(1+AH72)^(1/28)</f>
        <v>1.0020831992838277</v>
      </c>
    </row>
    <row r="73" spans="1:35" ht="15" thickBot="1" x14ac:dyDescent="0.2">
      <c r="F73" s="14" t="s">
        <v>92</v>
      </c>
      <c r="G73" s="226">
        <f ca="1">-D67</f>
        <v>-815.84741246939416</v>
      </c>
      <c r="H73" s="220">
        <f ca="1">IF(H$61&gt;=0,H71+H72,0)</f>
        <v>0</v>
      </c>
      <c r="I73" s="220">
        <f t="shared" ref="I73:J73" ca="1" si="10">IF(I$61&gt;=0,I71+I72,0)</f>
        <v>0</v>
      </c>
      <c r="J73" s="220">
        <f t="shared" ca="1" si="10"/>
        <v>852.91338262106649</v>
      </c>
      <c r="K73" s="222"/>
      <c r="L73" s="222"/>
      <c r="M73" s="222"/>
      <c r="N73" s="223"/>
      <c r="AD73" s="98">
        <v>44996</v>
      </c>
      <c r="AE73" s="99">
        <v>83.104100000000003</v>
      </c>
      <c r="AG73" s="190">
        <v>47178</v>
      </c>
      <c r="AH73" s="32">
        <v>0.06</v>
      </c>
      <c r="AI73">
        <f>(1+AH73)^(1/31)</f>
        <v>1.0018814098322764</v>
      </c>
    </row>
    <row r="74" spans="1:35" ht="15" thickBot="1" x14ac:dyDescent="0.2">
      <c r="C74" s="31"/>
      <c r="F74" s="104" t="s">
        <v>89</v>
      </c>
      <c r="G74" s="104"/>
      <c r="H74" s="224">
        <f>H65*_xlfn.XLOOKUP(H60+2-14,$AD$4:$AD$2450,$AE$4:$AE$2450)/$B$66</f>
        <v>419.20191391136939</v>
      </c>
      <c r="I74" s="224">
        <f>I65*_xlfn.XLOOKUP(I60+2-14,$AD$4:$AD$2450,$AE$4:$AE$2450)/$B$66</f>
        <v>596.21118764285143</v>
      </c>
      <c r="J74" s="224">
        <f>J65*_xlfn.XLOOKUP(J60+2-14,$AD$4:$AD$2450,$AE$4:$AE$2450)/$B66</f>
        <v>846.35413805116991</v>
      </c>
      <c r="K74" s="224"/>
      <c r="L74" s="224"/>
      <c r="M74" s="224"/>
      <c r="N74" s="225"/>
      <c r="AD74" s="98">
        <v>44997</v>
      </c>
      <c r="AE74" s="99">
        <v>83.277199999999993</v>
      </c>
      <c r="AG74" s="190">
        <v>47209</v>
      </c>
      <c r="AH74" s="32">
        <v>0.06</v>
      </c>
      <c r="AI74">
        <f t="shared" si="9"/>
        <v>1.0019441844179806</v>
      </c>
    </row>
    <row r="75" spans="1:35" ht="15" thickBot="1" x14ac:dyDescent="0.2">
      <c r="AD75" s="98">
        <v>44998</v>
      </c>
      <c r="AE75" s="99">
        <v>83.450699999999998</v>
      </c>
      <c r="AG75" s="190">
        <v>47239</v>
      </c>
      <c r="AH75" s="32">
        <v>0.06</v>
      </c>
      <c r="AI75">
        <f>(1+AH75)^(1/31)</f>
        <v>1.0018814098322764</v>
      </c>
    </row>
    <row r="76" spans="1:35" ht="15" thickBot="1" x14ac:dyDescent="0.2">
      <c r="AD76" s="98">
        <v>44999</v>
      </c>
      <c r="AE76" s="99">
        <v>83.624600000000001</v>
      </c>
      <c r="AG76" s="190">
        <v>47270</v>
      </c>
      <c r="AH76" s="32">
        <v>0.06</v>
      </c>
      <c r="AI76">
        <f t="shared" si="9"/>
        <v>1.0019441844179806</v>
      </c>
    </row>
    <row r="77" spans="1:35" ht="15" thickBot="1" x14ac:dyDescent="0.2">
      <c r="AD77" s="98">
        <v>45000</v>
      </c>
      <c r="AE77" s="99">
        <v>83.7988</v>
      </c>
      <c r="AG77" s="190">
        <v>47300</v>
      </c>
      <c r="AH77" s="32">
        <v>0.06</v>
      </c>
      <c r="AI77">
        <f>(1+AH77)^(1/31)</f>
        <v>1.0018814098322764</v>
      </c>
    </row>
    <row r="78" spans="1:35" ht="21" thickBot="1" x14ac:dyDescent="0.25">
      <c r="F78" s="230" t="s">
        <v>45</v>
      </c>
      <c r="AD78" s="98">
        <v>45001</v>
      </c>
      <c r="AE78" s="99">
        <v>83.971699999999998</v>
      </c>
      <c r="AG78" s="190">
        <v>47331</v>
      </c>
      <c r="AH78" s="32">
        <v>0.06</v>
      </c>
      <c r="AI78">
        <f>(1+AH78)^(1/31)</f>
        <v>1.0018814098322764</v>
      </c>
    </row>
    <row r="79" spans="1:35" ht="17" thickBot="1" x14ac:dyDescent="0.25">
      <c r="A79" s="36" t="s">
        <v>75</v>
      </c>
      <c r="C79" s="36" t="s">
        <v>76</v>
      </c>
      <c r="AD79" s="98">
        <v>45002</v>
      </c>
      <c r="AE79" s="99">
        <v>84.144999999999996</v>
      </c>
      <c r="AG79" s="190">
        <v>47362</v>
      </c>
      <c r="AH79" s="32">
        <v>0.06</v>
      </c>
      <c r="AI79">
        <f t="shared" si="9"/>
        <v>1.0019441844179806</v>
      </c>
    </row>
    <row r="80" spans="1:35" ht="15" thickBot="1" x14ac:dyDescent="0.2">
      <c r="A80" s="44" t="s">
        <v>77</v>
      </c>
      <c r="B80" s="45">
        <f>'Monitor Bonos'!C46</f>
        <v>0.09</v>
      </c>
      <c r="C80" s="46" t="s">
        <v>11</v>
      </c>
      <c r="D80" s="47">
        <f ca="1">SUM(H88:Q88)</f>
        <v>99.596436144597376</v>
      </c>
      <c r="F80" s="191" t="s">
        <v>78</v>
      </c>
      <c r="G80" s="31">
        <f ca="1">B81</f>
        <v>45478</v>
      </c>
      <c r="H80" s="192">
        <v>45213</v>
      </c>
      <c r="I80" s="192">
        <v>45396</v>
      </c>
      <c r="J80" s="192">
        <v>45579</v>
      </c>
      <c r="K80" s="193"/>
      <c r="L80" s="193"/>
      <c r="M80" s="193"/>
      <c r="N80" s="194"/>
      <c r="AD80" s="98">
        <v>45003</v>
      </c>
      <c r="AE80" s="99">
        <v>84.318700000000007</v>
      </c>
      <c r="AG80" s="190">
        <v>47392</v>
      </c>
      <c r="AH80" s="32">
        <v>0.06</v>
      </c>
      <c r="AI80">
        <f>(1+AH80)^(1/31)</f>
        <v>1.0018814098322764</v>
      </c>
    </row>
    <row r="81" spans="1:35" ht="15" thickBot="1" x14ac:dyDescent="0.2">
      <c r="A81" s="180" t="s">
        <v>79</v>
      </c>
      <c r="B81" s="181">
        <f ca="1">'Monitor Bonos'!$C$7</f>
        <v>45478</v>
      </c>
      <c r="C81" s="182" t="s">
        <v>80</v>
      </c>
      <c r="D81" s="183">
        <f ca="1">+B85*((B81-B84)/(B83-B84))/2</f>
        <v>2.4480874316939891</v>
      </c>
      <c r="F81" s="130" t="s">
        <v>81</v>
      </c>
      <c r="H81" s="195">
        <f ca="1">+(H80-$B$81)/365</f>
        <v>-0.72602739726027399</v>
      </c>
      <c r="I81" s="196">
        <f ca="1">+(I80-$B$81)/365</f>
        <v>-0.22465753424657534</v>
      </c>
      <c r="J81" s="196">
        <f ca="1">+(J80-$B$81)/365</f>
        <v>0.27671232876712326</v>
      </c>
      <c r="K81" s="196"/>
      <c r="L81" s="196"/>
      <c r="M81" s="196"/>
      <c r="N81" s="197"/>
      <c r="AD81" s="98">
        <v>45004</v>
      </c>
      <c r="AE81" s="99">
        <v>84.492699999999999</v>
      </c>
      <c r="AG81" s="190">
        <v>47423</v>
      </c>
      <c r="AH81" s="32">
        <v>0.06</v>
      </c>
      <c r="AI81">
        <f t="shared" si="9"/>
        <v>1.0019441844179806</v>
      </c>
    </row>
    <row r="82" spans="1:35" ht="15" thickBot="1" x14ac:dyDescent="0.2">
      <c r="A82" s="184" t="s">
        <v>82</v>
      </c>
      <c r="B82" s="185">
        <v>100</v>
      </c>
      <c r="C82" s="182" t="s">
        <v>83</v>
      </c>
      <c r="D82" s="186"/>
      <c r="F82" s="132" t="s">
        <v>29</v>
      </c>
      <c r="H82" s="232">
        <v>0.04</v>
      </c>
      <c r="I82" s="232">
        <v>0.04</v>
      </c>
      <c r="J82" s="232">
        <v>0.04</v>
      </c>
      <c r="K82" s="199"/>
      <c r="L82" s="199"/>
      <c r="M82" s="199"/>
      <c r="N82" s="200"/>
      <c r="AD82" s="98">
        <v>45005</v>
      </c>
      <c r="AE82" s="99">
        <v>84.667100000000005</v>
      </c>
      <c r="AG82" s="190">
        <v>47453</v>
      </c>
      <c r="AH82" s="32">
        <v>0.06</v>
      </c>
      <c r="AI82">
        <f>(1+AH82)^(1/31)</f>
        <v>1.0018814098322764</v>
      </c>
    </row>
    <row r="83" spans="1:35" ht="15" thickBot="1" x14ac:dyDescent="0.2">
      <c r="A83" s="184" t="s">
        <v>84</v>
      </c>
      <c r="B83" s="181">
        <f>H80</f>
        <v>45213</v>
      </c>
      <c r="C83" s="182" t="s">
        <v>85</v>
      </c>
      <c r="D83" s="186"/>
      <c r="F83" s="201" t="s">
        <v>56</v>
      </c>
      <c r="AD83" s="98">
        <v>45006</v>
      </c>
      <c r="AE83" s="99">
        <v>84.841800000000006</v>
      </c>
      <c r="AG83" s="190">
        <v>47484</v>
      </c>
      <c r="AH83" s="32">
        <v>0.06</v>
      </c>
      <c r="AI83">
        <f>(1+AH83)^(1/31)</f>
        <v>1.0018814098322764</v>
      </c>
    </row>
    <row r="84" spans="1:35" ht="15" thickBot="1" x14ac:dyDescent="0.2">
      <c r="A84" s="184" t="s">
        <v>86</v>
      </c>
      <c r="B84" s="181">
        <v>45030</v>
      </c>
      <c r="C84" s="182" t="s">
        <v>13</v>
      </c>
      <c r="D84" s="186"/>
      <c r="F84" s="13" t="s">
        <v>87</v>
      </c>
      <c r="G84" s="13"/>
      <c r="H84" s="13">
        <f>H82*H85/2</f>
        <v>2</v>
      </c>
      <c r="I84" s="13">
        <f>I82*I85/2</f>
        <v>2</v>
      </c>
      <c r="J84" s="13">
        <f>J82*J85/2</f>
        <v>2</v>
      </c>
      <c r="K84" s="13"/>
      <c r="L84" s="13"/>
      <c r="M84" s="13"/>
      <c r="N84" s="13"/>
      <c r="AD84" s="98">
        <v>45007</v>
      </c>
      <c r="AE84" s="99">
        <v>85.016900000000007</v>
      </c>
      <c r="AG84" s="190">
        <v>47515</v>
      </c>
      <c r="AH84" s="32">
        <v>0.06</v>
      </c>
      <c r="AI84">
        <f>(1+AH84)^(1/28)</f>
        <v>1.0020831992838277</v>
      </c>
    </row>
    <row r="85" spans="1:35" ht="15" thickBot="1" x14ac:dyDescent="0.2">
      <c r="A85" s="184" t="s">
        <v>88</v>
      </c>
      <c r="B85" s="187">
        <f>H82*100/2</f>
        <v>2</v>
      </c>
      <c r="F85" s="13" t="s">
        <v>89</v>
      </c>
      <c r="G85" s="13"/>
      <c r="H85" s="13">
        <v>100</v>
      </c>
      <c r="I85" s="13">
        <v>100</v>
      </c>
      <c r="J85" s="13">
        <v>100</v>
      </c>
      <c r="K85" s="13"/>
      <c r="L85" s="13"/>
      <c r="M85" s="13"/>
      <c r="N85" s="13"/>
      <c r="AD85" s="98">
        <v>45008</v>
      </c>
      <c r="AE85" s="99">
        <v>85.192400000000006</v>
      </c>
      <c r="AG85" s="190">
        <v>47543</v>
      </c>
      <c r="AH85" s="32">
        <v>0.06</v>
      </c>
      <c r="AI85">
        <f>(1+AH85)^(1/31)</f>
        <v>1.0018814098322764</v>
      </c>
    </row>
    <row r="86" spans="1:35" ht="15" thickBot="1" x14ac:dyDescent="0.2">
      <c r="A86" s="184" t="s">
        <v>90</v>
      </c>
      <c r="B86" s="188">
        <v>81.223399999999998</v>
      </c>
      <c r="C86" s="218" t="s">
        <v>57</v>
      </c>
      <c r="F86" s="13" t="s">
        <v>28</v>
      </c>
      <c r="G86" s="13"/>
      <c r="H86" s="13">
        <v>0</v>
      </c>
      <c r="I86" s="13">
        <v>0</v>
      </c>
      <c r="J86" s="13">
        <v>100</v>
      </c>
      <c r="K86" s="13"/>
      <c r="L86" s="13"/>
      <c r="M86" s="13"/>
      <c r="N86" s="13"/>
      <c r="AD86" s="98">
        <v>45009</v>
      </c>
      <c r="AE86" s="99">
        <v>85.368200000000002</v>
      </c>
      <c r="AG86" s="190">
        <v>47574</v>
      </c>
      <c r="AH86" s="32">
        <v>0.06</v>
      </c>
      <c r="AI86">
        <f>(1+AH86)^(1/30)</f>
        <v>1.0019441844179806</v>
      </c>
    </row>
    <row r="87" spans="1:35" ht="15" thickBot="1" x14ac:dyDescent="0.2">
      <c r="A87" s="43" t="s">
        <v>91</v>
      </c>
      <c r="B87" s="213">
        <f ca="1">_xlfn.XLOOKUP(TODAY()+2-14,AD79:AD4525,AE79:AE4525)</f>
        <v>108.0095</v>
      </c>
      <c r="C87" s="214" t="s">
        <v>14</v>
      </c>
      <c r="D87" s="219">
        <f ca="1">D80*_xlfn.XLOOKUP(B81+2-14,$AD$4:$AD$6450,$AE$4:$AE$6450)/B86</f>
        <v>266.88256991206572</v>
      </c>
      <c r="F87" s="13" t="s">
        <v>92</v>
      </c>
      <c r="G87" s="13"/>
      <c r="H87" s="13">
        <f ca="1">IF($H81&gt;=0,H84+H86,0)</f>
        <v>0</v>
      </c>
      <c r="I87" s="13">
        <f ca="1">IF(I81&gt;=0,I84+I86,0)</f>
        <v>0</v>
      </c>
      <c r="J87" s="13">
        <f ca="1">IF(J81&gt;=0,J84+J86,0)</f>
        <v>102</v>
      </c>
      <c r="K87" s="13"/>
      <c r="L87" s="13"/>
      <c r="M87" s="13"/>
      <c r="N87" s="13"/>
      <c r="AD87" s="98">
        <v>45010</v>
      </c>
      <c r="AE87" s="99">
        <v>85.544399999999996</v>
      </c>
      <c r="AG87" s="190">
        <v>47604</v>
      </c>
      <c r="AH87" s="32">
        <v>0.06</v>
      </c>
      <c r="AI87">
        <f>(1+AH87)^(1/31)</f>
        <v>1.0018814098322764</v>
      </c>
    </row>
    <row r="88" spans="1:35" ht="15" thickBot="1" x14ac:dyDescent="0.2">
      <c r="A88" s="50" t="s">
        <v>93</v>
      </c>
      <c r="B88" s="189">
        <f ca="1">B87/B86*100</f>
        <v>132.97830428177102</v>
      </c>
      <c r="C88" s="182" t="s">
        <v>94</v>
      </c>
      <c r="D88" s="227">
        <f ca="1">XIRR(G93:N93,G80:N80)</f>
        <v>1.1798722863197331</v>
      </c>
      <c r="F88" s="13" t="s">
        <v>95</v>
      </c>
      <c r="G88" s="215"/>
      <c r="H88" s="215">
        <f ca="1">H87/(1+$B80)^((H80-$B81)/365)</f>
        <v>0</v>
      </c>
      <c r="I88" s="215">
        <f ca="1">I87/(1+$B80)^((I80-$B81)/365)</f>
        <v>0</v>
      </c>
      <c r="J88" s="215">
        <f ca="1">J87/(1+$B80)^((J80-$B81)/365)</f>
        <v>99.596436144597376</v>
      </c>
      <c r="L88" s="89"/>
      <c r="M88" s="89"/>
      <c r="N88" s="89"/>
      <c r="AD88" s="98">
        <v>45011</v>
      </c>
      <c r="AE88" s="99">
        <v>85.721000000000004</v>
      </c>
      <c r="AG88" s="190">
        <v>47635</v>
      </c>
      <c r="AH88" s="32">
        <v>0.06</v>
      </c>
      <c r="AI88">
        <f t="shared" si="9"/>
        <v>1.0019441844179806</v>
      </c>
    </row>
    <row r="89" spans="1:35" ht="15" thickBot="1" x14ac:dyDescent="0.2">
      <c r="A89" s="50" t="s">
        <v>96</v>
      </c>
      <c r="C89" s="182"/>
      <c r="D89" s="186"/>
      <c r="AD89" s="98">
        <v>45012</v>
      </c>
      <c r="AE89" s="99">
        <v>85.897900000000007</v>
      </c>
      <c r="AG89" s="190">
        <v>47665</v>
      </c>
      <c r="AH89" s="32">
        <v>0.06</v>
      </c>
      <c r="AI89">
        <f t="shared" si="9"/>
        <v>1.0019441844179806</v>
      </c>
    </row>
    <row r="90" spans="1:35" ht="15" thickBot="1" x14ac:dyDescent="0.2">
      <c r="A90" s="50" t="s">
        <v>97</v>
      </c>
      <c r="B90" s="31">
        <v>45579</v>
      </c>
      <c r="C90" s="182"/>
      <c r="D90" s="186"/>
      <c r="F90" s="204" t="s">
        <v>57</v>
      </c>
      <c r="AD90" s="98">
        <v>45013</v>
      </c>
      <c r="AE90" s="99">
        <v>86.075199999999995</v>
      </c>
      <c r="AG90" s="190">
        <v>47696</v>
      </c>
      <c r="AH90" s="32">
        <v>0.06</v>
      </c>
      <c r="AI90">
        <f t="shared" si="9"/>
        <v>1.0019441844179806</v>
      </c>
    </row>
    <row r="91" spans="1:35" ht="15" thickBot="1" x14ac:dyDescent="0.2">
      <c r="A91" s="50" t="s">
        <v>96</v>
      </c>
      <c r="F91" s="103" t="s">
        <v>87</v>
      </c>
      <c r="G91" s="103"/>
      <c r="H91" s="205">
        <f>H82/2*H94</f>
        <v>3.2176599649855353</v>
      </c>
      <c r="I91" s="205">
        <f>I82/2*I94</f>
        <v>4.572858568479039</v>
      </c>
      <c r="J91" s="205">
        <f>J82/2*J94</f>
        <v>6.4922925109105485</v>
      </c>
      <c r="K91" s="205"/>
      <c r="L91" s="205"/>
      <c r="M91" s="205"/>
      <c r="N91" s="216"/>
      <c r="AD91" s="98">
        <v>45014</v>
      </c>
      <c r="AE91" s="99">
        <v>86.252799999999993</v>
      </c>
      <c r="AG91" s="190">
        <v>47727</v>
      </c>
      <c r="AH91" s="32">
        <v>0.06</v>
      </c>
      <c r="AI91">
        <f t="shared" si="9"/>
        <v>1.0019441844179806</v>
      </c>
    </row>
    <row r="92" spans="1:35" ht="15" thickBot="1" x14ac:dyDescent="0.2">
      <c r="B92" s="231"/>
      <c r="F92" s="14" t="s">
        <v>28</v>
      </c>
      <c r="G92" s="14"/>
      <c r="H92" s="222">
        <f>H86*_xlfn.XLOOKUP(H80+2-14,$AD$4:$AD$1450,$AE$4:$AE$1450)/$B$86</f>
        <v>0</v>
      </c>
      <c r="I92" s="222">
        <f>I86*_xlfn.XLOOKUP(I80+2-14,$AD$4:$AD$1450,$AE$4:$AE$1450)/$B86</f>
        <v>0</v>
      </c>
      <c r="J92" s="222">
        <f>J86*_xlfn.XLOOKUP(J80+2-14,$AD$4:$AD$1450,$AE$4:$AE$1450)/$B86</f>
        <v>324.61462554552742</v>
      </c>
      <c r="K92" s="222"/>
      <c r="L92" s="222"/>
      <c r="M92" s="222"/>
      <c r="N92" s="222"/>
      <c r="AD92" s="98">
        <v>45015</v>
      </c>
      <c r="AE92" s="99">
        <v>86.430800000000005</v>
      </c>
      <c r="AG92" s="190">
        <v>47757</v>
      </c>
      <c r="AH92" s="32">
        <v>0.06</v>
      </c>
      <c r="AI92">
        <f t="shared" si="9"/>
        <v>1.0019441844179806</v>
      </c>
    </row>
    <row r="93" spans="1:35" ht="15" thickBot="1" x14ac:dyDescent="0.2">
      <c r="F93" s="14" t="s">
        <v>92</v>
      </c>
      <c r="G93" s="226">
        <f ca="1">-D87</f>
        <v>-266.88256991206572</v>
      </c>
      <c r="H93" s="220">
        <f ca="1">IF(H81&gt;=0,H91+H92,0)</f>
        <v>0</v>
      </c>
      <c r="I93" s="220">
        <f t="shared" ref="I93:J93" ca="1" si="11">IF(I81&gt;=0,I91+I92,0)</f>
        <v>0</v>
      </c>
      <c r="J93" s="220">
        <f t="shared" ca="1" si="11"/>
        <v>331.10691805643796</v>
      </c>
      <c r="K93" s="222"/>
      <c r="L93" s="222"/>
      <c r="M93" s="222"/>
      <c r="N93" s="223"/>
      <c r="AD93" s="98">
        <v>45016</v>
      </c>
      <c r="AE93" s="99">
        <v>86.609200000000001</v>
      </c>
      <c r="AG93" s="190">
        <v>47788</v>
      </c>
      <c r="AH93" s="32">
        <v>0.06</v>
      </c>
      <c r="AI93">
        <f t="shared" si="9"/>
        <v>1.0019441844179806</v>
      </c>
    </row>
    <row r="94" spans="1:35" ht="15" thickBot="1" x14ac:dyDescent="0.2">
      <c r="C94" s="31"/>
      <c r="F94" s="104" t="s">
        <v>89</v>
      </c>
      <c r="G94" s="104"/>
      <c r="H94" s="224">
        <f>H85*_xlfn.XLOOKUP(H80+2-14,$AD$4:$AD$2450,$AE$4:$AE$2450)/$B86</f>
        <v>160.88299824927677</v>
      </c>
      <c r="I94" s="224">
        <f>I85*_xlfn.XLOOKUP(I80+2-14,$AD$4:$AD$2450,$AE$4:$AE$2450)/$B86</f>
        <v>228.64292842395193</v>
      </c>
      <c r="J94" s="224">
        <f>J85*_xlfn.XLOOKUP(J80+2-14,$AD$4:$AD$2450,$AE$4:$AE$2450)/$B86</f>
        <v>324.61462554552742</v>
      </c>
      <c r="K94" s="224"/>
      <c r="L94" s="224"/>
      <c r="M94" s="224"/>
      <c r="N94" s="225"/>
      <c r="AD94" s="98">
        <v>45017</v>
      </c>
      <c r="AE94" s="99">
        <v>86.787899999999993</v>
      </c>
      <c r="AG94" s="190">
        <v>47818</v>
      </c>
      <c r="AH94" s="32">
        <v>0.06</v>
      </c>
      <c r="AI94">
        <f t="shared" si="9"/>
        <v>1.0019441844179806</v>
      </c>
    </row>
    <row r="95" spans="1:35" ht="15" thickBot="1" x14ac:dyDescent="0.2">
      <c r="AD95" s="98">
        <v>45018</v>
      </c>
      <c r="AE95" s="99">
        <v>86.967100000000002</v>
      </c>
      <c r="AG95" s="209">
        <v>2031</v>
      </c>
      <c r="AH95" s="32">
        <f>'Monitor Bonos'!$CP$6</f>
        <v>0.2</v>
      </c>
      <c r="AI95">
        <f>(1+AH95)^(1/365)</f>
        <v>1.0004996358909557</v>
      </c>
    </row>
    <row r="96" spans="1:35" ht="21" thickBot="1" x14ac:dyDescent="0.25">
      <c r="F96" s="230" t="s">
        <v>46</v>
      </c>
      <c r="AD96" s="98">
        <v>45019</v>
      </c>
      <c r="AE96" s="99">
        <v>87.146500000000003</v>
      </c>
      <c r="AG96" s="209">
        <f>AG95+1</f>
        <v>2032</v>
      </c>
      <c r="AH96" s="32">
        <f>'Monitor Bonos'!$CQ$6</f>
        <v>0.2</v>
      </c>
      <c r="AI96">
        <f t="shared" ref="AI96:AI109" si="12">(1+AH96)^(1/365)</f>
        <v>1.0004996358909557</v>
      </c>
    </row>
    <row r="97" spans="1:35" ht="17" thickBot="1" x14ac:dyDescent="0.25">
      <c r="A97" s="36" t="s">
        <v>75</v>
      </c>
      <c r="C97" s="36" t="s">
        <v>76</v>
      </c>
      <c r="AD97" s="98">
        <v>45020</v>
      </c>
      <c r="AE97" s="99">
        <v>87.326400000000007</v>
      </c>
      <c r="AG97" s="209">
        <f t="shared" ref="AG97:AG112" si="13">AG96+1</f>
        <v>2033</v>
      </c>
      <c r="AH97" s="32">
        <f>'Monitor Bonos'!$CR$6</f>
        <v>0.2</v>
      </c>
      <c r="AI97">
        <f t="shared" si="12"/>
        <v>1.0004996358909557</v>
      </c>
    </row>
    <row r="98" spans="1:35" ht="15" thickBot="1" x14ac:dyDescent="0.2">
      <c r="A98" s="44" t="s">
        <v>77</v>
      </c>
      <c r="B98" s="45">
        <f>'Monitor Bonos'!C47</f>
        <v>0.09</v>
      </c>
      <c r="C98" s="46" t="s">
        <v>11</v>
      </c>
      <c r="D98" s="47">
        <f ca="1">SUM(H106:Q106)</f>
        <v>98.31581758225181</v>
      </c>
      <c r="F98" s="191" t="s">
        <v>78</v>
      </c>
      <c r="G98" s="31">
        <f ca="1">B99</f>
        <v>45478</v>
      </c>
      <c r="H98" s="192">
        <v>45273</v>
      </c>
      <c r="I98" s="192">
        <v>45456</v>
      </c>
      <c r="J98" s="192">
        <v>45639</v>
      </c>
      <c r="K98" s="193"/>
      <c r="L98" s="193"/>
      <c r="M98" s="193"/>
      <c r="N98" s="194"/>
      <c r="AD98" s="98">
        <v>45021</v>
      </c>
      <c r="AE98" s="99">
        <v>87.506600000000006</v>
      </c>
      <c r="AG98" s="209">
        <f t="shared" si="13"/>
        <v>2034</v>
      </c>
      <c r="AH98" s="32">
        <f>'Monitor Bonos'!$CS$6</f>
        <v>0.2</v>
      </c>
      <c r="AI98">
        <f t="shared" si="12"/>
        <v>1.0004996358909557</v>
      </c>
    </row>
    <row r="99" spans="1:35" ht="15" thickBot="1" x14ac:dyDescent="0.2">
      <c r="A99" s="180" t="s">
        <v>79</v>
      </c>
      <c r="B99" s="181">
        <f ca="1">'Monitor Bonos'!$C$7</f>
        <v>45478</v>
      </c>
      <c r="C99" s="182" t="s">
        <v>80</v>
      </c>
      <c r="D99" s="183">
        <f ca="1">+B103*((B99-B102)/(B101-B102))/2</f>
        <v>1.9588477366255144</v>
      </c>
      <c r="F99" s="130" t="s">
        <v>81</v>
      </c>
      <c r="H99" s="196">
        <f t="shared" ref="H99:I99" ca="1" si="14">+(H98-$B$99)/365</f>
        <v>-0.56164383561643838</v>
      </c>
      <c r="I99" s="196">
        <f t="shared" ca="1" si="14"/>
        <v>-6.0273972602739728E-2</v>
      </c>
      <c r="J99" s="196">
        <f ca="1">+(J98-$B$99)/365</f>
        <v>0.44109589041095892</v>
      </c>
      <c r="K99" s="196"/>
      <c r="L99" s="196"/>
      <c r="M99" s="196"/>
      <c r="N99" s="197"/>
      <c r="AD99" s="98">
        <v>45022</v>
      </c>
      <c r="AE99" s="99">
        <v>87.687200000000004</v>
      </c>
      <c r="AG99" s="209">
        <f t="shared" si="13"/>
        <v>2035</v>
      </c>
      <c r="AH99" s="32">
        <f>'Monitor Bonos'!$CT$6</f>
        <v>0.2</v>
      </c>
      <c r="AI99">
        <f t="shared" si="12"/>
        <v>1.0004996358909557</v>
      </c>
    </row>
    <row r="100" spans="1:35" ht="15" thickBot="1" x14ac:dyDescent="0.2">
      <c r="A100" s="184" t="s">
        <v>82</v>
      </c>
      <c r="B100" s="185">
        <v>100</v>
      </c>
      <c r="C100" s="182" t="s">
        <v>83</v>
      </c>
      <c r="D100" s="186"/>
      <c r="F100" s="132" t="s">
        <v>29</v>
      </c>
      <c r="H100" s="232">
        <v>4.2500000000000003E-2</v>
      </c>
      <c r="I100" s="232">
        <v>4.2500000000000003E-2</v>
      </c>
      <c r="J100" s="232">
        <v>4.2500000000000003E-2</v>
      </c>
      <c r="K100" s="199"/>
      <c r="L100" s="199"/>
      <c r="M100" s="199"/>
      <c r="N100" s="200"/>
      <c r="AD100" s="98">
        <v>45023</v>
      </c>
      <c r="AE100" s="99">
        <v>87.868200000000002</v>
      </c>
      <c r="AG100" s="209">
        <f t="shared" si="13"/>
        <v>2036</v>
      </c>
      <c r="AH100" s="32">
        <f>'Monitor Bonos'!$CU$6</f>
        <v>0.2</v>
      </c>
      <c r="AI100">
        <f t="shared" si="12"/>
        <v>1.0004996358909557</v>
      </c>
    </row>
    <row r="101" spans="1:35" ht="15" thickBot="1" x14ac:dyDescent="0.2">
      <c r="A101" s="184" t="s">
        <v>84</v>
      </c>
      <c r="B101" s="181">
        <f>H98</f>
        <v>45273</v>
      </c>
      <c r="C101" s="182" t="s">
        <v>85</v>
      </c>
      <c r="D101" s="186"/>
      <c r="F101" s="201" t="s">
        <v>56</v>
      </c>
      <c r="AD101" s="98">
        <v>45024</v>
      </c>
      <c r="AE101" s="99">
        <v>88.049599999999998</v>
      </c>
      <c r="AG101" s="209">
        <f t="shared" si="13"/>
        <v>2037</v>
      </c>
      <c r="AH101" s="32">
        <f>'Monitor Bonos'!$CV$6</f>
        <v>0.2</v>
      </c>
      <c r="AI101">
        <f t="shared" si="12"/>
        <v>1.0004996358909557</v>
      </c>
    </row>
    <row r="102" spans="1:35" ht="15" thickBot="1" x14ac:dyDescent="0.2">
      <c r="A102" s="184" t="s">
        <v>86</v>
      </c>
      <c r="B102" s="181">
        <v>45030</v>
      </c>
      <c r="C102" s="182" t="s">
        <v>13</v>
      </c>
      <c r="D102" s="186"/>
      <c r="F102" s="13" t="s">
        <v>87</v>
      </c>
      <c r="G102" s="13"/>
      <c r="H102" s="13">
        <f>H100*H103/2</f>
        <v>2.125</v>
      </c>
      <c r="I102" s="13">
        <f>I100*I103/2</f>
        <v>2.125</v>
      </c>
      <c r="J102" s="13">
        <f>J100*J103/2</f>
        <v>2.125</v>
      </c>
      <c r="K102" s="13"/>
      <c r="L102" s="13"/>
      <c r="M102" s="13"/>
      <c r="N102" s="13"/>
      <c r="AD102" s="98">
        <v>45025</v>
      </c>
      <c r="AE102" s="99">
        <v>88.231300000000005</v>
      </c>
      <c r="AG102" s="209">
        <f t="shared" si="13"/>
        <v>2038</v>
      </c>
      <c r="AH102" s="32">
        <f>'Monitor Bonos'!$CW$6</f>
        <v>0.2</v>
      </c>
      <c r="AI102">
        <f t="shared" si="12"/>
        <v>1.0004996358909557</v>
      </c>
    </row>
    <row r="103" spans="1:35" ht="15" thickBot="1" x14ac:dyDescent="0.2">
      <c r="A103" s="184" t="s">
        <v>88</v>
      </c>
      <c r="B103" s="187">
        <f>H100*100/2</f>
        <v>2.125</v>
      </c>
      <c r="F103" s="13" t="s">
        <v>89</v>
      </c>
      <c r="G103" s="13"/>
      <c r="H103" s="13">
        <v>100</v>
      </c>
      <c r="I103" s="13">
        <f>H103-H104</f>
        <v>100</v>
      </c>
      <c r="J103" s="13">
        <f>I103-I104</f>
        <v>100</v>
      </c>
      <c r="K103" s="13"/>
      <c r="L103" s="13"/>
      <c r="M103" s="13"/>
      <c r="N103" s="13"/>
      <c r="AD103" s="98">
        <v>45026</v>
      </c>
      <c r="AE103" s="99">
        <v>88.413399999999996</v>
      </c>
      <c r="AG103" s="209">
        <f t="shared" si="13"/>
        <v>2039</v>
      </c>
      <c r="AH103" s="32">
        <f>'Monitor Bonos'!$CX$6</f>
        <v>0.2</v>
      </c>
      <c r="AI103">
        <f t="shared" si="12"/>
        <v>1.0004996358909557</v>
      </c>
    </row>
    <row r="104" spans="1:35" ht="15" thickBot="1" x14ac:dyDescent="0.2">
      <c r="A104" s="184" t="s">
        <v>90</v>
      </c>
      <c r="B104" s="188">
        <v>100.0369</v>
      </c>
      <c r="C104" s="218" t="s">
        <v>57</v>
      </c>
      <c r="F104" s="13" t="s">
        <v>28</v>
      </c>
      <c r="G104" s="13"/>
      <c r="H104" s="148">
        <v>0</v>
      </c>
      <c r="I104" s="148">
        <v>0</v>
      </c>
      <c r="J104" s="148">
        <v>100</v>
      </c>
      <c r="K104" s="13"/>
      <c r="L104" s="13"/>
      <c r="M104" s="13"/>
      <c r="N104" s="13"/>
      <c r="AD104" s="98">
        <v>45027</v>
      </c>
      <c r="AE104" s="99">
        <v>88.595799999999997</v>
      </c>
      <c r="AG104" s="209">
        <f t="shared" si="13"/>
        <v>2040</v>
      </c>
      <c r="AH104" s="32">
        <f>'Monitor Bonos'!$CY$6</f>
        <v>0.2</v>
      </c>
      <c r="AI104">
        <f t="shared" si="12"/>
        <v>1.0004996358909557</v>
      </c>
    </row>
    <row r="105" spans="1:35" ht="15" thickBot="1" x14ac:dyDescent="0.2">
      <c r="A105" s="43" t="s">
        <v>91</v>
      </c>
      <c r="B105" s="213">
        <f ca="1">_xlfn.XLOOKUP(TODAY()+2-14,AD97:AD4543,AE97:AE4543)</f>
        <v>108.0095</v>
      </c>
      <c r="C105" s="214" t="s">
        <v>14</v>
      </c>
      <c r="D105" s="219">
        <f ca="1">D98*_xlfn.XLOOKUP(B99+2-14,$AD$4:$AD$6450,$AE$4:$AE$6450)/B104</f>
        <v>213.90490709852878</v>
      </c>
      <c r="F105" s="13" t="s">
        <v>92</v>
      </c>
      <c r="G105" s="13"/>
      <c r="H105" s="13">
        <f ca="1">IF($H99&gt;=0,H102+H104,0)</f>
        <v>0</v>
      </c>
      <c r="I105" s="13">
        <f ca="1">IF(I99&gt;=0,I102+I104,0)</f>
        <v>0</v>
      </c>
      <c r="J105" s="13">
        <f ca="1">IF(J99&gt;=0,J102+J104,0)</f>
        <v>102.125</v>
      </c>
      <c r="K105" s="13"/>
      <c r="L105" s="13"/>
      <c r="M105" s="13"/>
      <c r="N105" s="13"/>
      <c r="AD105" s="98">
        <v>45028</v>
      </c>
      <c r="AE105" s="99">
        <v>88.778700000000001</v>
      </c>
      <c r="AG105" s="209">
        <f t="shared" si="13"/>
        <v>2041</v>
      </c>
      <c r="AH105" s="32">
        <f>'Monitor Bonos'!$CZ$6</f>
        <v>0.2</v>
      </c>
      <c r="AI105">
        <f t="shared" si="12"/>
        <v>1.0004996358909557</v>
      </c>
    </row>
    <row r="106" spans="1:35" ht="15" thickBot="1" x14ac:dyDescent="0.2">
      <c r="A106" s="50" t="s">
        <v>93</v>
      </c>
      <c r="B106" s="189">
        <f ca="1">B105/B104*100</f>
        <v>107.96965919575676</v>
      </c>
      <c r="C106" s="182" t="s">
        <v>94</v>
      </c>
      <c r="D106" s="227">
        <f ca="1">XIRR(G111:N111,G98:N98)</f>
        <v>1.1837722897529603</v>
      </c>
      <c r="F106" s="13" t="s">
        <v>95</v>
      </c>
      <c r="G106" s="215"/>
      <c r="H106" s="215">
        <f ca="1">H105/(1+$B98)^((H98-$B99)/365)</f>
        <v>0</v>
      </c>
      <c r="I106" s="215">
        <f ca="1">I105/(1+$B98)^((I98-$B99)/365)</f>
        <v>0</v>
      </c>
      <c r="J106" s="215">
        <f ca="1">J105/(1+$B98)^((J98-$B99)/365)</f>
        <v>98.31581758225181</v>
      </c>
      <c r="L106" s="89"/>
      <c r="M106" s="89"/>
      <c r="N106" s="89"/>
      <c r="AD106" s="98">
        <v>45029</v>
      </c>
      <c r="AE106" s="99">
        <v>88.9619</v>
      </c>
      <c r="AG106" s="209">
        <f t="shared" si="13"/>
        <v>2042</v>
      </c>
      <c r="AH106" s="32">
        <f>'Monitor Bonos'!$DA$6</f>
        <v>0.2</v>
      </c>
      <c r="AI106">
        <f t="shared" si="12"/>
        <v>1.0004996358909557</v>
      </c>
    </row>
    <row r="107" spans="1:35" ht="15" thickBot="1" x14ac:dyDescent="0.2">
      <c r="A107" s="50" t="s">
        <v>96</v>
      </c>
      <c r="C107" s="182"/>
      <c r="D107" s="186"/>
      <c r="AD107" s="98">
        <v>45030</v>
      </c>
      <c r="AE107" s="99">
        <v>89.145499999999998</v>
      </c>
      <c r="AG107" s="209">
        <f t="shared" si="13"/>
        <v>2043</v>
      </c>
      <c r="AH107" s="32">
        <f>'Monitor Bonos'!$DB$6</f>
        <v>0.2</v>
      </c>
      <c r="AI107">
        <f t="shared" si="12"/>
        <v>1.0004996358909557</v>
      </c>
    </row>
    <row r="108" spans="1:35" ht="15" thickBot="1" x14ac:dyDescent="0.2">
      <c r="A108" s="50" t="s">
        <v>97</v>
      </c>
      <c r="B108" s="31">
        <v>45579</v>
      </c>
      <c r="C108" s="182"/>
      <c r="D108" s="186"/>
      <c r="F108" s="204" t="s">
        <v>57</v>
      </c>
      <c r="AD108" s="98">
        <v>45031</v>
      </c>
      <c r="AE108" s="99">
        <v>89.329499999999996</v>
      </c>
      <c r="AG108" s="209">
        <f t="shared" si="13"/>
        <v>2044</v>
      </c>
      <c r="AH108" s="32">
        <f>'Monitor Bonos'!$DC$6</f>
        <v>0.2</v>
      </c>
      <c r="AI108">
        <f t="shared" si="12"/>
        <v>1.0004996358909557</v>
      </c>
    </row>
    <row r="109" spans="1:35" ht="15" thickBot="1" x14ac:dyDescent="0.2">
      <c r="A109" s="50" t="s">
        <v>96</v>
      </c>
      <c r="F109" s="103" t="s">
        <v>87</v>
      </c>
      <c r="G109" s="103"/>
      <c r="H109" s="205">
        <f>H100/2*H112</f>
        <v>3.1132403348532591</v>
      </c>
      <c r="I109" s="205">
        <f>I100/2*I112</f>
        <v>4.4321692596085107</v>
      </c>
      <c r="J109" s="205">
        <f>J100/2*J112</f>
        <v>6.2816043741661609</v>
      </c>
      <c r="K109" s="205"/>
      <c r="L109" s="205"/>
      <c r="M109" s="205"/>
      <c r="N109" s="216"/>
      <c r="AD109" s="98">
        <v>45032</v>
      </c>
      <c r="AE109" s="99">
        <v>89.550700000000006</v>
      </c>
      <c r="AG109" s="209">
        <f t="shared" si="13"/>
        <v>2045</v>
      </c>
      <c r="AH109" s="32">
        <f>'Monitor Bonos'!$DD$6</f>
        <v>0.2</v>
      </c>
      <c r="AI109">
        <f t="shared" si="12"/>
        <v>1.0004996358909557</v>
      </c>
    </row>
    <row r="110" spans="1:35" ht="15" thickBot="1" x14ac:dyDescent="0.2">
      <c r="B110" s="231"/>
      <c r="F110" s="14" t="s">
        <v>28</v>
      </c>
      <c r="G110" s="14"/>
      <c r="H110" s="222">
        <f>H104*_xlfn.XLOOKUP(H98+2-14,$AD$4:$AD$1450,$AE$4:$AE$1450)/$B104</f>
        <v>0</v>
      </c>
      <c r="I110" s="222">
        <f>I104*_xlfn.XLOOKUP(I98+2-14,$AD$4:$AD$1450,$AE$4:$AE$1450)/$B104</f>
        <v>0</v>
      </c>
      <c r="J110" s="222">
        <f>J104*_xlfn.XLOOKUP(J98+2-14,$AD$4:$AD$1450,$AE$4:$AE$1450)/$B104</f>
        <v>295.60491172546637</v>
      </c>
      <c r="K110" s="222"/>
      <c r="L110" s="222"/>
      <c r="M110" s="222"/>
      <c r="N110" s="222"/>
      <c r="AD110" s="98">
        <v>45033</v>
      </c>
      <c r="AE110" s="99">
        <v>89.772400000000005</v>
      </c>
      <c r="AG110" s="209">
        <f t="shared" si="13"/>
        <v>2046</v>
      </c>
      <c r="AH110" s="32"/>
    </row>
    <row r="111" spans="1:35" ht="15" thickBot="1" x14ac:dyDescent="0.2">
      <c r="F111" s="14" t="s">
        <v>92</v>
      </c>
      <c r="G111" s="226">
        <f ca="1">-D105</f>
        <v>-213.90490709852878</v>
      </c>
      <c r="H111" s="220">
        <f ca="1">IF(H99&gt;=0,H109+H110,0)</f>
        <v>0</v>
      </c>
      <c r="I111" s="220">
        <f t="shared" ref="I111:J111" ca="1" si="15">IF(I99&gt;=0,I109+I110,0)</f>
        <v>0</v>
      </c>
      <c r="J111" s="220">
        <f t="shared" ca="1" si="15"/>
        <v>301.8865160996325</v>
      </c>
      <c r="K111" s="222"/>
      <c r="L111" s="222"/>
      <c r="M111" s="222"/>
      <c r="N111" s="223"/>
      <c r="AD111" s="98">
        <v>45034</v>
      </c>
      <c r="AE111" s="99">
        <v>89.994600000000005</v>
      </c>
      <c r="AG111" s="209">
        <f t="shared" si="13"/>
        <v>2047</v>
      </c>
      <c r="AH111" s="32"/>
    </row>
    <row r="112" spans="1:35" ht="15" thickBot="1" x14ac:dyDescent="0.2">
      <c r="C112" s="31"/>
      <c r="F112" s="104" t="s">
        <v>89</v>
      </c>
      <c r="G112" s="104"/>
      <c r="H112" s="224">
        <f>H103*_xlfn.XLOOKUP(H98+2-14,$AD$4:$AD$2450,$AE$4:$AE$2450)/$B104</f>
        <v>146.5054275225063</v>
      </c>
      <c r="I112" s="224">
        <f>I103*_xlfn.XLOOKUP(I98+2-14,$AD$4:$AD$2450,$AE$4:$AE$2450)/$B104</f>
        <v>208.57267104040051</v>
      </c>
      <c r="J112" s="224">
        <f>J103*_xlfn.XLOOKUP(J98+2-14,$AD$4:$AD$2450,$AE$4:$AE$2450)/$B104</f>
        <v>295.60491172546637</v>
      </c>
      <c r="K112" s="224"/>
      <c r="L112" s="224"/>
      <c r="M112" s="224"/>
      <c r="N112" s="225"/>
      <c r="AD112" s="98">
        <v>45035</v>
      </c>
      <c r="AE112" s="99">
        <v>90.217399999999998</v>
      </c>
      <c r="AG112" s="209">
        <f t="shared" si="13"/>
        <v>2048</v>
      </c>
      <c r="AH112" s="32"/>
    </row>
    <row r="113" spans="1:34" ht="15" thickBot="1" x14ac:dyDescent="0.2">
      <c r="AD113" s="98">
        <v>45036</v>
      </c>
      <c r="AE113" s="99">
        <v>90.440799999999996</v>
      </c>
      <c r="AG113" s="190"/>
      <c r="AH113" s="32"/>
    </row>
    <row r="114" spans="1:34" ht="15" thickBot="1" x14ac:dyDescent="0.2">
      <c r="AD114" s="98">
        <v>45037</v>
      </c>
      <c r="AE114" s="99">
        <v>90.664699999999996</v>
      </c>
      <c r="AG114" s="190"/>
      <c r="AH114" s="32"/>
    </row>
    <row r="115" spans="1:34" ht="21" thickBot="1" x14ac:dyDescent="0.25">
      <c r="F115" s="230" t="s">
        <v>47</v>
      </c>
      <c r="AD115" s="98">
        <v>45038</v>
      </c>
      <c r="AE115" s="99">
        <v>90.889099999999999</v>
      </c>
      <c r="AG115" s="190"/>
      <c r="AH115" s="32"/>
    </row>
    <row r="116" spans="1:34" ht="17" thickBot="1" x14ac:dyDescent="0.25">
      <c r="A116" s="36" t="s">
        <v>75</v>
      </c>
      <c r="C116" s="36" t="s">
        <v>76</v>
      </c>
      <c r="AD116" s="98">
        <v>45039</v>
      </c>
      <c r="AE116" s="99">
        <v>91.114099999999993</v>
      </c>
      <c r="AG116" s="190"/>
      <c r="AH116" s="32"/>
    </row>
    <row r="117" spans="1:34" ht="15" thickBot="1" x14ac:dyDescent="0.2">
      <c r="A117" s="44" t="s">
        <v>77</v>
      </c>
      <c r="B117" s="45">
        <f>'Monitor Bonos'!C48</f>
        <v>0.09</v>
      </c>
      <c r="C117" s="46" t="s">
        <v>11</v>
      </c>
      <c r="D117" s="47">
        <f ca="1">SUM(H125:Q125)</f>
        <v>98.969266514369636</v>
      </c>
      <c r="F117" s="191" t="s">
        <v>78</v>
      </c>
      <c r="G117" s="31">
        <f ca="1">B118</f>
        <v>45478</v>
      </c>
      <c r="H117" s="192">
        <v>45151</v>
      </c>
      <c r="I117" s="192">
        <v>45336</v>
      </c>
      <c r="J117" s="192">
        <v>45518</v>
      </c>
      <c r="K117" s="192">
        <v>45702</v>
      </c>
      <c r="L117" s="193"/>
      <c r="M117" s="193"/>
      <c r="N117" s="194"/>
      <c r="AD117" s="98">
        <v>45040</v>
      </c>
      <c r="AE117" s="99">
        <v>91.339699999999993</v>
      </c>
      <c r="AG117" s="190"/>
      <c r="AH117" s="32"/>
    </row>
    <row r="118" spans="1:34" ht="15" thickBot="1" x14ac:dyDescent="0.2">
      <c r="A118" s="180" t="s">
        <v>79</v>
      </c>
      <c r="B118" s="181">
        <f ca="1">'Monitor Bonos'!$C$7</f>
        <v>45478</v>
      </c>
      <c r="C118" s="182" t="s">
        <v>80</v>
      </c>
      <c r="D118" s="183">
        <f ca="1">+B122*((B118-B121)/(B120-B121))/2</f>
        <v>3.9338842975206614</v>
      </c>
      <c r="F118" s="130" t="s">
        <v>81</v>
      </c>
      <c r="H118" s="196">
        <f ca="1">+(H117-$B$118)/365</f>
        <v>-0.89589041095890409</v>
      </c>
      <c r="I118" s="196">
        <f ca="1">+(I117-$B118)/365</f>
        <v>-0.38904109589041097</v>
      </c>
      <c r="J118" s="196">
        <f ca="1">+(J117-$B118)/365</f>
        <v>0.1095890410958904</v>
      </c>
      <c r="K118" s="196">
        <f ca="1">+(K117-$B118)/365</f>
        <v>0.61369863013698633</v>
      </c>
      <c r="L118" s="196"/>
      <c r="M118" s="196"/>
      <c r="N118" s="197"/>
      <c r="AD118" s="98">
        <v>45041</v>
      </c>
      <c r="AE118" s="99">
        <v>91.565799999999996</v>
      </c>
      <c r="AG118" s="190"/>
      <c r="AH118" s="32"/>
    </row>
    <row r="119" spans="1:34" ht="15" thickBot="1" x14ac:dyDescent="0.2">
      <c r="A119" s="184" t="s">
        <v>82</v>
      </c>
      <c r="B119" s="185">
        <v>100</v>
      </c>
      <c r="C119" s="182" t="s">
        <v>83</v>
      </c>
      <c r="D119" s="186"/>
      <c r="F119" s="132" t="s">
        <v>29</v>
      </c>
      <c r="H119" s="232">
        <v>4.2500000000000003E-2</v>
      </c>
      <c r="I119" s="232">
        <v>4.2500000000000003E-2</v>
      </c>
      <c r="J119" s="232">
        <v>4.2500000000000003E-2</v>
      </c>
      <c r="K119" s="232">
        <v>4.2500000000000003E-2</v>
      </c>
      <c r="L119" s="199"/>
      <c r="M119" s="199"/>
      <c r="N119" s="200"/>
      <c r="AD119" s="98">
        <v>45042</v>
      </c>
      <c r="AE119" s="99">
        <v>91.792500000000004</v>
      </c>
      <c r="AG119" s="190"/>
      <c r="AH119" s="32"/>
    </row>
    <row r="120" spans="1:34" ht="15" thickBot="1" x14ac:dyDescent="0.2">
      <c r="A120" s="184" t="s">
        <v>84</v>
      </c>
      <c r="B120" s="181">
        <f>H117</f>
        <v>45151</v>
      </c>
      <c r="C120" s="182" t="s">
        <v>85</v>
      </c>
      <c r="D120" s="186"/>
      <c r="F120" s="201" t="s">
        <v>56</v>
      </c>
      <c r="AD120" s="98">
        <v>45043</v>
      </c>
      <c r="AE120" s="99">
        <v>92.019800000000004</v>
      </c>
      <c r="AG120" s="190"/>
      <c r="AH120" s="32"/>
    </row>
    <row r="121" spans="1:34" ht="15" thickBot="1" x14ac:dyDescent="0.2">
      <c r="A121" s="184" t="s">
        <v>86</v>
      </c>
      <c r="B121" s="181">
        <v>45030</v>
      </c>
      <c r="C121" s="182" t="s">
        <v>13</v>
      </c>
      <c r="D121" s="186"/>
      <c r="F121" s="13" t="s">
        <v>87</v>
      </c>
      <c r="G121" s="13"/>
      <c r="H121" s="13">
        <f>H119*H122/2</f>
        <v>2.125</v>
      </c>
      <c r="I121" s="13">
        <f>I119*I122/2</f>
        <v>2.125</v>
      </c>
      <c r="J121" s="13">
        <f>J119*J122/2</f>
        <v>2.125</v>
      </c>
      <c r="K121" s="13">
        <f>K119*K122/2</f>
        <v>2.125</v>
      </c>
      <c r="L121" s="13"/>
      <c r="M121" s="13"/>
      <c r="N121" s="13"/>
      <c r="AD121" s="98">
        <v>45044</v>
      </c>
      <c r="AE121" s="99">
        <v>92.247600000000006</v>
      </c>
      <c r="AG121" s="190"/>
      <c r="AH121" s="32"/>
    </row>
    <row r="122" spans="1:34" ht="15" thickBot="1" x14ac:dyDescent="0.2">
      <c r="A122" s="184" t="s">
        <v>88</v>
      </c>
      <c r="B122" s="187">
        <f>H119*100/2</f>
        <v>2.125</v>
      </c>
      <c r="F122" s="13" t="s">
        <v>89</v>
      </c>
      <c r="G122" s="13"/>
      <c r="H122" s="13">
        <v>100</v>
      </c>
      <c r="I122" s="13">
        <f>H122-H123</f>
        <v>100</v>
      </c>
      <c r="J122" s="13">
        <f>I122-I123</f>
        <v>100</v>
      </c>
      <c r="K122" s="13">
        <f>J122-J123</f>
        <v>100</v>
      </c>
      <c r="L122" s="13"/>
      <c r="M122" s="13"/>
      <c r="N122" s="13"/>
      <c r="AD122" s="98">
        <v>45045</v>
      </c>
      <c r="AE122" s="99">
        <v>92.475999999999999</v>
      </c>
      <c r="AG122" s="190"/>
      <c r="AH122" s="32"/>
    </row>
    <row r="123" spans="1:34" ht="15" thickBot="1" x14ac:dyDescent="0.2">
      <c r="A123" s="184" t="s">
        <v>90</v>
      </c>
      <c r="B123" s="188">
        <f>B86</f>
        <v>81.223399999999998</v>
      </c>
      <c r="C123" s="218" t="s">
        <v>57</v>
      </c>
      <c r="F123" s="13" t="s">
        <v>28</v>
      </c>
      <c r="G123" s="13"/>
      <c r="H123" s="148">
        <v>0</v>
      </c>
      <c r="I123" s="148">
        <v>0</v>
      </c>
      <c r="J123" s="148">
        <v>0</v>
      </c>
      <c r="K123" s="148">
        <v>100</v>
      </c>
      <c r="L123" s="13"/>
      <c r="M123" s="13"/>
      <c r="N123" s="13"/>
      <c r="AD123" s="98">
        <v>45046</v>
      </c>
      <c r="AE123" s="99">
        <v>92.704899999999995</v>
      </c>
      <c r="AG123" s="190"/>
      <c r="AH123" s="32"/>
    </row>
    <row r="124" spans="1:34" ht="15" thickBot="1" x14ac:dyDescent="0.2">
      <c r="A124" s="43" t="s">
        <v>91</v>
      </c>
      <c r="B124" s="213">
        <f ca="1">_xlfn.XLOOKUP(TODAY()+2-14,AD116:AD4562,AE116:AE4562)</f>
        <v>108.0095</v>
      </c>
      <c r="C124" s="214" t="s">
        <v>14</v>
      </c>
      <c r="D124" s="219">
        <f ca="1">D117*_xlfn.XLOOKUP(B118+2-14,$AD$4:$AD$6450,$AE$4:$AE$6450)/B123</f>
        <v>265.20198123675436</v>
      </c>
      <c r="F124" s="13" t="s">
        <v>92</v>
      </c>
      <c r="G124" s="13"/>
      <c r="H124" s="13">
        <f ca="1">IF($H118&gt;=0,H121+H123,0)</f>
        <v>0</v>
      </c>
      <c r="I124" s="13">
        <f ca="1">IF(I118&gt;=0,I121+I123,0)</f>
        <v>0</v>
      </c>
      <c r="J124" s="13">
        <f ca="1">IF(J118&gt;=0,J121+J123,0)</f>
        <v>2.125</v>
      </c>
      <c r="K124" s="13">
        <f ca="1">IF(K118&gt;=0,K121+K123,0)</f>
        <v>102.125</v>
      </c>
      <c r="L124" s="13"/>
      <c r="M124" s="13"/>
      <c r="N124" s="13"/>
      <c r="AD124" s="98">
        <v>45047</v>
      </c>
      <c r="AE124" s="99">
        <v>92.934399999999997</v>
      </c>
      <c r="AG124" s="190"/>
      <c r="AH124" s="32"/>
    </row>
    <row r="125" spans="1:34" ht="15" thickBot="1" x14ac:dyDescent="0.2">
      <c r="A125" s="50" t="s">
        <v>93</v>
      </c>
      <c r="B125" s="189">
        <f ca="1">B124/B123*100</f>
        <v>132.97830428177102</v>
      </c>
      <c r="C125" s="182" t="s">
        <v>94</v>
      </c>
      <c r="D125" s="227">
        <f ca="1">XIRR(G130:N130,G117:N117)</f>
        <v>1.1852820038795475</v>
      </c>
      <c r="F125" s="13" t="s">
        <v>95</v>
      </c>
      <c r="G125" s="215"/>
      <c r="H125" s="215">
        <f ca="1">H124/(1+$B117)^((H117-$B118)/365)</f>
        <v>0</v>
      </c>
      <c r="I125" s="215">
        <f ca="1">I124/(1+$B117)^((I117-$B118)/365)</f>
        <v>0</v>
      </c>
      <c r="J125" s="215">
        <f ca="1">J124/(1+$B117)^((J117-$B118)/365)</f>
        <v>2.1050256898864608</v>
      </c>
      <c r="K125" s="215">
        <f ca="1">K124/(1+$B117)^((K117-$B118)/365)</f>
        <v>96.864240824483176</v>
      </c>
      <c r="L125" s="89"/>
      <c r="M125" s="89"/>
      <c r="N125" s="89"/>
      <c r="AD125" s="98">
        <v>45048</v>
      </c>
      <c r="AE125" s="99">
        <v>93.164500000000004</v>
      </c>
      <c r="AG125" s="190"/>
      <c r="AH125" s="32"/>
    </row>
    <row r="126" spans="1:34" ht="15" thickBot="1" x14ac:dyDescent="0.2">
      <c r="A126" s="50" t="s">
        <v>96</v>
      </c>
      <c r="C126" s="182"/>
      <c r="D126" s="186"/>
      <c r="AD126" s="98">
        <v>45049</v>
      </c>
      <c r="AE126" s="99">
        <v>93.395200000000003</v>
      </c>
      <c r="AG126" s="190"/>
      <c r="AH126" s="32"/>
    </row>
    <row r="127" spans="1:34" ht="15" thickBot="1" x14ac:dyDescent="0.2">
      <c r="A127" s="50" t="s">
        <v>97</v>
      </c>
      <c r="B127" s="31">
        <v>45579</v>
      </c>
      <c r="C127" s="182"/>
      <c r="D127" s="186"/>
      <c r="F127" s="204" t="s">
        <v>57</v>
      </c>
      <c r="AD127" s="98">
        <v>45050</v>
      </c>
      <c r="AE127" s="99">
        <v>93.626400000000004</v>
      </c>
      <c r="AG127" s="190"/>
      <c r="AH127" s="32"/>
    </row>
    <row r="128" spans="1:34" ht="15" thickBot="1" x14ac:dyDescent="0.2">
      <c r="A128" s="50" t="s">
        <v>96</v>
      </c>
      <c r="F128" s="103" t="s">
        <v>87</v>
      </c>
      <c r="G128" s="103"/>
      <c r="H128" s="205">
        <f>H119/2*H131</f>
        <v>3.0400197607056954</v>
      </c>
      <c r="I128" s="205">
        <f>I119/2*I131</f>
        <v>4.3247726927332533</v>
      </c>
      <c r="J128" s="205">
        <f>J119/2*J131</f>
        <v>6.1457921347913285</v>
      </c>
      <c r="K128" s="205">
        <f>K119/2*K131</f>
        <v>8.7261207430129293</v>
      </c>
      <c r="L128" s="205"/>
      <c r="M128" s="205"/>
      <c r="N128" s="216"/>
      <c r="AD128" s="98">
        <v>45051</v>
      </c>
      <c r="AE128" s="99">
        <v>93.858199999999997</v>
      </c>
      <c r="AG128" s="190"/>
      <c r="AH128" s="32"/>
    </row>
    <row r="129" spans="1:34" ht="15" thickBot="1" x14ac:dyDescent="0.2">
      <c r="B129" s="231"/>
      <c r="F129" s="14" t="s">
        <v>28</v>
      </c>
      <c r="G129" s="14"/>
      <c r="H129" s="222">
        <f>H123*_xlfn.XLOOKUP(H117+2-14,$AD$4:$AD$1450,$AE$4:$AE$1450)/$B123</f>
        <v>0</v>
      </c>
      <c r="I129" s="222">
        <f>I123*_xlfn.XLOOKUP(I117+2-14,$AD$4:$AD$1450,$AE$4:$AE$1450)/$B123</f>
        <v>0</v>
      </c>
      <c r="J129" s="222">
        <f>J123*_xlfn.XLOOKUP(J117+2-14,$AD$4:$AD$1450,$AE$4:$AE$1450)/$B123</f>
        <v>0</v>
      </c>
      <c r="K129" s="222">
        <f>K123*_xlfn.XLOOKUP(K117+2-14,$AD$4:$AD$1450,$AE$4:$AE$1450)/$B123</f>
        <v>410.6409761417849</v>
      </c>
      <c r="L129" s="222"/>
      <c r="M129" s="222"/>
      <c r="N129" s="222"/>
      <c r="AD129" s="98">
        <v>45052</v>
      </c>
      <c r="AE129" s="99">
        <v>94.090500000000006</v>
      </c>
      <c r="AG129" s="190"/>
      <c r="AH129" s="32"/>
    </row>
    <row r="130" spans="1:34" ht="15" thickBot="1" x14ac:dyDescent="0.2">
      <c r="F130" s="14" t="s">
        <v>92</v>
      </c>
      <c r="G130" s="226">
        <f ca="1">-D124</f>
        <v>-265.20198123675436</v>
      </c>
      <c r="H130" s="220">
        <f ca="1">IF(H118&gt;=0,H128+H129,0)</f>
        <v>0</v>
      </c>
      <c r="I130" s="220">
        <f t="shared" ref="I130" ca="1" si="16">IF(I118&gt;=0,I128+I129,0)</f>
        <v>0</v>
      </c>
      <c r="J130" s="220">
        <f t="shared" ref="J130:K130" ca="1" si="17">IF(J118&gt;=0,J128+J129,0)</f>
        <v>6.1457921347913285</v>
      </c>
      <c r="K130" s="220">
        <f t="shared" ca="1" si="17"/>
        <v>419.36709688479783</v>
      </c>
      <c r="L130" s="222"/>
      <c r="M130" s="222"/>
      <c r="N130" s="223"/>
      <c r="AD130" s="98">
        <v>45053</v>
      </c>
      <c r="AE130" s="99">
        <v>94.323499999999996</v>
      </c>
      <c r="AG130" s="190"/>
      <c r="AH130" s="32"/>
    </row>
    <row r="131" spans="1:34" ht="15" thickBot="1" x14ac:dyDescent="0.2">
      <c r="C131" s="31"/>
      <c r="F131" s="104" t="s">
        <v>89</v>
      </c>
      <c r="G131" s="104"/>
      <c r="H131" s="224">
        <f>H122*_xlfn.XLOOKUP(H117+2-14,$AD$4:$AD$2450,$AE$4:$AE$2450)/$B123</f>
        <v>143.05975344497389</v>
      </c>
      <c r="I131" s="224">
        <f>I122*_xlfn.XLOOKUP(I117+2-14,$AD$4:$AD$2450,$AE$4:$AE$2450)/$B123</f>
        <v>203.51871495215309</v>
      </c>
      <c r="J131" s="224">
        <f>J122*_xlfn.XLOOKUP(J117+2-14,$AD$4:$AD$2450,$AE$4:$AE$2450)/$B123</f>
        <v>289.21374751959189</v>
      </c>
      <c r="K131" s="224">
        <f>K122*_xlfn.XLOOKUP(K117+2-14,$AD$4:$AD$2450,$AE$4:$AE$2450)/$B123</f>
        <v>410.6409761417849</v>
      </c>
      <c r="L131" s="224"/>
      <c r="M131" s="224"/>
      <c r="N131" s="225"/>
      <c r="AD131" s="98">
        <v>45054</v>
      </c>
      <c r="AE131" s="99">
        <v>94.557000000000002</v>
      </c>
      <c r="AG131" s="190"/>
      <c r="AH131" s="32"/>
    </row>
    <row r="132" spans="1:34" ht="15" thickBot="1" x14ac:dyDescent="0.2">
      <c r="AD132" s="98">
        <v>45055</v>
      </c>
      <c r="AE132" s="99">
        <v>94.7911</v>
      </c>
      <c r="AG132" s="190"/>
      <c r="AH132" s="32"/>
    </row>
    <row r="133" spans="1:34" ht="15" thickBot="1" x14ac:dyDescent="0.2">
      <c r="AD133" s="98">
        <v>45056</v>
      </c>
      <c r="AE133" s="99">
        <v>95.025800000000004</v>
      </c>
      <c r="AG133" s="190"/>
      <c r="AH133" s="32"/>
    </row>
    <row r="134" spans="1:34" ht="21" thickBot="1" x14ac:dyDescent="0.25">
      <c r="F134" s="230" t="s">
        <v>48</v>
      </c>
      <c r="AD134" s="98">
        <v>45057</v>
      </c>
      <c r="AE134" s="99">
        <v>95.260999999999996</v>
      </c>
      <c r="AG134" s="190"/>
      <c r="AH134" s="32"/>
    </row>
    <row r="135" spans="1:34" ht="17" thickBot="1" x14ac:dyDescent="0.25">
      <c r="A135" s="36" t="s">
        <v>75</v>
      </c>
      <c r="C135" s="36" t="s">
        <v>76</v>
      </c>
      <c r="AD135" s="98">
        <v>45058</v>
      </c>
      <c r="AE135" s="99">
        <v>95.496899999999997</v>
      </c>
      <c r="AG135" s="190"/>
      <c r="AH135" s="32"/>
    </row>
    <row r="136" spans="1:34" ht="15" thickBot="1" x14ac:dyDescent="0.2">
      <c r="A136" s="44" t="s">
        <v>77</v>
      </c>
      <c r="B136" s="45">
        <f>'Monitor Bonos'!C49</f>
        <v>0.09</v>
      </c>
      <c r="C136" s="46" t="s">
        <v>11</v>
      </c>
      <c r="D136" s="47">
        <f ca="1">SUM(H144:Q144)</f>
        <v>91.544611870764115</v>
      </c>
      <c r="F136" s="191" t="s">
        <v>78</v>
      </c>
      <c r="G136" s="31">
        <f ca="1">B137</f>
        <v>45478</v>
      </c>
      <c r="H136" s="192">
        <v>45239</v>
      </c>
      <c r="I136" s="192">
        <v>45421</v>
      </c>
      <c r="J136" s="192">
        <v>45605</v>
      </c>
      <c r="K136" s="192">
        <v>45786</v>
      </c>
      <c r="L136" s="193">
        <v>45970</v>
      </c>
      <c r="M136" s="193"/>
      <c r="N136" s="194"/>
      <c r="AD136" s="98">
        <v>45059</v>
      </c>
      <c r="AE136" s="99">
        <v>95.7333</v>
      </c>
      <c r="AG136" s="190"/>
      <c r="AH136" s="32"/>
    </row>
    <row r="137" spans="1:34" ht="15" thickBot="1" x14ac:dyDescent="0.2">
      <c r="A137" s="180" t="s">
        <v>79</v>
      </c>
      <c r="B137" s="181">
        <f ca="1">'Monitor Bonos'!$C$7</f>
        <v>45478</v>
      </c>
      <c r="C137" s="182" t="s">
        <v>80</v>
      </c>
      <c r="D137" s="183">
        <f ca="1">+B141*((B137-B140)/(B139-B140))/2</f>
        <v>0.96459330143540667</v>
      </c>
      <c r="F137" s="130" t="s">
        <v>81</v>
      </c>
      <c r="H137" s="196">
        <f ca="1">+(H136-$B$118)/365</f>
        <v>-0.65479452054794518</v>
      </c>
      <c r="I137" s="196">
        <f ca="1">+(I136-$B137)/365</f>
        <v>-0.15616438356164383</v>
      </c>
      <c r="J137" s="196">
        <f ca="1">+(J136-$B137)/365</f>
        <v>0.34794520547945207</v>
      </c>
      <c r="K137" s="196">
        <f ca="1">+(K136-$B137)/365</f>
        <v>0.84383561643835614</v>
      </c>
      <c r="L137" s="196">
        <f ca="1">+(L136-$B137)/365</f>
        <v>1.3479452054794521</v>
      </c>
      <c r="M137" s="196"/>
      <c r="N137" s="197"/>
      <c r="AD137" s="98">
        <v>45060</v>
      </c>
      <c r="AE137" s="99">
        <v>95.970299999999995</v>
      </c>
      <c r="AG137" s="190"/>
      <c r="AH137" s="32"/>
    </row>
    <row r="138" spans="1:34" ht="15" thickBot="1" x14ac:dyDescent="0.2">
      <c r="A138" s="184" t="s">
        <v>82</v>
      </c>
      <c r="B138" s="185">
        <v>100</v>
      </c>
      <c r="C138" s="182" t="s">
        <v>83</v>
      </c>
      <c r="D138" s="186"/>
      <c r="F138" s="132" t="s">
        <v>29</v>
      </c>
      <c r="H138" s="232">
        <v>1.7999999999999999E-2</v>
      </c>
      <c r="I138" s="232">
        <v>1.7999999999999999E-2</v>
      </c>
      <c r="J138" s="232">
        <v>1.7999999999999999E-2</v>
      </c>
      <c r="K138" s="232">
        <v>1.7999999999999999E-2</v>
      </c>
      <c r="L138" s="232">
        <v>1.7999999999999999E-2</v>
      </c>
      <c r="M138" s="199"/>
      <c r="N138" s="200"/>
      <c r="AD138" s="98">
        <v>45061</v>
      </c>
      <c r="AE138" s="99">
        <v>96.207899999999995</v>
      </c>
      <c r="AG138" s="190"/>
      <c r="AH138" s="32"/>
    </row>
    <row r="139" spans="1:34" ht="15" thickBot="1" x14ac:dyDescent="0.2">
      <c r="A139" s="184" t="s">
        <v>84</v>
      </c>
      <c r="B139" s="181">
        <f>H136</f>
        <v>45239</v>
      </c>
      <c r="C139" s="182" t="s">
        <v>85</v>
      </c>
      <c r="D139" s="186"/>
      <c r="F139" s="201" t="s">
        <v>56</v>
      </c>
      <c r="AD139" s="98">
        <v>45062</v>
      </c>
      <c r="AE139" s="99">
        <v>96.458500000000001</v>
      </c>
      <c r="AG139" s="190"/>
      <c r="AH139" s="32"/>
    </row>
    <row r="140" spans="1:34" ht="15" thickBot="1" x14ac:dyDescent="0.2">
      <c r="A140" s="184" t="s">
        <v>86</v>
      </c>
      <c r="B140" s="181">
        <v>45030</v>
      </c>
      <c r="C140" s="182" t="s">
        <v>13</v>
      </c>
      <c r="D140" s="186"/>
      <c r="F140" s="130" t="s">
        <v>87</v>
      </c>
      <c r="G140" s="13"/>
      <c r="H140" s="103">
        <f>H138*H141/2</f>
        <v>0.89999999999999991</v>
      </c>
      <c r="I140" s="202">
        <f>I138*I141/2</f>
        <v>0.89999999999999991</v>
      </c>
      <c r="J140" s="202">
        <f>J138*J141/2</f>
        <v>0.89999999999999991</v>
      </c>
      <c r="K140" s="202">
        <f>K138*K141/2</f>
        <v>0.89999999999999991</v>
      </c>
      <c r="L140" s="106">
        <f>L138*L141/2</f>
        <v>0.89999999999999991</v>
      </c>
      <c r="M140" s="13"/>
      <c r="N140" s="13"/>
      <c r="AD140" s="98">
        <v>45063</v>
      </c>
      <c r="AE140" s="99">
        <v>96.709800000000001</v>
      </c>
      <c r="AG140" s="190"/>
      <c r="AH140" s="32"/>
    </row>
    <row r="141" spans="1:34" ht="15" thickBot="1" x14ac:dyDescent="0.2">
      <c r="A141" s="184" t="s">
        <v>88</v>
      </c>
      <c r="B141" s="187">
        <f>H138*100/2</f>
        <v>0.89999999999999991</v>
      </c>
      <c r="F141" s="131" t="s">
        <v>89</v>
      </c>
      <c r="G141" s="13"/>
      <c r="H141" s="14">
        <v>100</v>
      </c>
      <c r="I141" s="13">
        <f>H141-H142</f>
        <v>100</v>
      </c>
      <c r="J141" s="13">
        <f>I141-I142</f>
        <v>100</v>
      </c>
      <c r="K141" s="13">
        <f>J141-J142</f>
        <v>100</v>
      </c>
      <c r="L141" s="15">
        <f>K141-K142</f>
        <v>100</v>
      </c>
      <c r="M141" s="13"/>
      <c r="N141" s="13"/>
      <c r="AD141" s="98">
        <v>45064</v>
      </c>
      <c r="AE141" s="99">
        <v>96.961799999999997</v>
      </c>
      <c r="AG141" s="190"/>
      <c r="AH141" s="32"/>
    </row>
    <row r="142" spans="1:34" ht="15" thickBot="1" x14ac:dyDescent="0.2">
      <c r="A142" s="184" t="s">
        <v>90</v>
      </c>
      <c r="B142" s="188">
        <v>46.208500000000001</v>
      </c>
      <c r="C142" s="218" t="s">
        <v>57</v>
      </c>
      <c r="F142" s="131" t="s">
        <v>28</v>
      </c>
      <c r="G142" s="13"/>
      <c r="H142" s="234">
        <v>0</v>
      </c>
      <c r="I142" s="148">
        <v>0</v>
      </c>
      <c r="J142" s="148">
        <v>0</v>
      </c>
      <c r="K142" s="148">
        <v>0</v>
      </c>
      <c r="L142" s="140">
        <v>100</v>
      </c>
      <c r="M142" s="13"/>
      <c r="N142" s="13"/>
      <c r="AD142" s="98">
        <v>45065</v>
      </c>
      <c r="AE142" s="99">
        <v>97.214399999999998</v>
      </c>
      <c r="AG142" s="190"/>
      <c r="AH142" s="32"/>
    </row>
    <row r="143" spans="1:34" ht="15" thickBot="1" x14ac:dyDescent="0.2">
      <c r="A143" s="43" t="s">
        <v>91</v>
      </c>
      <c r="B143" s="235">
        <f ca="1">_xlfn.XLOOKUP(TODAY()+2-14,AD135:AD4581,AE135:AE4581)</f>
        <v>108.0095</v>
      </c>
      <c r="C143" s="214" t="s">
        <v>14</v>
      </c>
      <c r="D143" s="219">
        <f ca="1">D136*_xlfn.XLOOKUP(B137+2-14,$AD$4:$AD$6450,$AE$4:$AE$6450)/B142</f>
        <v>431.18981550437593</v>
      </c>
      <c r="F143" s="131" t="s">
        <v>92</v>
      </c>
      <c r="G143" s="13"/>
      <c r="H143" s="14">
        <f ca="1">IF($H137&gt;=0,H140+H142,0)</f>
        <v>0</v>
      </c>
      <c r="I143" s="13">
        <f ca="1">IF(I137&gt;=0,I140+I142,0)</f>
        <v>0</v>
      </c>
      <c r="J143" s="13">
        <f ca="1">IF(J137&gt;=0,J140+J142,0)</f>
        <v>0.89999999999999991</v>
      </c>
      <c r="K143" s="13">
        <f ca="1">IF(K137&gt;=0,K140+K142,0)</f>
        <v>0.89999999999999991</v>
      </c>
      <c r="L143" s="15">
        <f ca="1">IF(L137&gt;=0,L140+L142,0)</f>
        <v>100.9</v>
      </c>
      <c r="M143" s="13"/>
      <c r="N143" s="13"/>
      <c r="AD143" s="98">
        <v>45066</v>
      </c>
      <c r="AE143" s="99">
        <v>97.467699999999994</v>
      </c>
      <c r="AG143" s="190"/>
      <c r="AH143" s="32"/>
    </row>
    <row r="144" spans="1:34" ht="15" thickBot="1" x14ac:dyDescent="0.2">
      <c r="A144" s="50" t="s">
        <v>93</v>
      </c>
      <c r="B144" s="189">
        <f ca="1">B143/B142*100</f>
        <v>233.74379172663038</v>
      </c>
      <c r="C144" s="182" t="s">
        <v>94</v>
      </c>
      <c r="D144" s="227">
        <f ca="1">XIRR(G149:N149,G136:N136)</f>
        <v>1.1917211174964908</v>
      </c>
      <c r="F144" s="132" t="s">
        <v>95</v>
      </c>
      <c r="G144" s="215"/>
      <c r="H144" s="207">
        <f ca="1">H143/(1+$B136)^((H136-$B137)/365)</f>
        <v>0</v>
      </c>
      <c r="I144" s="206">
        <f ca="1">I143/(1+$B136)^((I136-$B137)/365)</f>
        <v>0</v>
      </c>
      <c r="J144" s="206">
        <f ca="1">J143/(1+$B136)^((J136-$B137)/365)</f>
        <v>0.87341397979290336</v>
      </c>
      <c r="K144" s="206">
        <f ca="1">K143/(1+$B136)^((K136-$B137)/365)</f>
        <v>0.83687519871437532</v>
      </c>
      <c r="L144" s="217">
        <f ca="1">L143/(1+$B136)^((L136-$B137)/365)</f>
        <v>89.834322692256833</v>
      </c>
      <c r="M144" s="89"/>
      <c r="N144" s="89"/>
      <c r="AD144" s="98">
        <v>45067</v>
      </c>
      <c r="AE144" s="99">
        <v>97.721599999999995</v>
      </c>
      <c r="AG144" s="190"/>
      <c r="AH144" s="32"/>
    </row>
    <row r="145" spans="1:34" ht="15" thickBot="1" x14ac:dyDescent="0.2">
      <c r="A145" s="50" t="s">
        <v>96</v>
      </c>
      <c r="C145" s="182"/>
      <c r="D145" s="186"/>
      <c r="AD145" s="98">
        <v>45068</v>
      </c>
      <c r="AE145" s="99">
        <v>97.976200000000006</v>
      </c>
      <c r="AG145" s="190"/>
      <c r="AH145" s="32"/>
    </row>
    <row r="146" spans="1:34" ht="15" thickBot="1" x14ac:dyDescent="0.2">
      <c r="A146" s="50" t="s">
        <v>97</v>
      </c>
      <c r="B146" s="31">
        <v>45579</v>
      </c>
      <c r="C146" s="182"/>
      <c r="D146" s="186"/>
      <c r="F146" s="204" t="s">
        <v>57</v>
      </c>
      <c r="AD146" s="98">
        <v>45069</v>
      </c>
      <c r="AE146" s="99">
        <v>98.231399999999994</v>
      </c>
      <c r="AG146" s="190"/>
      <c r="AH146" s="32"/>
    </row>
    <row r="147" spans="1:34" ht="15" thickBot="1" x14ac:dyDescent="0.2">
      <c r="A147" s="50" t="s">
        <v>96</v>
      </c>
      <c r="F147" s="103" t="s">
        <v>87</v>
      </c>
      <c r="G147" s="103"/>
      <c r="H147" s="205">
        <f>H138/2*H150</f>
        <v>2.6747916998482402</v>
      </c>
      <c r="I147" s="205">
        <f>I138/2*I150</f>
        <v>3.8010584507143661</v>
      </c>
      <c r="J147" s="205">
        <f>J138/2*J150</f>
        <v>5.3969438381126409</v>
      </c>
      <c r="K147" s="205">
        <f>K138/2*K150</f>
        <v>7.6550170373936242</v>
      </c>
      <c r="L147" s="205">
        <f>L138/2*L150</f>
        <v>10.868998087320762</v>
      </c>
      <c r="M147" s="205"/>
      <c r="N147" s="216"/>
      <c r="AD147" s="98">
        <v>45070</v>
      </c>
      <c r="AE147" s="99">
        <v>98.487300000000005</v>
      </c>
      <c r="AG147" s="190"/>
      <c r="AH147" s="32"/>
    </row>
    <row r="148" spans="1:34" ht="15" thickBot="1" x14ac:dyDescent="0.2">
      <c r="B148" s="231"/>
      <c r="F148" s="14" t="s">
        <v>28</v>
      </c>
      <c r="G148" s="14"/>
      <c r="H148" s="222">
        <f>H142*_xlfn.XLOOKUP(H136+2-14,$AD$4:$AD$1450,$AE$4:$AE$1450)/$B142</f>
        <v>0</v>
      </c>
      <c r="I148" s="222">
        <f>I142*_xlfn.XLOOKUP(I136+2-14,$AD$4:$AD$1450,$AE$4:$AE$1450)/$B142</f>
        <v>0</v>
      </c>
      <c r="J148" s="222">
        <f>J142*_xlfn.XLOOKUP(J136+2-14,$AD$4:$AD$1450,$AE$4:$AE$1450)/$B142</f>
        <v>0</v>
      </c>
      <c r="K148" s="222">
        <f>K142*_xlfn.XLOOKUP(K136+2-14,$AD$4:$AD$1450,$AE$4:$AE$1450)/$B142</f>
        <v>0</v>
      </c>
      <c r="L148" s="222">
        <f>L142*_xlfn.XLOOKUP(L136+2-14,$AD$4:$AD$1450,$AE$4:$AE$1450)/$B142</f>
        <v>1207.6664541467514</v>
      </c>
      <c r="M148" s="222"/>
      <c r="N148" s="222"/>
      <c r="AD148" s="98">
        <v>45071</v>
      </c>
      <c r="AE148" s="99">
        <v>98.743899999999996</v>
      </c>
      <c r="AG148" s="190"/>
      <c r="AH148" s="32"/>
    </row>
    <row r="149" spans="1:34" ht="15" thickBot="1" x14ac:dyDescent="0.2">
      <c r="F149" s="14" t="s">
        <v>92</v>
      </c>
      <c r="G149" s="226">
        <f ca="1">-D143</f>
        <v>-431.18981550437593</v>
      </c>
      <c r="H149" s="220">
        <f ca="1">IF(H137&gt;=0,H147+H148,0)</f>
        <v>0</v>
      </c>
      <c r="I149" s="220">
        <f t="shared" ref="I149" ca="1" si="18">IF(I137&gt;=0,I147+I148,0)</f>
        <v>0</v>
      </c>
      <c r="J149" s="220">
        <f t="shared" ref="J149" ca="1" si="19">IF(J137&gt;=0,J147+J148,0)</f>
        <v>5.3969438381126409</v>
      </c>
      <c r="K149" s="220">
        <f t="shared" ref="K149:L149" ca="1" si="20">IF(K137&gt;=0,K147+K148,0)</f>
        <v>7.6550170373936242</v>
      </c>
      <c r="L149" s="220">
        <f t="shared" ca="1" si="20"/>
        <v>1218.5354522340722</v>
      </c>
      <c r="M149" s="222"/>
      <c r="N149" s="223"/>
      <c r="AD149" s="98">
        <v>45072</v>
      </c>
      <c r="AE149" s="99">
        <v>99.001199999999997</v>
      </c>
      <c r="AG149" s="190"/>
      <c r="AH149" s="32"/>
    </row>
    <row r="150" spans="1:34" ht="15" thickBot="1" x14ac:dyDescent="0.2">
      <c r="C150" s="31"/>
      <c r="F150" s="104" t="s">
        <v>89</v>
      </c>
      <c r="G150" s="104"/>
      <c r="H150" s="224">
        <f>H141*_xlfn.XLOOKUP(H136+2-14,$AD$4:$AD$2450,$AE$4:$AE$2450)/$B142</f>
        <v>297.1990777609156</v>
      </c>
      <c r="I150" s="224">
        <f>I141*_xlfn.XLOOKUP(I136+2-14,$AD$4:$AD$2450,$AE$4:$AE$2450)/$B142</f>
        <v>422.33982785715182</v>
      </c>
      <c r="J150" s="224">
        <f>J141*_xlfn.XLOOKUP(J136+2-14,$AD$4:$AD$2450,$AE$4:$AE$2450)/$B142</f>
        <v>599.66042645696018</v>
      </c>
      <c r="K150" s="224">
        <f>K141*_xlfn.XLOOKUP(K136+2-14,$AD$4:$AD$2450,$AE$4:$AE$2450)/$B142</f>
        <v>850.55744859929166</v>
      </c>
      <c r="L150" s="224">
        <f>L141*_xlfn.XLOOKUP(L136+2-14,$AD$4:$AD$2450,$AE$4:$AE$2450)/$B142</f>
        <v>1207.6664541467514</v>
      </c>
      <c r="M150" s="224"/>
      <c r="N150" s="225"/>
      <c r="AD150" s="98">
        <v>45073</v>
      </c>
      <c r="AE150" s="99">
        <v>99.259100000000004</v>
      </c>
      <c r="AG150" s="190"/>
      <c r="AH150" s="32"/>
    </row>
    <row r="151" spans="1:34" ht="15" thickBot="1" x14ac:dyDescent="0.2">
      <c r="AD151" s="98">
        <v>45074</v>
      </c>
      <c r="AE151" s="99">
        <v>99.517700000000005</v>
      </c>
      <c r="AG151" s="190"/>
      <c r="AH151" s="32"/>
    </row>
    <row r="152" spans="1:34" ht="15" thickBot="1" x14ac:dyDescent="0.2">
      <c r="AD152" s="98">
        <v>45075</v>
      </c>
      <c r="AE152" s="99">
        <v>99.777000000000001</v>
      </c>
      <c r="AG152" s="190"/>
      <c r="AH152" s="32"/>
    </row>
    <row r="153" spans="1:34" ht="21" thickBot="1" x14ac:dyDescent="0.25">
      <c r="F153" s="230" t="s">
        <v>49</v>
      </c>
      <c r="AD153" s="98">
        <v>45076</v>
      </c>
      <c r="AE153" s="99">
        <v>100.0369</v>
      </c>
      <c r="AG153" s="190"/>
      <c r="AH153" s="32"/>
    </row>
    <row r="154" spans="1:34" ht="17" thickBot="1" x14ac:dyDescent="0.25">
      <c r="A154" s="36" t="s">
        <v>75</v>
      </c>
      <c r="C154" s="36" t="s">
        <v>76</v>
      </c>
      <c r="AD154" s="98">
        <v>45077</v>
      </c>
      <c r="AE154" s="99">
        <v>100.2975</v>
      </c>
      <c r="AG154" s="190"/>
      <c r="AH154" s="32"/>
    </row>
    <row r="155" spans="1:34" ht="15" thickBot="1" x14ac:dyDescent="0.2">
      <c r="A155" s="44" t="s">
        <v>77</v>
      </c>
      <c r="B155" s="45">
        <f>'Monitor Bonos'!C50</f>
        <v>0.09</v>
      </c>
      <c r="C155" s="46" t="s">
        <v>11</v>
      </c>
      <c r="D155" s="47">
        <f ca="1">SUM(H163:Q163)</f>
        <v>97.06184435382076</v>
      </c>
      <c r="F155" s="191" t="s">
        <v>78</v>
      </c>
      <c r="G155" s="31">
        <f ca="1">B156</f>
        <v>45478</v>
      </c>
      <c r="H155" s="192">
        <v>45226</v>
      </c>
      <c r="I155" s="192">
        <v>45409</v>
      </c>
      <c r="J155" s="192">
        <v>45592</v>
      </c>
      <c r="K155" s="192">
        <v>45774</v>
      </c>
      <c r="L155" s="194"/>
      <c r="AD155" s="98">
        <v>45078</v>
      </c>
      <c r="AE155" s="99">
        <v>100.55880000000001</v>
      </c>
      <c r="AG155" s="190"/>
      <c r="AH155" s="32"/>
    </row>
    <row r="156" spans="1:34" ht="15" thickBot="1" x14ac:dyDescent="0.2">
      <c r="A156" s="180" t="s">
        <v>79</v>
      </c>
      <c r="B156" s="181">
        <f ca="1">'Monitor Bonos'!$C$7</f>
        <v>45478</v>
      </c>
      <c r="C156" s="182" t="s">
        <v>80</v>
      </c>
      <c r="D156" s="183">
        <f ca="1">+B160*((B156-B159)/(B158-B159))/2</f>
        <v>2.2857142857142856</v>
      </c>
      <c r="F156" s="130" t="s">
        <v>81</v>
      </c>
      <c r="H156" s="195">
        <f ca="1">+(H155-$B$118)/365</f>
        <v>-0.69041095890410964</v>
      </c>
      <c r="I156" s="196">
        <f ca="1">+(I155-$B156)/365</f>
        <v>-0.18904109589041096</v>
      </c>
      <c r="J156" s="196">
        <f ca="1">+(J155-$B156)/365</f>
        <v>0.31232876712328766</v>
      </c>
      <c r="K156" s="196">
        <f ca="1">+(K155-$B156)/365</f>
        <v>0.81095890410958904</v>
      </c>
      <c r="L156" s="197"/>
      <c r="AD156" s="98">
        <v>45079</v>
      </c>
      <c r="AE156" s="99">
        <v>100.82080000000001</v>
      </c>
      <c r="AG156" s="190"/>
      <c r="AH156" s="32"/>
    </row>
    <row r="157" spans="1:34" ht="15" thickBot="1" x14ac:dyDescent="0.2">
      <c r="A157" s="184" t="s">
        <v>82</v>
      </c>
      <c r="B157" s="185">
        <v>100</v>
      </c>
      <c r="C157" s="182" t="s">
        <v>83</v>
      </c>
      <c r="D157" s="186"/>
      <c r="F157" s="132" t="s">
        <v>29</v>
      </c>
      <c r="H157" s="232">
        <v>0.04</v>
      </c>
      <c r="I157" s="236">
        <v>0.04</v>
      </c>
      <c r="J157" s="236">
        <v>0.04</v>
      </c>
      <c r="K157" s="236">
        <v>0.04</v>
      </c>
      <c r="L157" s="237"/>
      <c r="AD157" s="98">
        <v>45080</v>
      </c>
      <c r="AE157" s="99">
        <v>101.0835</v>
      </c>
      <c r="AG157" s="190"/>
      <c r="AH157" s="32"/>
    </row>
    <row r="158" spans="1:34" ht="15" thickBot="1" x14ac:dyDescent="0.2">
      <c r="A158" s="184" t="s">
        <v>84</v>
      </c>
      <c r="B158" s="181">
        <f>H155</f>
        <v>45226</v>
      </c>
      <c r="C158" s="182" t="s">
        <v>85</v>
      </c>
      <c r="D158" s="186"/>
      <c r="F158" s="201" t="s">
        <v>56</v>
      </c>
      <c r="AD158" s="98">
        <v>45081</v>
      </c>
      <c r="AE158" s="99">
        <v>101.3468</v>
      </c>
      <c r="AG158" s="190"/>
      <c r="AH158" s="32"/>
    </row>
    <row r="159" spans="1:34" ht="15" thickBot="1" x14ac:dyDescent="0.2">
      <c r="A159" s="184" t="s">
        <v>86</v>
      </c>
      <c r="B159" s="181">
        <v>45030</v>
      </c>
      <c r="C159" s="182" t="s">
        <v>13</v>
      </c>
      <c r="D159" s="186"/>
      <c r="F159" s="130" t="s">
        <v>87</v>
      </c>
      <c r="G159" s="13"/>
      <c r="H159" s="103">
        <f>H157*H160/2</f>
        <v>2</v>
      </c>
      <c r="I159" s="202">
        <f>I157*I160/2</f>
        <v>2</v>
      </c>
      <c r="J159" s="202">
        <f>J157*J160/2</f>
        <v>2</v>
      </c>
      <c r="K159" s="202">
        <f>K157*K160/2</f>
        <v>2</v>
      </c>
      <c r="L159" s="106"/>
      <c r="AD159" s="98">
        <v>45082</v>
      </c>
      <c r="AE159" s="99">
        <v>101.6109</v>
      </c>
      <c r="AG159" s="190"/>
      <c r="AH159" s="32"/>
    </row>
    <row r="160" spans="1:34" ht="15" thickBot="1" x14ac:dyDescent="0.2">
      <c r="A160" s="184" t="s">
        <v>88</v>
      </c>
      <c r="B160" s="187">
        <f>H157*100/2</f>
        <v>2</v>
      </c>
      <c r="F160" s="131" t="s">
        <v>89</v>
      </c>
      <c r="G160" s="13"/>
      <c r="H160" s="14">
        <v>100</v>
      </c>
      <c r="I160" s="13">
        <f>H160-H161</f>
        <v>100</v>
      </c>
      <c r="J160" s="13">
        <f>I160-I161</f>
        <v>100</v>
      </c>
      <c r="K160" s="13">
        <f>J160-J161</f>
        <v>100</v>
      </c>
      <c r="L160" s="15"/>
      <c r="AD160" s="98">
        <v>45083</v>
      </c>
      <c r="AE160" s="99">
        <v>101.87560000000001</v>
      </c>
      <c r="AG160" s="190"/>
      <c r="AH160" s="32"/>
    </row>
    <row r="161" spans="1:34" ht="15" thickBot="1" x14ac:dyDescent="0.2">
      <c r="A161" s="184" t="s">
        <v>90</v>
      </c>
      <c r="B161" s="188">
        <v>9.0620999999999992</v>
      </c>
      <c r="C161" s="218" t="s">
        <v>57</v>
      </c>
      <c r="F161" s="131" t="s">
        <v>28</v>
      </c>
      <c r="G161" s="13"/>
      <c r="H161" s="234">
        <v>0</v>
      </c>
      <c r="I161" s="148">
        <v>0</v>
      </c>
      <c r="J161" s="148">
        <v>0</v>
      </c>
      <c r="K161" s="148">
        <v>100</v>
      </c>
      <c r="L161" s="140"/>
      <c r="AD161" s="98">
        <v>45084</v>
      </c>
      <c r="AE161" s="99">
        <v>102.14100000000001</v>
      </c>
      <c r="AG161" s="190"/>
      <c r="AH161" s="32"/>
    </row>
    <row r="162" spans="1:34" ht="15" thickBot="1" x14ac:dyDescent="0.2">
      <c r="A162" s="43" t="s">
        <v>91</v>
      </c>
      <c r="B162" s="235">
        <f ca="1">_xlfn.XLOOKUP(TODAY()+2-14,AD154:AD4600,AE154:AE4600)</f>
        <v>108.0095</v>
      </c>
      <c r="C162" s="214" t="s">
        <v>14</v>
      </c>
      <c r="D162" s="219">
        <f ca="1">D155*_xlfn.XLOOKUP(B156+2-14,$AD$4:$AD$6450,$AE$4:$AE$6450)/B161</f>
        <v>2331.1878278957097</v>
      </c>
      <c r="F162" s="131" t="s">
        <v>92</v>
      </c>
      <c r="G162" s="13"/>
      <c r="H162" s="14">
        <f ca="1">IF($H156&gt;=0,H159+H161,0)</f>
        <v>0</v>
      </c>
      <c r="I162" s="13">
        <f ca="1">IF(I156&gt;=0,I159+I161,0)</f>
        <v>0</v>
      </c>
      <c r="J162" s="13">
        <f ca="1">IF(J156&gt;=0,J159+J161,0)</f>
        <v>2</v>
      </c>
      <c r="K162" s="13">
        <f ca="1">IF(K156&gt;=0,K159+K161,0)</f>
        <v>102</v>
      </c>
      <c r="L162" s="15"/>
      <c r="AD162" s="98">
        <v>45085</v>
      </c>
      <c r="AE162" s="99">
        <v>102.4071</v>
      </c>
      <c r="AG162" s="190"/>
      <c r="AH162" s="32"/>
    </row>
    <row r="163" spans="1:34" ht="15" thickBot="1" x14ac:dyDescent="0.2">
      <c r="A163" s="50" t="s">
        <v>93</v>
      </c>
      <c r="B163" s="189">
        <f ca="1">B162/B161*100</f>
        <v>1191.8815727038987</v>
      </c>
      <c r="C163" s="182" t="s">
        <v>94</v>
      </c>
      <c r="D163" s="227">
        <f ca="1">XIRR(G168:N168,G155:N155)</f>
        <v>1.1969345927238468</v>
      </c>
      <c r="F163" s="132" t="s">
        <v>95</v>
      </c>
      <c r="G163" s="215"/>
      <c r="H163" s="207">
        <f ca="1">H162/(1+$B155)^((H155-$B156)/365)</f>
        <v>0</v>
      </c>
      <c r="I163" s="206">
        <f ca="1">I162/(1+$B155)^((I155-$B156)/365)</f>
        <v>0</v>
      </c>
      <c r="J163" s="206">
        <f ca="1">J162/(1+$B155)^((J155-$B156)/365)</f>
        <v>1.9468864553406249</v>
      </c>
      <c r="K163" s="206">
        <f ca="1">K162/(1+$B155)^((K155-$B156)/365)</f>
        <v>95.114957898480128</v>
      </c>
      <c r="L163" s="217"/>
      <c r="AD163" s="98">
        <v>45086</v>
      </c>
      <c r="AE163" s="99">
        <v>102.6739</v>
      </c>
      <c r="AG163" s="190"/>
      <c r="AH163" s="32"/>
    </row>
    <row r="164" spans="1:34" ht="15" thickBot="1" x14ac:dyDescent="0.2">
      <c r="A164" s="50" t="s">
        <v>96</v>
      </c>
      <c r="C164" s="182"/>
      <c r="D164" s="186"/>
      <c r="AD164" s="98">
        <v>45087</v>
      </c>
      <c r="AE164" s="99">
        <v>102.9414</v>
      </c>
      <c r="AG164" s="190"/>
      <c r="AH164" s="32"/>
    </row>
    <row r="165" spans="1:34" ht="15" thickBot="1" x14ac:dyDescent="0.2">
      <c r="A165" s="50" t="s">
        <v>97</v>
      </c>
      <c r="B165" s="31">
        <v>45579</v>
      </c>
      <c r="C165" s="182"/>
      <c r="D165" s="186"/>
      <c r="F165" s="204" t="s">
        <v>57</v>
      </c>
      <c r="AD165" s="98">
        <v>45088</v>
      </c>
      <c r="AE165" s="99">
        <v>103.20959999999999</v>
      </c>
      <c r="AG165" s="190"/>
      <c r="AH165" s="32"/>
    </row>
    <row r="166" spans="1:34" ht="15" thickBot="1" x14ac:dyDescent="0.2">
      <c r="A166" s="50" t="s">
        <v>96</v>
      </c>
      <c r="F166" s="103" t="s">
        <v>87</v>
      </c>
      <c r="G166" s="103"/>
      <c r="H166" s="205">
        <f>H157/2*H169</f>
        <v>29.553205842171405</v>
      </c>
      <c r="I166" s="205">
        <f>I157/2*I169</f>
        <v>42.110387323484659</v>
      </c>
      <c r="J166" s="205">
        <f>J157/2*J169</f>
        <v>59.629687117479435</v>
      </c>
      <c r="K166" s="216">
        <f>K157/2*K169</f>
        <v>84.80683383122836</v>
      </c>
      <c r="L166" s="205"/>
      <c r="AD166" s="98">
        <v>45089</v>
      </c>
      <c r="AE166" s="99">
        <v>103.4785</v>
      </c>
      <c r="AG166" s="190"/>
      <c r="AH166" s="32"/>
    </row>
    <row r="167" spans="1:34" ht="15" thickBot="1" x14ac:dyDescent="0.2">
      <c r="B167" s="231"/>
      <c r="F167" s="14" t="s">
        <v>28</v>
      </c>
      <c r="G167" s="14"/>
      <c r="H167" s="222">
        <f>H161*_xlfn.XLOOKUP(H155+2-14,$AD$4:$AD$1450,$AE$4:$AE$1450)/$B161</f>
        <v>0</v>
      </c>
      <c r="I167" s="222">
        <f>I161*_xlfn.XLOOKUP(I155+2-14,$AD$4:$AD$1450,$AE$4:$AE$1450)/$B161</f>
        <v>0</v>
      </c>
      <c r="J167" s="222">
        <f>J161*_xlfn.XLOOKUP(J155+2-14,$AD$4:$AD$1450,$AE$4:$AE$1450)/$B161</f>
        <v>0</v>
      </c>
      <c r="K167" s="223">
        <f>K161*_xlfn.XLOOKUP(K155+2-14,$AD$4:$AD$1450,$AE$4:$AE$1450)/$B161</f>
        <v>4240.341691561418</v>
      </c>
      <c r="L167" s="222"/>
      <c r="AD167" s="98">
        <v>45090</v>
      </c>
      <c r="AE167" s="99">
        <v>103.74809999999999</v>
      </c>
      <c r="AG167" s="190"/>
      <c r="AH167" s="32"/>
    </row>
    <row r="168" spans="1:34" ht="15" thickBot="1" x14ac:dyDescent="0.2">
      <c r="F168" s="14" t="s">
        <v>92</v>
      </c>
      <c r="G168" s="226">
        <f ca="1">-D162</f>
        <v>-2331.1878278957097</v>
      </c>
      <c r="H168" s="220">
        <f ca="1">IF(H156&gt;=0,H166+H167,0)</f>
        <v>0</v>
      </c>
      <c r="I168" s="220">
        <f t="shared" ref="I168" ca="1" si="21">IF(I156&gt;=0,I166+I167,0)</f>
        <v>0</v>
      </c>
      <c r="J168" s="220">
        <f t="shared" ref="J168" ca="1" si="22">IF(J156&gt;=0,J166+J167,0)</f>
        <v>59.629687117479435</v>
      </c>
      <c r="K168" s="221">
        <f t="shared" ref="K168" ca="1" si="23">IF(K156&gt;=0,K166+K167,0)</f>
        <v>4325.1485253926467</v>
      </c>
      <c r="L168" s="220"/>
      <c r="AD168" s="98">
        <v>45091</v>
      </c>
      <c r="AE168" s="99">
        <v>104.0183</v>
      </c>
      <c r="AG168" s="190"/>
      <c r="AH168" s="32"/>
    </row>
    <row r="169" spans="1:34" ht="15" thickBot="1" x14ac:dyDescent="0.2">
      <c r="C169" s="31"/>
      <c r="F169" s="104" t="s">
        <v>89</v>
      </c>
      <c r="G169" s="104"/>
      <c r="H169" s="224">
        <f>H160*_xlfn.XLOOKUP(H155+2-14,$AD$4:$AD$2450,$AE$4:$AE$2450)/$B161</f>
        <v>1477.6602921085703</v>
      </c>
      <c r="I169" s="224">
        <f>I160*_xlfn.XLOOKUP(I155+2-14,$AD$4:$AD$2450,$AE$4:$AE$2450)/$B161</f>
        <v>2105.5193661742328</v>
      </c>
      <c r="J169" s="224">
        <f>J160*_xlfn.XLOOKUP(J155+2-14,$AD$4:$AD$2450,$AE$4:$AE$2450)/$B161</f>
        <v>2981.4843558739717</v>
      </c>
      <c r="K169" s="225">
        <f>K160*_xlfn.XLOOKUP(K155+2-14,$AD$4:$AD$2450,$AE$4:$AE$2450)/$B161</f>
        <v>4240.341691561418</v>
      </c>
      <c r="L169" s="224"/>
      <c r="AD169" s="98">
        <v>45092</v>
      </c>
      <c r="AE169" s="99">
        <v>104.2893</v>
      </c>
      <c r="AG169" s="190"/>
      <c r="AH169" s="32"/>
    </row>
    <row r="170" spans="1:34" ht="15" thickBot="1" x14ac:dyDescent="0.2">
      <c r="AD170" s="98">
        <v>45093</v>
      </c>
      <c r="AE170" s="99">
        <v>104.5508</v>
      </c>
      <c r="AG170" s="190"/>
      <c r="AH170" s="32"/>
    </row>
    <row r="171" spans="1:34" ht="15" thickBot="1" x14ac:dyDescent="0.2">
      <c r="AD171" s="98">
        <v>45094</v>
      </c>
      <c r="AE171" s="99">
        <v>104.8128</v>
      </c>
      <c r="AG171" s="190"/>
      <c r="AH171" s="32"/>
    </row>
    <row r="172" spans="1:34" ht="21" thickBot="1" x14ac:dyDescent="0.25">
      <c r="F172" s="230" t="s">
        <v>50</v>
      </c>
      <c r="AD172" s="98">
        <v>45095</v>
      </c>
      <c r="AE172" s="99">
        <v>105.07559999999999</v>
      </c>
      <c r="AG172" s="190"/>
      <c r="AH172" s="32"/>
    </row>
    <row r="173" spans="1:34" ht="17" thickBot="1" x14ac:dyDescent="0.25">
      <c r="A173" s="36" t="s">
        <v>75</v>
      </c>
      <c r="C173" s="36" t="s">
        <v>76</v>
      </c>
      <c r="F173" t="s">
        <v>98</v>
      </c>
      <c r="AD173" s="98">
        <v>45096</v>
      </c>
      <c r="AE173" s="99">
        <v>105.339</v>
      </c>
      <c r="AG173" s="190"/>
      <c r="AH173" s="32"/>
    </row>
    <row r="174" spans="1:34" ht="15" thickBot="1" x14ac:dyDescent="0.2">
      <c r="A174" s="44" t="s">
        <v>77</v>
      </c>
      <c r="B174" s="45">
        <f>'Monitor Bonos'!C51</f>
        <v>0.09</v>
      </c>
      <c r="C174" s="46" t="s">
        <v>11</v>
      </c>
      <c r="D174" s="47">
        <f ca="1">SUM(H182:Y182)</f>
        <v>78.377448532024076</v>
      </c>
      <c r="F174" s="191" t="s">
        <v>78</v>
      </c>
      <c r="G174" s="31">
        <f ca="1">B175</f>
        <v>45478</v>
      </c>
      <c r="H174" s="192">
        <v>45239</v>
      </c>
      <c r="I174" s="192">
        <v>45421</v>
      </c>
      <c r="J174" s="192">
        <v>45605</v>
      </c>
      <c r="K174" s="192">
        <v>45786</v>
      </c>
      <c r="L174" s="192">
        <v>45970</v>
      </c>
      <c r="M174" s="192">
        <v>46151</v>
      </c>
      <c r="N174" s="192">
        <v>46335</v>
      </c>
      <c r="O174" s="192">
        <v>46516</v>
      </c>
      <c r="P174" s="192">
        <v>46700</v>
      </c>
      <c r="Q174" s="192">
        <v>46882</v>
      </c>
      <c r="R174" s="192">
        <v>47066</v>
      </c>
      <c r="AD174" s="98">
        <v>45097</v>
      </c>
      <c r="AE174" s="99">
        <v>105.60299999999999</v>
      </c>
      <c r="AG174" s="190"/>
      <c r="AH174" s="32"/>
    </row>
    <row r="175" spans="1:34" ht="15" thickBot="1" x14ac:dyDescent="0.2">
      <c r="A175" s="180" t="s">
        <v>79</v>
      </c>
      <c r="B175" s="181">
        <f ca="1">'Monitor Bonos'!$C$7</f>
        <v>45478</v>
      </c>
      <c r="C175" s="182" t="s">
        <v>80</v>
      </c>
      <c r="D175" s="183">
        <f ca="1">+B179*((B175-B178)/(B177-B178))/2</f>
        <v>1.2931385869565217</v>
      </c>
      <c r="F175" s="130" t="s">
        <v>81</v>
      </c>
      <c r="H175" s="195">
        <f ca="1">+(H174-$B$118)/365</f>
        <v>-0.65479452054794518</v>
      </c>
      <c r="I175" s="196">
        <f ca="1">+(I174-$B175)/365</f>
        <v>-0.15616438356164383</v>
      </c>
      <c r="J175" s="196">
        <f ca="1">+(J174-$B175)/365</f>
        <v>0.34794520547945207</v>
      </c>
      <c r="K175" s="196">
        <f ca="1">+(K174-$B175)/365</f>
        <v>0.84383561643835614</v>
      </c>
      <c r="L175" s="196">
        <f t="shared" ref="L175:R175" ca="1" si="24">+(L174-$B175)/365</f>
        <v>1.3479452054794521</v>
      </c>
      <c r="M175" s="196">
        <f t="shared" ca="1" si="24"/>
        <v>1.8438356164383563</v>
      </c>
      <c r="N175" s="196">
        <f t="shared" ca="1" si="24"/>
        <v>2.3479452054794518</v>
      </c>
      <c r="O175" s="196">
        <f t="shared" ca="1" si="24"/>
        <v>2.8438356164383563</v>
      </c>
      <c r="P175" s="196">
        <f t="shared" ca="1" si="24"/>
        <v>3.3479452054794518</v>
      </c>
      <c r="Q175" s="196">
        <f t="shared" ca="1" si="24"/>
        <v>3.8465753424657536</v>
      </c>
      <c r="R175" s="197">
        <f t="shared" ca="1" si="24"/>
        <v>4.3506849315068497</v>
      </c>
      <c r="AD175" s="98">
        <v>45098</v>
      </c>
      <c r="AE175" s="99">
        <v>105.8677</v>
      </c>
      <c r="AG175" s="190"/>
      <c r="AH175" s="32"/>
    </row>
    <row r="176" spans="1:34" ht="15" thickBot="1" x14ac:dyDescent="0.2">
      <c r="A176" s="184" t="s">
        <v>82</v>
      </c>
      <c r="B176" s="185">
        <v>100</v>
      </c>
      <c r="C176" s="182" t="s">
        <v>83</v>
      </c>
      <c r="D176" s="186"/>
      <c r="F176" s="132" t="s">
        <v>29</v>
      </c>
      <c r="H176" s="232">
        <v>2.2499999999999999E-2</v>
      </c>
      <c r="I176" s="236">
        <v>2.2499999999999999E-2</v>
      </c>
      <c r="J176" s="236">
        <v>2.2499999999999999E-2</v>
      </c>
      <c r="K176" s="236">
        <v>2.2499999999999999E-2</v>
      </c>
      <c r="L176" s="236">
        <v>2.2499999999999999E-2</v>
      </c>
      <c r="M176" s="236">
        <v>2.2499999999999999E-2</v>
      </c>
      <c r="N176" s="236">
        <v>2.2499999999999999E-2</v>
      </c>
      <c r="O176" s="236">
        <v>2.2499999999999999E-2</v>
      </c>
      <c r="P176" s="236">
        <v>2.2499999999999999E-2</v>
      </c>
      <c r="Q176" s="236">
        <v>2.2499999999999999E-2</v>
      </c>
      <c r="R176" s="237">
        <v>2.2499999999999999E-2</v>
      </c>
      <c r="AD176" s="98">
        <v>45099</v>
      </c>
      <c r="AE176" s="99">
        <v>106.1331</v>
      </c>
      <c r="AG176" s="190"/>
      <c r="AH176" s="32"/>
    </row>
    <row r="177" spans="1:34" ht="15" thickBot="1" x14ac:dyDescent="0.2">
      <c r="A177" s="184" t="s">
        <v>84</v>
      </c>
      <c r="B177" s="181">
        <f>H174</f>
        <v>45239</v>
      </c>
      <c r="C177" s="182" t="s">
        <v>85</v>
      </c>
      <c r="D177" s="186"/>
      <c r="F177" s="201" t="s">
        <v>56</v>
      </c>
      <c r="AD177" s="98">
        <v>45100</v>
      </c>
      <c r="AE177" s="99">
        <v>106.39919999999999</v>
      </c>
      <c r="AG177" s="190"/>
      <c r="AH177" s="32"/>
    </row>
    <row r="178" spans="1:34" ht="15" thickBot="1" x14ac:dyDescent="0.2">
      <c r="A178" s="184" t="s">
        <v>86</v>
      </c>
      <c r="B178" s="181">
        <v>45055</v>
      </c>
      <c r="C178" s="182" t="s">
        <v>13</v>
      </c>
      <c r="D178" s="186"/>
      <c r="F178" s="130" t="s">
        <v>87</v>
      </c>
      <c r="G178" s="13"/>
      <c r="H178" s="103">
        <f>H176*H179/2</f>
        <v>1.125</v>
      </c>
      <c r="I178" s="202">
        <f t="shared" ref="I178:R178" si="25">I176*I179/2</f>
        <v>1.125</v>
      </c>
      <c r="J178" s="202">
        <f t="shared" si="25"/>
        <v>1.0125</v>
      </c>
      <c r="K178" s="202">
        <f t="shared" si="25"/>
        <v>0.89999999999999991</v>
      </c>
      <c r="L178" s="202">
        <f t="shared" si="25"/>
        <v>0.78749999999999998</v>
      </c>
      <c r="M178" s="202">
        <f t="shared" si="25"/>
        <v>0.67499999999999993</v>
      </c>
      <c r="N178" s="202">
        <f t="shared" si="25"/>
        <v>0.5625</v>
      </c>
      <c r="O178" s="202">
        <f t="shared" si="25"/>
        <v>0.44999999999999996</v>
      </c>
      <c r="P178" s="202">
        <f t="shared" si="25"/>
        <v>0.33749999999999997</v>
      </c>
      <c r="Q178" s="202">
        <f t="shared" si="25"/>
        <v>0.22499999999999998</v>
      </c>
      <c r="R178" s="106">
        <f t="shared" si="25"/>
        <v>0.11249999999999999</v>
      </c>
      <c r="AD178" s="98">
        <v>45101</v>
      </c>
      <c r="AE178" s="99">
        <v>106.66589999999999</v>
      </c>
      <c r="AG178" s="190"/>
      <c r="AH178" s="32"/>
    </row>
    <row r="179" spans="1:34" ht="15" thickBot="1" x14ac:dyDescent="0.2">
      <c r="A179" s="184" t="s">
        <v>88</v>
      </c>
      <c r="B179" s="187">
        <f>H176*100/2</f>
        <v>1.125</v>
      </c>
      <c r="F179" s="131" t="s">
        <v>89</v>
      </c>
      <c r="G179" s="13"/>
      <c r="H179" s="14">
        <v>100</v>
      </c>
      <c r="I179" s="13">
        <f>H179-H180</f>
        <v>100</v>
      </c>
      <c r="J179" s="13">
        <f>I179-I180</f>
        <v>90</v>
      </c>
      <c r="K179" s="13">
        <f>J179-J180</f>
        <v>80</v>
      </c>
      <c r="L179" s="13">
        <f t="shared" ref="L179:R179" si="26">K179-K180</f>
        <v>70</v>
      </c>
      <c r="M179" s="13">
        <f t="shared" si="26"/>
        <v>60</v>
      </c>
      <c r="N179" s="13">
        <f t="shared" si="26"/>
        <v>50</v>
      </c>
      <c r="O179" s="13">
        <f t="shared" si="26"/>
        <v>40</v>
      </c>
      <c r="P179" s="13">
        <f t="shared" si="26"/>
        <v>30</v>
      </c>
      <c r="Q179" s="13">
        <f t="shared" si="26"/>
        <v>20</v>
      </c>
      <c r="R179" s="15">
        <f t="shared" si="26"/>
        <v>10</v>
      </c>
      <c r="AD179" s="98">
        <v>45102</v>
      </c>
      <c r="AE179" s="99">
        <v>106.9333</v>
      </c>
      <c r="AG179" s="190"/>
      <c r="AH179" s="32"/>
    </row>
    <row r="180" spans="1:34" ht="15" thickBot="1" x14ac:dyDescent="0.2">
      <c r="A180" s="184" t="s">
        <v>90</v>
      </c>
      <c r="B180" s="188">
        <v>22.544</v>
      </c>
      <c r="C180" s="218" t="s">
        <v>57</v>
      </c>
      <c r="F180" s="131" t="s">
        <v>28</v>
      </c>
      <c r="G180" s="13"/>
      <c r="H180" s="234">
        <v>0</v>
      </c>
      <c r="I180" s="148">
        <v>10</v>
      </c>
      <c r="J180" s="148">
        <v>10</v>
      </c>
      <c r="K180" s="148">
        <v>10</v>
      </c>
      <c r="L180" s="148">
        <v>10</v>
      </c>
      <c r="M180" s="148">
        <v>10</v>
      </c>
      <c r="N180" s="148">
        <v>10</v>
      </c>
      <c r="O180" s="148">
        <v>10</v>
      </c>
      <c r="P180" s="148">
        <v>10</v>
      </c>
      <c r="Q180" s="148">
        <v>10</v>
      </c>
      <c r="R180" s="140">
        <v>10</v>
      </c>
      <c r="AD180" s="98">
        <v>45103</v>
      </c>
      <c r="AE180" s="99">
        <v>107.2013</v>
      </c>
      <c r="AG180" s="190"/>
      <c r="AH180" s="32"/>
    </row>
    <row r="181" spans="1:34" ht="15" thickBot="1" x14ac:dyDescent="0.2">
      <c r="A181" s="43" t="s">
        <v>91</v>
      </c>
      <c r="B181" s="235">
        <f ca="1">_xlfn.XLOOKUP(TODAY()+2-14,AD173:AD4619,AE173:AE4619)</f>
        <v>108.0095</v>
      </c>
      <c r="C181" s="214" t="s">
        <v>14</v>
      </c>
      <c r="D181" s="219">
        <f ca="1">D174*_xlfn.XLOOKUP(B175+2-14,$AD$4:$AD$6450,$AE$4:$AE$6450)/B180</f>
        <v>756.6895274653308</v>
      </c>
      <c r="F181" s="131" t="s">
        <v>92</v>
      </c>
      <c r="G181" s="13"/>
      <c r="H181" s="14">
        <f ca="1">IF($H175&gt;=0,H178+H180,0)</f>
        <v>0</v>
      </c>
      <c r="I181" s="13">
        <f ca="1">IF(I175&gt;=0,I178+I180,0)</f>
        <v>0</v>
      </c>
      <c r="J181" s="13">
        <f ca="1">IF(J175&gt;=0,J178+J180,0)</f>
        <v>11.012499999999999</v>
      </c>
      <c r="K181" s="13">
        <f ca="1">IF(K175&gt;=0,K178+K180,0)</f>
        <v>10.9</v>
      </c>
      <c r="L181" s="13">
        <f t="shared" ref="L181:R181" ca="1" si="27">IF(L175&gt;=0,L178+L180,0)</f>
        <v>10.7875</v>
      </c>
      <c r="M181" s="13">
        <f t="shared" ca="1" si="27"/>
        <v>10.675000000000001</v>
      </c>
      <c r="N181" s="13">
        <f t="shared" ca="1" si="27"/>
        <v>10.5625</v>
      </c>
      <c r="O181" s="13">
        <f t="shared" ca="1" si="27"/>
        <v>10.45</v>
      </c>
      <c r="P181" s="13">
        <f t="shared" ca="1" si="27"/>
        <v>10.3375</v>
      </c>
      <c r="Q181" s="13">
        <f t="shared" ca="1" si="27"/>
        <v>10.225</v>
      </c>
      <c r="R181" s="15">
        <f t="shared" ca="1" si="27"/>
        <v>10.112500000000001</v>
      </c>
      <c r="AD181" s="98">
        <v>45104</v>
      </c>
      <c r="AE181" s="99">
        <v>107.47</v>
      </c>
      <c r="AG181" s="190"/>
      <c r="AH181" s="32"/>
    </row>
    <row r="182" spans="1:34" ht="15" thickBot="1" x14ac:dyDescent="0.2">
      <c r="A182" s="50" t="s">
        <v>93</v>
      </c>
      <c r="B182" s="189">
        <f ca="1">B181/B180*100</f>
        <v>479.10530518097943</v>
      </c>
      <c r="C182" s="182" t="s">
        <v>94</v>
      </c>
      <c r="D182" s="227">
        <f ca="1">XIRR(G187:N187,G174:N174)</f>
        <v>0.54154303669929504</v>
      </c>
      <c r="F182" s="132" t="s">
        <v>95</v>
      </c>
      <c r="G182" s="215"/>
      <c r="H182" s="207">
        <f ca="1">H181/(1+$B174)^((H174-$B175)/365)</f>
        <v>0</v>
      </c>
      <c r="I182" s="206">
        <f ca="1">I181/(1+$B174)^((I174-$B175)/365)</f>
        <v>0</v>
      </c>
      <c r="J182" s="206">
        <f ca="1">J181/(1+$B174)^((J174-$B175)/365)</f>
        <v>10.68719050274372</v>
      </c>
      <c r="K182" s="206">
        <f ca="1">K181/(1+$B174)^((K174-$B175)/365)</f>
        <v>10.135488517762992</v>
      </c>
      <c r="L182" s="206">
        <f t="shared" ref="L182:R182" ca="1" si="28">L181/(1+$B174)^((L174-$B175)/365)</f>
        <v>9.6044376218307281</v>
      </c>
      <c r="M182" s="206">
        <f t="shared" ca="1" si="28"/>
        <v>9.106669466132475</v>
      </c>
      <c r="N182" s="206">
        <f t="shared" ca="1" si="28"/>
        <v>8.6276268940722733</v>
      </c>
      <c r="O182" s="206">
        <f t="shared" ca="1" si="28"/>
        <v>8.1786473515746163</v>
      </c>
      <c r="P182" s="206">
        <f t="shared" ca="1" si="28"/>
        <v>7.7466450696463482</v>
      </c>
      <c r="Q182" s="206">
        <f t="shared" ca="1" si="28"/>
        <v>7.3400576770005213</v>
      </c>
      <c r="R182" s="217">
        <f t="shared" ca="1" si="28"/>
        <v>6.9506854312604087</v>
      </c>
      <c r="AD182" s="98">
        <v>45105</v>
      </c>
      <c r="AE182" s="99">
        <v>107.7394</v>
      </c>
      <c r="AG182" s="190"/>
      <c r="AH182" s="32"/>
    </row>
    <row r="183" spans="1:34" ht="15" thickBot="1" x14ac:dyDescent="0.2">
      <c r="A183" s="50" t="s">
        <v>96</v>
      </c>
      <c r="C183" s="182"/>
      <c r="D183" s="186"/>
      <c r="AD183" s="98">
        <v>45106</v>
      </c>
      <c r="AE183" s="99">
        <v>108.0095</v>
      </c>
      <c r="AG183" s="190"/>
      <c r="AH183" s="32"/>
    </row>
    <row r="184" spans="1:34" ht="15" thickBot="1" x14ac:dyDescent="0.2">
      <c r="A184" s="50" t="s">
        <v>97</v>
      </c>
      <c r="B184" s="31">
        <v>47066</v>
      </c>
      <c r="C184" s="182"/>
      <c r="D184" s="186"/>
      <c r="F184" s="204" t="s">
        <v>57</v>
      </c>
      <c r="AD184" s="98">
        <v>45107</v>
      </c>
      <c r="AE184" s="99">
        <v>108.2803</v>
      </c>
      <c r="AG184" s="190"/>
      <c r="AH184" s="32"/>
    </row>
    <row r="185" spans="1:34" ht="15" thickBot="1" x14ac:dyDescent="0.2">
      <c r="A185" s="50" t="s">
        <v>96</v>
      </c>
      <c r="F185" s="103" t="s">
        <v>87</v>
      </c>
      <c r="G185" s="103"/>
      <c r="H185" s="205">
        <f>H176/2*H188</f>
        <v>6.8531600571347919</v>
      </c>
      <c r="I185" s="205">
        <f>I176/2*I188</f>
        <v>9.7388002029273206</v>
      </c>
      <c r="J185" s="205">
        <f>J176/2*J188</f>
        <v>12.444897279158821</v>
      </c>
      <c r="K185" s="205">
        <f>K176/2*K188</f>
        <v>15.690509881671543</v>
      </c>
      <c r="L185" s="205">
        <f t="shared" ref="L185:R185" si="29">L176/2*L188</f>
        <v>19.493438868577723</v>
      </c>
      <c r="M185" s="205">
        <f t="shared" si="29"/>
        <v>23.699540935831028</v>
      </c>
      <c r="N185" s="205">
        <f t="shared" si="29"/>
        <v>28.041551469190843</v>
      </c>
      <c r="O185" s="205">
        <f t="shared" si="29"/>
        <v>31.819275603456941</v>
      </c>
      <c r="P185" s="205">
        <f t="shared" si="29"/>
        <v>33.884017891584435</v>
      </c>
      <c r="Q185" s="205">
        <f t="shared" si="29"/>
        <v>32.100975079859182</v>
      </c>
      <c r="R185" s="205">
        <f t="shared" si="29"/>
        <v>22.789331169334393</v>
      </c>
      <c r="AD185" s="98">
        <v>45108</v>
      </c>
      <c r="AE185" s="99">
        <v>108.5517</v>
      </c>
      <c r="AG185" s="190"/>
      <c r="AH185" s="32"/>
    </row>
    <row r="186" spans="1:34" ht="15" thickBot="1" x14ac:dyDescent="0.2">
      <c r="B186" s="231"/>
      <c r="F186" s="14" t="s">
        <v>28</v>
      </c>
      <c r="G186" s="14"/>
      <c r="H186" s="222">
        <f>H180*_xlfn.XLOOKUP(H174+2-14,$AD$4:$AD$5450,$AE$4:$AE$5450)/$B180</f>
        <v>0</v>
      </c>
      <c r="I186" s="222">
        <f t="shared" ref="I186:R186" si="30">I180*_xlfn.XLOOKUP(I174+2-14,$AD$4:$AD$5450,$AE$4:$AE$5450)/$B180</f>
        <v>86.567112914909501</v>
      </c>
      <c r="J186" s="222">
        <f t="shared" si="30"/>
        <v>122.91256572008713</v>
      </c>
      <c r="K186" s="222">
        <f t="shared" si="30"/>
        <v>174.33899868523937</v>
      </c>
      <c r="L186" s="222">
        <f t="shared" si="30"/>
        <v>247.53573166447904</v>
      </c>
      <c r="M186" s="222">
        <f t="shared" si="30"/>
        <v>351.10431016045965</v>
      </c>
      <c r="N186" s="222">
        <f t="shared" si="30"/>
        <v>498.51647056339272</v>
      </c>
      <c r="O186" s="222">
        <f t="shared" si="30"/>
        <v>707.09501341015425</v>
      </c>
      <c r="P186" s="222">
        <f t="shared" si="30"/>
        <v>1003.9709004913907</v>
      </c>
      <c r="Q186" s="222">
        <f t="shared" si="30"/>
        <v>1426.7100035492972</v>
      </c>
      <c r="R186" s="222">
        <f t="shared" si="30"/>
        <v>2025.7183261630573</v>
      </c>
      <c r="T186" s="222"/>
      <c r="AD186" s="98">
        <v>45109</v>
      </c>
      <c r="AE186" s="99">
        <v>108.82380000000001</v>
      </c>
      <c r="AG186" s="190"/>
      <c r="AH186" s="32"/>
    </row>
    <row r="187" spans="1:34" ht="15" thickBot="1" x14ac:dyDescent="0.2">
      <c r="F187" s="14" t="s">
        <v>92</v>
      </c>
      <c r="G187" s="226">
        <f ca="1">-D181</f>
        <v>-756.6895274653308</v>
      </c>
      <c r="H187" s="220">
        <f ca="1">IF(H175&gt;=0,H185+H186,0)</f>
        <v>0</v>
      </c>
      <c r="I187" s="220">
        <f t="shared" ref="I187:R187" ca="1" si="31">IF(I175&gt;=0,I185+I186,0)</f>
        <v>0</v>
      </c>
      <c r="J187" s="220">
        <f t="shared" ca="1" si="31"/>
        <v>135.35746299924594</v>
      </c>
      <c r="K187" s="220">
        <f t="shared" ca="1" si="31"/>
        <v>190.02950856691092</v>
      </c>
      <c r="L187" s="220">
        <f t="shared" ca="1" si="31"/>
        <v>267.02917053305674</v>
      </c>
      <c r="M187" s="220">
        <f t="shared" ca="1" si="31"/>
        <v>374.80385109629066</v>
      </c>
      <c r="N187" s="220">
        <f t="shared" ca="1" si="31"/>
        <v>526.55802203258361</v>
      </c>
      <c r="O187" s="220">
        <f t="shared" ca="1" si="31"/>
        <v>738.91428901361121</v>
      </c>
      <c r="P187" s="220">
        <f t="shared" ca="1" si="31"/>
        <v>1037.854918382975</v>
      </c>
      <c r="Q187" s="220">
        <f t="shared" ca="1" si="31"/>
        <v>1458.8109786291564</v>
      </c>
      <c r="R187" s="220">
        <f t="shared" ca="1" si="31"/>
        <v>2048.5076573323918</v>
      </c>
      <c r="AD187" s="98">
        <v>45110</v>
      </c>
      <c r="AE187" s="99">
        <v>109.0966</v>
      </c>
      <c r="AG187" s="190"/>
      <c r="AH187" s="32"/>
    </row>
    <row r="188" spans="1:34" ht="15" thickBot="1" x14ac:dyDescent="0.2">
      <c r="C188" s="31"/>
      <c r="F188" s="104" t="s">
        <v>89</v>
      </c>
      <c r="G188" s="104"/>
      <c r="H188" s="224">
        <f t="shared" ref="H188:N188" si="32">H179*_xlfn.XLOOKUP(H174+2-14,$AD$4:$AD$5450,$AE$4:$AE$5450)/$B180</f>
        <v>609.16978285642597</v>
      </c>
      <c r="I188" s="224">
        <f t="shared" si="32"/>
        <v>865.67112914909512</v>
      </c>
      <c r="J188" s="224">
        <f t="shared" si="32"/>
        <v>1106.2130914807842</v>
      </c>
      <c r="K188" s="224">
        <f t="shared" si="32"/>
        <v>1394.711989481915</v>
      </c>
      <c r="L188" s="224">
        <f t="shared" si="32"/>
        <v>1732.7501216513533</v>
      </c>
      <c r="M188" s="224">
        <f t="shared" si="32"/>
        <v>2106.625860962758</v>
      </c>
      <c r="N188" s="224">
        <f t="shared" si="32"/>
        <v>2492.582352816964</v>
      </c>
      <c r="O188" s="224">
        <f>O179*_xlfn.XLOOKUP(O174+2-14,$AD$4:$AD$5450,$AE$4:$AE$5450)/$B180</f>
        <v>2828.380053640617</v>
      </c>
      <c r="P188" s="224">
        <f t="shared" ref="P188:R188" si="33">P179*_xlfn.XLOOKUP(P174+2-14,$AD$4:$AD$5450,$AE$4:$AE$5450)/$B180</f>
        <v>3011.9127014741721</v>
      </c>
      <c r="Q188" s="224">
        <f t="shared" si="33"/>
        <v>2853.4200070985944</v>
      </c>
      <c r="R188" s="224">
        <f t="shared" si="33"/>
        <v>2025.7183261630573</v>
      </c>
      <c r="AD188" s="98">
        <v>45111</v>
      </c>
      <c r="AE188" s="99">
        <v>109.37009999999999</v>
      </c>
      <c r="AG188" s="190"/>
      <c r="AH188" s="32"/>
    </row>
    <row r="189" spans="1:34" ht="15" thickBot="1" x14ac:dyDescent="0.2">
      <c r="AD189" s="98">
        <v>45112</v>
      </c>
      <c r="AE189" s="99">
        <v>109.6442</v>
      </c>
      <c r="AG189" s="190"/>
      <c r="AH189" s="32"/>
    </row>
    <row r="190" spans="1:34" ht="15" thickBot="1" x14ac:dyDescent="0.2">
      <c r="AD190" s="98">
        <v>45113</v>
      </c>
      <c r="AE190" s="99">
        <v>109.9191</v>
      </c>
      <c r="AG190" s="190"/>
      <c r="AH190" s="32"/>
    </row>
    <row r="191" spans="1:34" ht="21" thickBot="1" x14ac:dyDescent="0.25">
      <c r="F191" s="230" t="s">
        <v>99</v>
      </c>
      <c r="AD191" s="98">
        <v>45114</v>
      </c>
      <c r="AE191" s="99">
        <v>110.19459999999999</v>
      </c>
      <c r="AG191" s="190"/>
      <c r="AH191" s="32"/>
    </row>
    <row r="192" spans="1:34" ht="17" thickBot="1" x14ac:dyDescent="0.25">
      <c r="A192" s="36" t="s">
        <v>75</v>
      </c>
      <c r="C192" s="36" t="s">
        <v>76</v>
      </c>
      <c r="F192" t="s">
        <v>98</v>
      </c>
      <c r="AD192" s="98">
        <v>45115</v>
      </c>
      <c r="AE192" s="99">
        <v>110.4708</v>
      </c>
      <c r="AG192" s="190"/>
      <c r="AH192" s="32"/>
    </row>
    <row r="193" spans="1:34" ht="15" thickBot="1" x14ac:dyDescent="0.2">
      <c r="A193" s="44" t="s">
        <v>77</v>
      </c>
      <c r="B193" s="45">
        <v>9.6000000000000002E-2</v>
      </c>
      <c r="C193" s="46" t="s">
        <v>11</v>
      </c>
      <c r="D193" s="47">
        <f ca="1">SUM(H201:Y201)</f>
        <v>75.607905576549484</v>
      </c>
      <c r="F193" s="191" t="s">
        <v>78</v>
      </c>
      <c r="G193" s="31">
        <f ca="1">B194</f>
        <v>45478</v>
      </c>
      <c r="H193" s="192">
        <v>45291</v>
      </c>
      <c r="I193" s="193">
        <v>45473</v>
      </c>
      <c r="J193" s="193">
        <v>45657</v>
      </c>
      <c r="K193" s="193">
        <v>45838</v>
      </c>
      <c r="L193" s="193">
        <v>46022</v>
      </c>
      <c r="M193" s="193">
        <v>46203</v>
      </c>
      <c r="N193" s="193">
        <v>46387</v>
      </c>
      <c r="O193" s="193">
        <v>46568</v>
      </c>
      <c r="P193" s="193">
        <v>46752</v>
      </c>
      <c r="Q193" s="193">
        <v>46934</v>
      </c>
      <c r="R193" s="193">
        <v>47118</v>
      </c>
      <c r="S193" s="193">
        <v>47299</v>
      </c>
      <c r="T193" s="193">
        <v>47483</v>
      </c>
      <c r="U193" s="193">
        <v>47664</v>
      </c>
      <c r="V193" s="193">
        <v>47848</v>
      </c>
      <c r="W193" s="193">
        <v>48029</v>
      </c>
      <c r="X193" s="193">
        <v>48213</v>
      </c>
      <c r="Y193" s="193">
        <v>48395</v>
      </c>
      <c r="Z193" s="193">
        <v>48579</v>
      </c>
      <c r="AA193" s="193">
        <v>48760</v>
      </c>
      <c r="AB193" s="194">
        <v>48944</v>
      </c>
      <c r="AD193" s="98">
        <v>45116</v>
      </c>
      <c r="AE193" s="99">
        <v>110.74769999999999</v>
      </c>
      <c r="AG193" s="190"/>
      <c r="AH193" s="32"/>
    </row>
    <row r="194" spans="1:34" ht="15" thickBot="1" x14ac:dyDescent="0.2">
      <c r="A194" s="180" t="s">
        <v>79</v>
      </c>
      <c r="B194" s="181">
        <f ca="1">'Monitor Bonos'!$C$7</f>
        <v>45478</v>
      </c>
      <c r="C194" s="182" t="s">
        <v>80</v>
      </c>
      <c r="D194" s="183">
        <f ca="1">+B198*((B194-B197)/(B196-B197))/2</f>
        <v>2.6123834745762715</v>
      </c>
      <c r="F194" s="130" t="s">
        <v>81</v>
      </c>
      <c r="H194" s="195">
        <f ca="1">+(H193-$B$118)/365</f>
        <v>-0.51232876712328768</v>
      </c>
      <c r="I194" s="196">
        <f ca="1">+(I193-$B194)/365</f>
        <v>-1.3698630136986301E-2</v>
      </c>
      <c r="J194" s="196">
        <f ca="1">+(J193-$B194)/365</f>
        <v>0.49041095890410957</v>
      </c>
      <c r="K194" s="196">
        <f ca="1">+(K193-$B194)/365</f>
        <v>0.98630136986301364</v>
      </c>
      <c r="L194" s="196">
        <f t="shared" ref="L194" ca="1" si="34">+(L193-$B194)/365</f>
        <v>1.4904109589041097</v>
      </c>
      <c r="M194" s="196">
        <f t="shared" ref="M194" ca="1" si="35">+(M193-$B194)/365</f>
        <v>1.9863013698630136</v>
      </c>
      <c r="N194" s="196">
        <f t="shared" ref="N194" ca="1" si="36">+(N193-$B194)/365</f>
        <v>2.4904109589041097</v>
      </c>
      <c r="O194" s="196">
        <f t="shared" ref="O194" ca="1" si="37">+(O193-$B194)/365</f>
        <v>2.9863013698630136</v>
      </c>
      <c r="P194" s="196">
        <f t="shared" ref="P194" ca="1" si="38">+(P193-$B194)/365</f>
        <v>3.4904109589041097</v>
      </c>
      <c r="Q194" s="196">
        <f t="shared" ref="Q194" ca="1" si="39">+(Q193-$B194)/365</f>
        <v>3.989041095890411</v>
      </c>
      <c r="R194" s="196">
        <f t="shared" ref="R194" ca="1" si="40">+(R193-$B194)/365</f>
        <v>4.493150684931507</v>
      </c>
      <c r="S194" s="196">
        <f t="shared" ref="S194" ca="1" si="41">+(S193-$B194)/365</f>
        <v>4.9890410958904106</v>
      </c>
      <c r="T194" s="196">
        <f t="shared" ref="T194" ca="1" si="42">+(T193-$B194)/365</f>
        <v>5.493150684931507</v>
      </c>
      <c r="U194" s="196">
        <f t="shared" ref="U194" ca="1" si="43">+(U193-$B194)/365</f>
        <v>5.9890410958904106</v>
      </c>
      <c r="V194" s="196">
        <f t="shared" ref="V194" ca="1" si="44">+(V193-$B194)/365</f>
        <v>6.493150684931507</v>
      </c>
      <c r="W194" s="196">
        <f t="shared" ref="W194" ca="1" si="45">+(W193-$B194)/365</f>
        <v>6.9890410958904106</v>
      </c>
      <c r="X194" s="196">
        <f t="shared" ref="X194" ca="1" si="46">+(X193-$B194)/365</f>
        <v>7.493150684931507</v>
      </c>
      <c r="Y194" s="196">
        <f t="shared" ref="Y194" ca="1" si="47">+(Y193-$B194)/365</f>
        <v>7.9917808219178079</v>
      </c>
      <c r="Z194" s="196">
        <f t="shared" ref="Z194" ca="1" si="48">+(Z193-$B194)/365</f>
        <v>8.4958904109589035</v>
      </c>
      <c r="AA194" s="196">
        <f t="shared" ref="AA194" ca="1" si="49">+(AA193-$B194)/365</f>
        <v>8.9917808219178088</v>
      </c>
      <c r="AB194" s="197">
        <f t="shared" ref="AB194" ca="1" si="50">+(AB193-$B194)/365</f>
        <v>9.4958904109589035</v>
      </c>
      <c r="AD194" s="98">
        <v>45117</v>
      </c>
      <c r="AE194" s="99">
        <v>111.0254</v>
      </c>
      <c r="AG194" s="190"/>
      <c r="AH194" s="32"/>
    </row>
    <row r="195" spans="1:34" ht="15" thickBot="1" x14ac:dyDescent="0.2">
      <c r="A195" s="184" t="s">
        <v>82</v>
      </c>
      <c r="B195" s="185">
        <v>100</v>
      </c>
      <c r="C195" s="182" t="s">
        <v>83</v>
      </c>
      <c r="D195" s="186"/>
      <c r="F195" s="132" t="s">
        <v>29</v>
      </c>
      <c r="H195" s="232">
        <v>5.8299999999999998E-2</v>
      </c>
      <c r="I195" s="236">
        <v>5.8299999999999998E-2</v>
      </c>
      <c r="J195" s="236">
        <v>5.8299999999999998E-2</v>
      </c>
      <c r="K195" s="236">
        <v>5.8299999999999998E-2</v>
      </c>
      <c r="L195" s="236">
        <v>5.8299999999999998E-2</v>
      </c>
      <c r="M195" s="236">
        <v>5.8299999999999998E-2</v>
      </c>
      <c r="N195" s="236">
        <v>5.8299999999999998E-2</v>
      </c>
      <c r="O195" s="236">
        <v>5.8299999999999998E-2</v>
      </c>
      <c r="P195" s="236">
        <v>5.8299999999999998E-2</v>
      </c>
      <c r="Q195" s="236">
        <v>5.8299999999999998E-2</v>
      </c>
      <c r="R195" s="236">
        <v>5.8299999999999998E-2</v>
      </c>
      <c r="S195" s="236">
        <v>5.8299999999999998E-2</v>
      </c>
      <c r="T195" s="236">
        <v>5.8299999999999998E-2</v>
      </c>
      <c r="U195" s="236">
        <v>5.8299999999999998E-2</v>
      </c>
      <c r="V195" s="236">
        <v>5.8299999999999998E-2</v>
      </c>
      <c r="W195" s="236">
        <v>5.8299999999999998E-2</v>
      </c>
      <c r="X195" s="236">
        <v>5.8299999999999998E-2</v>
      </c>
      <c r="Y195" s="236">
        <v>5.8299999999999998E-2</v>
      </c>
      <c r="Z195" s="236">
        <v>5.8299999999999998E-2</v>
      </c>
      <c r="AA195" s="236">
        <v>5.8299999999999998E-2</v>
      </c>
      <c r="AB195" s="237">
        <v>5.8299999999999998E-2</v>
      </c>
      <c r="AD195" s="98">
        <v>45118</v>
      </c>
      <c r="AE195" s="99">
        <v>111.30370000000001</v>
      </c>
      <c r="AG195" s="190"/>
      <c r="AH195" s="32"/>
    </row>
    <row r="196" spans="1:34" ht="15" thickBot="1" x14ac:dyDescent="0.2">
      <c r="A196" s="184" t="s">
        <v>84</v>
      </c>
      <c r="B196" s="181">
        <f>H193</f>
        <v>45291</v>
      </c>
      <c r="C196" s="182" t="s">
        <v>85</v>
      </c>
      <c r="D196" s="186"/>
      <c r="F196" s="201" t="s">
        <v>56</v>
      </c>
      <c r="AD196" s="98">
        <v>45119</v>
      </c>
      <c r="AE196" s="99">
        <v>111.5827</v>
      </c>
      <c r="AG196" s="190"/>
      <c r="AH196" s="32"/>
    </row>
    <row r="197" spans="1:34" ht="15" thickBot="1" x14ac:dyDescent="0.2">
      <c r="A197" s="184" t="s">
        <v>86</v>
      </c>
      <c r="B197" s="181">
        <v>45055</v>
      </c>
      <c r="C197" s="182" t="s">
        <v>13</v>
      </c>
      <c r="D197" s="186"/>
      <c r="F197" s="130" t="s">
        <v>87</v>
      </c>
      <c r="G197" s="13"/>
      <c r="H197" s="13">
        <f>H195*H198/2</f>
        <v>2.915</v>
      </c>
      <c r="I197" s="13">
        <f t="shared" ref="I197" si="51">I195*I198/2</f>
        <v>2.915</v>
      </c>
      <c r="J197" s="13">
        <f t="shared" ref="J197" si="52">J195*J198/2</f>
        <v>2.76925</v>
      </c>
      <c r="K197" s="13">
        <f t="shared" ref="K197" si="53">K195*K198/2</f>
        <v>2.6234999999999999</v>
      </c>
      <c r="L197" s="13">
        <f t="shared" ref="L197" si="54">L195*L198/2</f>
        <v>2.4777499999999999</v>
      </c>
      <c r="M197" s="13">
        <f t="shared" ref="M197" si="55">M195*M198/2</f>
        <v>2.3319999999999999</v>
      </c>
      <c r="N197" s="13">
        <f t="shared" ref="N197" si="56">N195*N198/2</f>
        <v>2.1862499999999998</v>
      </c>
      <c r="O197" s="13">
        <f t="shared" ref="O197" si="57">O195*O198/2</f>
        <v>2.0404999999999998</v>
      </c>
      <c r="P197" s="13">
        <f t="shared" ref="P197" si="58">P195*P198/2</f>
        <v>1.8947499999999999</v>
      </c>
      <c r="Q197" s="13">
        <f t="shared" ref="Q197" si="59">Q195*Q198/2</f>
        <v>1.7489999999999999</v>
      </c>
      <c r="R197" s="13">
        <f t="shared" ref="R197" si="60">R195*R198/2</f>
        <v>1.6032499999999998</v>
      </c>
      <c r="S197" s="13">
        <f t="shared" ref="S197" si="61">S195*S198/2</f>
        <v>1.4575</v>
      </c>
      <c r="T197" s="13">
        <f t="shared" ref="T197" si="62">T195*T198/2</f>
        <v>1.31175</v>
      </c>
      <c r="U197" s="13">
        <f t="shared" ref="U197" si="63">U195*U198/2</f>
        <v>1.1659999999999999</v>
      </c>
      <c r="V197" s="13">
        <f t="shared" ref="V197" si="64">V195*V198/2</f>
        <v>1.0202499999999999</v>
      </c>
      <c r="W197" s="13">
        <f t="shared" ref="W197" si="65">W195*W198/2</f>
        <v>0.87449999999999994</v>
      </c>
      <c r="X197" s="13">
        <f t="shared" ref="X197" si="66">X195*X198/2</f>
        <v>0.72875000000000001</v>
      </c>
      <c r="Y197" s="13">
        <f t="shared" ref="Y197" si="67">Y195*Y198/2</f>
        <v>0.58299999999999996</v>
      </c>
      <c r="Z197" s="13">
        <f t="shared" ref="Z197" si="68">Z195*Z198/2</f>
        <v>0.43724999999999997</v>
      </c>
      <c r="AA197" s="13">
        <f t="shared" ref="AA197" si="69">AA195*AA198/2</f>
        <v>0.29149999999999998</v>
      </c>
      <c r="AB197" s="13">
        <f t="shared" ref="AB197" si="70">AB195*AB198/2</f>
        <v>0.14574999999999999</v>
      </c>
      <c r="AD197" s="98">
        <v>45120</v>
      </c>
      <c r="AE197" s="99">
        <v>111.86239999999999</v>
      </c>
      <c r="AG197" s="190"/>
      <c r="AH197" s="32"/>
    </row>
    <row r="198" spans="1:34" ht="15" thickBot="1" x14ac:dyDescent="0.2">
      <c r="A198" s="184" t="s">
        <v>88</v>
      </c>
      <c r="B198" s="187">
        <f>H195*100/2</f>
        <v>2.915</v>
      </c>
      <c r="F198" s="131" t="s">
        <v>89</v>
      </c>
      <c r="G198" s="13"/>
      <c r="H198" s="13">
        <v>100</v>
      </c>
      <c r="I198" s="13">
        <f>H198-H199</f>
        <v>100</v>
      </c>
      <c r="J198" s="13">
        <f>I198-I199</f>
        <v>95</v>
      </c>
      <c r="K198" s="13">
        <f>J198-J199</f>
        <v>90</v>
      </c>
      <c r="L198" s="13">
        <f t="shared" ref="L198:AB198" si="71">K198-K199</f>
        <v>85</v>
      </c>
      <c r="M198" s="13">
        <f t="shared" si="71"/>
        <v>80</v>
      </c>
      <c r="N198" s="13">
        <f t="shared" si="71"/>
        <v>75</v>
      </c>
      <c r="O198" s="13">
        <f t="shared" si="71"/>
        <v>70</v>
      </c>
      <c r="P198" s="13">
        <f t="shared" si="71"/>
        <v>65</v>
      </c>
      <c r="Q198" s="13">
        <f t="shared" si="71"/>
        <v>60</v>
      </c>
      <c r="R198" s="13">
        <f t="shared" si="71"/>
        <v>55</v>
      </c>
      <c r="S198" s="13">
        <f t="shared" si="71"/>
        <v>50</v>
      </c>
      <c r="T198" s="13">
        <f t="shared" si="71"/>
        <v>45</v>
      </c>
      <c r="U198" s="13">
        <f t="shared" si="71"/>
        <v>40</v>
      </c>
      <c r="V198" s="13">
        <f t="shared" si="71"/>
        <v>35</v>
      </c>
      <c r="W198" s="13">
        <f t="shared" si="71"/>
        <v>30</v>
      </c>
      <c r="X198" s="13">
        <f t="shared" si="71"/>
        <v>25</v>
      </c>
      <c r="Y198" s="13">
        <f t="shared" si="71"/>
        <v>20</v>
      </c>
      <c r="Z198" s="13">
        <f t="shared" si="71"/>
        <v>15</v>
      </c>
      <c r="AA198" s="13">
        <f t="shared" si="71"/>
        <v>10</v>
      </c>
      <c r="AB198" s="13">
        <f t="shared" si="71"/>
        <v>5</v>
      </c>
      <c r="AD198" s="98">
        <v>45121</v>
      </c>
      <c r="AE198" s="99">
        <v>112.14279999999999</v>
      </c>
      <c r="AG198" s="190"/>
      <c r="AH198" s="32"/>
    </row>
    <row r="199" spans="1:34" ht="15" thickBot="1" x14ac:dyDescent="0.2">
      <c r="A199" s="184" t="s">
        <v>90</v>
      </c>
      <c r="B199" s="188">
        <v>22.544</v>
      </c>
      <c r="C199" s="218" t="s">
        <v>57</v>
      </c>
      <c r="F199" s="131" t="s">
        <v>28</v>
      </c>
      <c r="G199" s="13"/>
      <c r="H199" s="148">
        <v>0</v>
      </c>
      <c r="I199" s="148">
        <v>5</v>
      </c>
      <c r="J199" s="148">
        <v>5</v>
      </c>
      <c r="K199" s="148">
        <v>5</v>
      </c>
      <c r="L199" s="148">
        <v>5</v>
      </c>
      <c r="M199" s="148">
        <v>5</v>
      </c>
      <c r="N199" s="148">
        <v>5</v>
      </c>
      <c r="O199" s="148">
        <v>5</v>
      </c>
      <c r="P199" s="148">
        <v>5</v>
      </c>
      <c r="Q199" s="148">
        <v>5</v>
      </c>
      <c r="R199" s="148">
        <v>5</v>
      </c>
      <c r="S199" s="148">
        <v>5</v>
      </c>
      <c r="T199" s="148">
        <v>5</v>
      </c>
      <c r="U199" s="148">
        <v>5</v>
      </c>
      <c r="V199" s="148">
        <v>5</v>
      </c>
      <c r="W199" s="148">
        <v>5</v>
      </c>
      <c r="X199" s="148">
        <v>5</v>
      </c>
      <c r="Y199" s="148">
        <v>5</v>
      </c>
      <c r="Z199" s="148">
        <v>5</v>
      </c>
      <c r="AA199" s="148">
        <v>5</v>
      </c>
      <c r="AB199" s="148">
        <v>5</v>
      </c>
      <c r="AD199" s="98">
        <v>45122</v>
      </c>
      <c r="AE199" s="100">
        <v>112.4239</v>
      </c>
      <c r="AG199" s="190"/>
      <c r="AH199" s="32"/>
    </row>
    <row r="200" spans="1:34" ht="15" thickBot="1" x14ac:dyDescent="0.2">
      <c r="A200" s="43" t="s">
        <v>91</v>
      </c>
      <c r="B200" s="235">
        <f ca="1">_xlfn.XLOOKUP(TODAY()+2-14,AD173:AD4619,AE173:AE4619)</f>
        <v>108.0095</v>
      </c>
      <c r="C200" s="214" t="s">
        <v>14</v>
      </c>
      <c r="D200" s="219">
        <f ca="1">D193*_xlfn.XLOOKUP(B194+2-14,$AD$4:$AD$6450,$AE$4:$AE$6450)/B199</f>
        <v>729.95117109466207</v>
      </c>
      <c r="F200" s="131" t="s">
        <v>92</v>
      </c>
      <c r="G200" s="13"/>
      <c r="H200" s="13">
        <f ca="1">IF($H194&gt;=0,H197+H199,0)</f>
        <v>0</v>
      </c>
      <c r="I200" s="13">
        <f ca="1">IF(I194&gt;=0,I197+I199,0)</f>
        <v>0</v>
      </c>
      <c r="J200" s="13">
        <f ca="1">IF(J194&gt;=0,J197+J199,0)</f>
        <v>7.7692499999999995</v>
      </c>
      <c r="K200" s="13">
        <f ca="1">IF(K194&gt;=0,K197+K199,0)</f>
        <v>7.6234999999999999</v>
      </c>
      <c r="L200" s="13">
        <f t="shared" ref="L200" ca="1" si="72">IF(L194&gt;=0,L197+L199,0)</f>
        <v>7.4777500000000003</v>
      </c>
      <c r="M200" s="13">
        <f t="shared" ref="M200" ca="1" si="73">IF(M194&gt;=0,M197+M199,0)</f>
        <v>7.3319999999999999</v>
      </c>
      <c r="N200" s="13">
        <f t="shared" ref="N200" ca="1" si="74">IF(N194&gt;=0,N197+N199,0)</f>
        <v>7.1862499999999994</v>
      </c>
      <c r="O200" s="13">
        <f t="shared" ref="O200" ca="1" si="75">IF(O194&gt;=0,O197+O199,0)</f>
        <v>7.0404999999999998</v>
      </c>
      <c r="P200" s="13">
        <f t="shared" ref="P200" ca="1" si="76">IF(P194&gt;=0,P197+P199,0)</f>
        <v>6.8947500000000002</v>
      </c>
      <c r="Q200" s="13">
        <f t="shared" ref="Q200" ca="1" si="77">IF(Q194&gt;=0,Q197+Q199,0)</f>
        <v>6.7489999999999997</v>
      </c>
      <c r="R200" s="13">
        <f t="shared" ref="R200" ca="1" si="78">IF(R194&gt;=0,R197+R199,0)</f>
        <v>6.6032500000000001</v>
      </c>
      <c r="S200" s="13">
        <f t="shared" ref="S200" ca="1" si="79">IF(S194&gt;=0,S197+S199,0)</f>
        <v>6.4574999999999996</v>
      </c>
      <c r="T200" s="13">
        <f t="shared" ref="T200" ca="1" si="80">IF(T194&gt;=0,T197+T199,0)</f>
        <v>6.31175</v>
      </c>
      <c r="U200" s="13">
        <f t="shared" ref="U200" ca="1" si="81">IF(U194&gt;=0,U197+U199,0)</f>
        <v>6.1660000000000004</v>
      </c>
      <c r="V200" s="13">
        <f t="shared" ref="V200" ca="1" si="82">IF(V194&gt;=0,V197+V199,0)</f>
        <v>6.0202499999999999</v>
      </c>
      <c r="W200" s="13">
        <f t="shared" ref="W200" ca="1" si="83">IF(W194&gt;=0,W197+W199,0)</f>
        <v>5.8745000000000003</v>
      </c>
      <c r="X200" s="13">
        <f t="shared" ref="X200" ca="1" si="84">IF(X194&gt;=0,X197+X199,0)</f>
        <v>5.7287499999999998</v>
      </c>
      <c r="Y200" s="13">
        <f t="shared" ref="Y200" ca="1" si="85">IF(Y194&gt;=0,Y197+Y199,0)</f>
        <v>5.5830000000000002</v>
      </c>
      <c r="Z200" s="13">
        <f t="shared" ref="Z200" ca="1" si="86">IF(Z194&gt;=0,Z197+Z199,0)</f>
        <v>5.4372499999999997</v>
      </c>
      <c r="AA200" s="13">
        <f t="shared" ref="AA200" ca="1" si="87">IF(AA194&gt;=0,AA197+AA199,0)</f>
        <v>5.2915000000000001</v>
      </c>
      <c r="AB200" s="13">
        <f t="shared" ref="AB200" ca="1" si="88">IF(AB194&gt;=0,AB197+AB199,0)</f>
        <v>5.1457499999999996</v>
      </c>
      <c r="AD200" s="98">
        <f>AD199+1</f>
        <v>45123</v>
      </c>
      <c r="AE200">
        <f t="shared" ref="AE200:AE230" si="89">AE199*$AI$4</f>
        <v>112.64247279458861</v>
      </c>
      <c r="AG200" s="190"/>
      <c r="AH200" s="32"/>
    </row>
    <row r="201" spans="1:34" ht="15" thickBot="1" x14ac:dyDescent="0.2">
      <c r="A201" s="50" t="s">
        <v>93</v>
      </c>
      <c r="B201" s="189">
        <f ca="1">B200/B199*100</f>
        <v>479.10530518097943</v>
      </c>
      <c r="C201" s="182" t="s">
        <v>94</v>
      </c>
      <c r="D201" s="227">
        <f ca="1">XIRR(G206:N206,G193:N193)</f>
        <v>0.28842337727546685</v>
      </c>
      <c r="F201" s="132" t="s">
        <v>95</v>
      </c>
      <c r="G201" s="215"/>
      <c r="H201" s="215">
        <f ca="1">H200/(1+$B193)^((H193-$B194)/365)</f>
        <v>0</v>
      </c>
      <c r="I201" s="215">
        <f ca="1">I200/(1+$B193)^((I193-$B194)/365)</f>
        <v>0</v>
      </c>
      <c r="J201" s="215">
        <f ca="1">J200/(1+$B193)^((J193-$B194)/365)</f>
        <v>7.4277206924606478</v>
      </c>
      <c r="K201" s="215">
        <f ca="1">K200/(1+$B193)^((K193-$B194)/365)</f>
        <v>6.964488098162759</v>
      </c>
      <c r="L201" s="215">
        <f t="shared" ref="L201" ca="1" si="90">L200/(1+$B193)^((L193-$B194)/365)</f>
        <v>6.522841945923302</v>
      </c>
      <c r="M201" s="215">
        <f t="shared" ref="M201" ca="1" si="91">M200/(1+$B193)^((M193-$B194)/365)</f>
        <v>6.1114842665865279</v>
      </c>
      <c r="N201" s="215">
        <f t="shared" ref="N201" ca="1" si="92">N200/(1+$B193)^((N193-$B194)/365)</f>
        <v>5.7194949559473303</v>
      </c>
      <c r="O201" s="215">
        <f t="shared" ref="O201" ca="1" si="93">O200/(1+$B193)^((O193-$B194)/365)</f>
        <v>5.3544786401404156</v>
      </c>
      <c r="P201" s="215">
        <f t="shared" ref="P201" ca="1" si="94">P200/(1+$B193)^((P193-$B194)/365)</f>
        <v>5.0068355712155403</v>
      </c>
      <c r="Q201" s="215">
        <f t="shared" ref="Q201" ca="1" si="95">Q200/(1+$B193)^((Q193-$B194)/365)</f>
        <v>4.6820224479885182</v>
      </c>
      <c r="R201" s="215">
        <f t="shared" ref="R201" ca="1" si="96">R200/(1+$B193)^((R193-$B194)/365)</f>
        <v>4.3740417233854165</v>
      </c>
      <c r="S201" s="215">
        <f t="shared" ref="S201" ca="1" si="97">S200/(1+$B193)^((S193-$B194)/365)</f>
        <v>4.0874073744753012</v>
      </c>
      <c r="T201" s="215">
        <f t="shared" ref="T201" ca="1" si="98">T200/(1+$B193)^((T193-$B194)/365)</f>
        <v>3.8147353683084471</v>
      </c>
      <c r="U201" s="215">
        <f t="shared" ref="U201" ca="1" si="99">U200/(1+$B193)^((U193-$B194)/365)</f>
        <v>3.5610369133122957</v>
      </c>
      <c r="V201" s="215">
        <f t="shared" ref="V201" ca="1" si="100">V200/(1+$B193)^((V193-$B194)/365)</f>
        <v>3.3198510542206399</v>
      </c>
      <c r="W201" s="215">
        <f t="shared" ref="W201" ca="1" si="101">W200/(1+$B193)^((W193-$B194)/365)</f>
        <v>3.0955178248585189</v>
      </c>
      <c r="X201" s="215">
        <f t="shared" ref="X201" ca="1" si="102">X200/(1+$B193)^((X193-$B194)/365)</f>
        <v>2.8823942925695252</v>
      </c>
      <c r="Y201" s="215">
        <f t="shared" ref="Y201" ca="1" si="103">Y200/(1+$B193)^((Y193-$B194)/365)</f>
        <v>2.6835544069942969</v>
      </c>
      <c r="Z201" s="215">
        <f t="shared" ref="Z201" ca="1" si="104">Z200/(1+$B193)^((Z193-$B194)/365)</f>
        <v>2.495474846541609</v>
      </c>
      <c r="AA201" s="215">
        <f t="shared" ref="AA201" ca="1" si="105">AA200/(1+$B193)^((AA193-$B194)/365)</f>
        <v>2.3206573632367942</v>
      </c>
      <c r="AB201" s="215">
        <f t="shared" ref="AB201" ca="1" si="106">AB200/(1+$B193)^((AB193-$B194)/365)</f>
        <v>2.154825088290238</v>
      </c>
      <c r="AD201" s="98">
        <f t="shared" ref="AD201:AD264" si="107">AD200+1</f>
        <v>45124</v>
      </c>
      <c r="AE201">
        <f t="shared" si="89"/>
        <v>112.86147053499866</v>
      </c>
      <c r="AG201" s="190"/>
      <c r="AH201" s="32"/>
    </row>
    <row r="202" spans="1:34" ht="15" thickBot="1" x14ac:dyDescent="0.2">
      <c r="A202" s="50" t="s">
        <v>96</v>
      </c>
      <c r="C202" s="182"/>
      <c r="D202" s="186"/>
      <c r="AD202" s="98">
        <f t="shared" si="107"/>
        <v>45125</v>
      </c>
      <c r="AE202">
        <f t="shared" si="89"/>
        <v>113.08089404740318</v>
      </c>
      <c r="AG202" s="190"/>
      <c r="AH202" s="32"/>
    </row>
    <row r="203" spans="1:34" ht="15" thickBot="1" x14ac:dyDescent="0.2">
      <c r="A203" s="50" t="s">
        <v>97</v>
      </c>
      <c r="B203" s="31">
        <v>47066</v>
      </c>
      <c r="C203" s="182"/>
      <c r="D203" s="186"/>
      <c r="F203" s="204" t="s">
        <v>57</v>
      </c>
      <c r="AD203" s="98">
        <f t="shared" si="107"/>
        <v>45126</v>
      </c>
      <c r="AE203">
        <f t="shared" si="89"/>
        <v>113.30074415958146</v>
      </c>
      <c r="AG203" s="190"/>
      <c r="AH203" s="32"/>
    </row>
    <row r="204" spans="1:34" ht="15" thickBot="1" x14ac:dyDescent="0.2">
      <c r="A204" s="50" t="s">
        <v>96</v>
      </c>
      <c r="F204" s="103" t="s">
        <v>87</v>
      </c>
      <c r="G204" s="103"/>
      <c r="H204" s="205">
        <f>H195/2*H207</f>
        <v>19.607584404572801</v>
      </c>
      <c r="I204" s="205">
        <f>I195/2*I207</f>
        <v>27.879409426433149</v>
      </c>
      <c r="J204" s="205">
        <f>J195/2*J207</f>
        <v>37.584227678966506</v>
      </c>
      <c r="K204" s="205">
        <f>K195/2*K207</f>
        <v>50.532140251760111</v>
      </c>
      <c r="L204" s="205">
        <f t="shared" ref="L204:R204" si="108">L195/2*L207</f>
        <v>67.723994280383621</v>
      </c>
      <c r="M204" s="205">
        <f t="shared" si="108"/>
        <v>90.46004178487911</v>
      </c>
      <c r="N204" s="205">
        <f t="shared" si="108"/>
        <v>120.3445744773412</v>
      </c>
      <c r="O204" s="205">
        <f t="shared" si="108"/>
        <v>159.40665574858252</v>
      </c>
      <c r="P204" s="205">
        <f t="shared" si="108"/>
        <v>210.04880858057405</v>
      </c>
      <c r="Q204" s="205">
        <f t="shared" si="108"/>
        <v>275.68782866192697</v>
      </c>
      <c r="R204" s="205">
        <f t="shared" si="108"/>
        <v>358.61420408341905</v>
      </c>
      <c r="AD204" s="98">
        <f t="shared" si="107"/>
        <v>45127</v>
      </c>
      <c r="AE204">
        <f t="shared" si="89"/>
        <v>113.52102170092212</v>
      </c>
      <c r="AG204" s="190"/>
      <c r="AH204" s="32"/>
    </row>
    <row r="205" spans="1:34" ht="15" thickBot="1" x14ac:dyDescent="0.2">
      <c r="B205" s="231"/>
      <c r="F205" s="14" t="s">
        <v>28</v>
      </c>
      <c r="G205" s="14"/>
      <c r="H205" s="222">
        <f>H199*_xlfn.XLOOKUP(H193+2-14,$AD$4:$AD$5450,$AE$4:$AE$5450)/$B199</f>
        <v>0</v>
      </c>
      <c r="I205" s="222">
        <f t="shared" ref="I205:R205" si="109">I199*_xlfn.XLOOKUP(I193+2-14,$AD$4:$AD$5450,$AE$4:$AE$5450)/$B199</f>
        <v>47.820599359233533</v>
      </c>
      <c r="J205" s="222">
        <f t="shared" si="109"/>
        <v>67.859939837440649</v>
      </c>
      <c r="K205" s="222">
        <f t="shared" si="109"/>
        <v>96.306728133714728</v>
      </c>
      <c r="L205" s="222">
        <f t="shared" si="109"/>
        <v>136.66430083822746</v>
      </c>
      <c r="M205" s="222">
        <f t="shared" si="109"/>
        <v>193.95377741183344</v>
      </c>
      <c r="N205" s="222">
        <f t="shared" si="109"/>
        <v>275.23058771261566</v>
      </c>
      <c r="O205" s="222">
        <f t="shared" si="109"/>
        <v>390.60685064587733</v>
      </c>
      <c r="P205" s="222">
        <f t="shared" si="109"/>
        <v>554.29161784027986</v>
      </c>
      <c r="Q205" s="222">
        <f t="shared" si="109"/>
        <v>788.12987038858466</v>
      </c>
      <c r="R205" s="222">
        <f t="shared" si="109"/>
        <v>1118.3976425492563</v>
      </c>
      <c r="AD205" s="98">
        <f t="shared" si="107"/>
        <v>45128</v>
      </c>
      <c r="AE205">
        <f t="shared" si="89"/>
        <v>113.74172750242629</v>
      </c>
      <c r="AG205" s="190"/>
      <c r="AH205" s="32"/>
    </row>
    <row r="206" spans="1:34" ht="15" thickBot="1" x14ac:dyDescent="0.2">
      <c r="F206" s="14" t="s">
        <v>92</v>
      </c>
      <c r="G206" s="226">
        <f ca="1">-D200</f>
        <v>-729.95117109466207</v>
      </c>
      <c r="H206" s="220">
        <f ca="1">IF(H194&gt;=0,H204+H205,0)</f>
        <v>0</v>
      </c>
      <c r="I206" s="220">
        <f t="shared" ref="I206:R206" ca="1" si="110">IF(I194&gt;=0,I204+I205,0)</f>
        <v>0</v>
      </c>
      <c r="J206" s="220">
        <f t="shared" ca="1" si="110"/>
        <v>105.44416751640716</v>
      </c>
      <c r="K206" s="220">
        <f t="shared" ca="1" si="110"/>
        <v>146.83886838547483</v>
      </c>
      <c r="L206" s="220">
        <f t="shared" ca="1" si="110"/>
        <v>204.3882951186111</v>
      </c>
      <c r="M206" s="220">
        <f t="shared" ca="1" si="110"/>
        <v>284.41381919671255</v>
      </c>
      <c r="N206" s="220">
        <f t="shared" ca="1" si="110"/>
        <v>395.57516218995687</v>
      </c>
      <c r="O206" s="220">
        <f t="shared" ca="1" si="110"/>
        <v>550.01350639445991</v>
      </c>
      <c r="P206" s="220">
        <f t="shared" ca="1" si="110"/>
        <v>764.34042642085387</v>
      </c>
      <c r="Q206" s="220">
        <f t="shared" ca="1" si="110"/>
        <v>1063.8176990505117</v>
      </c>
      <c r="R206" s="220">
        <f t="shared" ca="1" si="110"/>
        <v>1477.0118466326753</v>
      </c>
      <c r="AD206" s="98">
        <f t="shared" si="107"/>
        <v>45129</v>
      </c>
      <c r="AE206">
        <f t="shared" si="89"/>
        <v>113.9628623967107</v>
      </c>
      <c r="AG206" s="190"/>
      <c r="AH206" s="32"/>
    </row>
    <row r="207" spans="1:34" ht="15" thickBot="1" x14ac:dyDescent="0.2">
      <c r="C207" s="31"/>
      <c r="F207" s="104" t="s">
        <v>89</v>
      </c>
      <c r="G207" s="104"/>
      <c r="H207" s="224">
        <f t="shared" ref="H207:N207" si="111">H198*_xlfn.XLOOKUP(H193+2-14,$AD$4:$AD$5450,$AE$4:$AE$5450)/$B199</f>
        <v>672.64440495961583</v>
      </c>
      <c r="I207" s="224">
        <f t="shared" si="111"/>
        <v>956.41198718467069</v>
      </c>
      <c r="J207" s="224">
        <f t="shared" si="111"/>
        <v>1289.3388569113724</v>
      </c>
      <c r="K207" s="224">
        <f t="shared" si="111"/>
        <v>1733.5211064068649</v>
      </c>
      <c r="L207" s="224">
        <f t="shared" si="111"/>
        <v>2323.2931142498669</v>
      </c>
      <c r="M207" s="224">
        <f t="shared" si="111"/>
        <v>3103.2604385893351</v>
      </c>
      <c r="N207" s="224">
        <f t="shared" si="111"/>
        <v>4128.4588156892351</v>
      </c>
      <c r="O207" s="224">
        <f>O198*_xlfn.XLOOKUP(O193+2-14,$AD$4:$AD$5450,$AE$4:$AE$5450)/$B199</f>
        <v>5468.4959090422826</v>
      </c>
      <c r="P207" s="224">
        <f t="shared" ref="P207:R207" si="112">P198*_xlfn.XLOOKUP(P193+2-14,$AD$4:$AD$5450,$AE$4:$AE$5450)/$B199</f>
        <v>7205.791031923638</v>
      </c>
      <c r="Q207" s="224">
        <f t="shared" si="112"/>
        <v>9457.5584446630182</v>
      </c>
      <c r="R207" s="224">
        <f t="shared" si="112"/>
        <v>12302.374068041821</v>
      </c>
      <c r="AD207" s="98">
        <f t="shared" si="107"/>
        <v>45130</v>
      </c>
      <c r="AE207">
        <f t="shared" si="89"/>
        <v>114.18442721801085</v>
      </c>
      <c r="AG207" s="190"/>
      <c r="AH207" s="32"/>
    </row>
    <row r="208" spans="1:34" ht="15" thickBot="1" x14ac:dyDescent="0.2">
      <c r="AD208" s="98">
        <f t="shared" si="107"/>
        <v>45131</v>
      </c>
      <c r="AE208">
        <f t="shared" si="89"/>
        <v>114.40642280218415</v>
      </c>
      <c r="AG208" s="190"/>
      <c r="AH208" s="32"/>
    </row>
    <row r="209" spans="30:34" ht="15" thickBot="1" x14ac:dyDescent="0.2">
      <c r="AD209" s="98">
        <f t="shared" si="107"/>
        <v>45132</v>
      </c>
      <c r="AE209">
        <f t="shared" si="89"/>
        <v>114.62884998671306</v>
      </c>
      <c r="AG209" s="190"/>
      <c r="AH209" s="32"/>
    </row>
    <row r="210" spans="30:34" ht="15" thickBot="1" x14ac:dyDescent="0.2">
      <c r="AD210" s="98">
        <f t="shared" si="107"/>
        <v>45133</v>
      </c>
      <c r="AE210">
        <f t="shared" si="89"/>
        <v>114.85170961070827</v>
      </c>
      <c r="AG210" s="190"/>
      <c r="AH210" s="32"/>
    </row>
    <row r="211" spans="30:34" ht="15" thickBot="1" x14ac:dyDescent="0.2">
      <c r="AD211" s="98">
        <f t="shared" si="107"/>
        <v>45134</v>
      </c>
      <c r="AE211">
        <f t="shared" si="89"/>
        <v>115.07500251491184</v>
      </c>
      <c r="AG211" s="190"/>
      <c r="AH211" s="32"/>
    </row>
    <row r="212" spans="30:34" ht="15" thickBot="1" x14ac:dyDescent="0.2">
      <c r="AD212" s="98">
        <f t="shared" si="107"/>
        <v>45135</v>
      </c>
      <c r="AE212">
        <f t="shared" si="89"/>
        <v>115.29872954170041</v>
      </c>
      <c r="AG212" s="190"/>
      <c r="AH212" s="32"/>
    </row>
    <row r="213" spans="30:34" ht="15" thickBot="1" x14ac:dyDescent="0.2">
      <c r="AD213" s="98">
        <f t="shared" si="107"/>
        <v>45136</v>
      </c>
      <c r="AE213">
        <f t="shared" si="89"/>
        <v>115.52289153508835</v>
      </c>
      <c r="AG213" s="190"/>
      <c r="AH213" s="32"/>
    </row>
    <row r="214" spans="30:34" ht="15" thickBot="1" x14ac:dyDescent="0.2">
      <c r="AD214" s="98">
        <f t="shared" si="107"/>
        <v>45137</v>
      </c>
      <c r="AE214">
        <f t="shared" si="89"/>
        <v>115.74748934073094</v>
      </c>
      <c r="AG214" s="190"/>
      <c r="AH214" s="32"/>
    </row>
    <row r="215" spans="30:34" ht="15" thickBot="1" x14ac:dyDescent="0.2">
      <c r="AD215" s="98">
        <f t="shared" si="107"/>
        <v>45138</v>
      </c>
      <c r="AE215">
        <f t="shared" si="89"/>
        <v>115.97252380592757</v>
      </c>
      <c r="AG215" s="190"/>
      <c r="AH215" s="32"/>
    </row>
    <row r="216" spans="30:34" ht="15" thickBot="1" x14ac:dyDescent="0.2">
      <c r="AD216" s="98">
        <f t="shared" si="107"/>
        <v>45139</v>
      </c>
      <c r="AE216">
        <f t="shared" si="89"/>
        <v>116.19799577962493</v>
      </c>
      <c r="AG216" s="190"/>
      <c r="AH216" s="32"/>
    </row>
    <row r="217" spans="30:34" ht="15" thickBot="1" x14ac:dyDescent="0.2">
      <c r="AD217" s="98">
        <f t="shared" si="107"/>
        <v>45140</v>
      </c>
      <c r="AE217">
        <f t="shared" si="89"/>
        <v>116.42390611242025</v>
      </c>
      <c r="AG217" s="190"/>
      <c r="AH217" s="32"/>
    </row>
    <row r="218" spans="30:34" ht="15" thickBot="1" x14ac:dyDescent="0.2">
      <c r="AD218" s="98">
        <f t="shared" si="107"/>
        <v>45141</v>
      </c>
      <c r="AE218">
        <f t="shared" si="89"/>
        <v>116.65025565656445</v>
      </c>
      <c r="AG218" s="190"/>
      <c r="AH218" s="32"/>
    </row>
    <row r="219" spans="30:34" ht="15" thickBot="1" x14ac:dyDescent="0.2">
      <c r="AD219" s="98">
        <f t="shared" si="107"/>
        <v>45142</v>
      </c>
      <c r="AE219">
        <f t="shared" si="89"/>
        <v>116.87704526596541</v>
      </c>
      <c r="AG219" s="190"/>
      <c r="AH219" s="32"/>
    </row>
    <row r="220" spans="30:34" ht="15" thickBot="1" x14ac:dyDescent="0.2">
      <c r="AD220" s="98">
        <f t="shared" si="107"/>
        <v>45143</v>
      </c>
      <c r="AE220">
        <f t="shared" si="89"/>
        <v>117.10427579619112</v>
      </c>
      <c r="AG220" s="190"/>
      <c r="AH220" s="32"/>
    </row>
    <row r="221" spans="30:34" ht="15" thickBot="1" x14ac:dyDescent="0.2">
      <c r="AD221" s="98">
        <f t="shared" si="107"/>
        <v>45144</v>
      </c>
      <c r="AE221">
        <f t="shared" si="89"/>
        <v>117.33194810447297</v>
      </c>
      <c r="AG221" s="190"/>
      <c r="AH221" s="32"/>
    </row>
    <row r="222" spans="30:34" ht="15" thickBot="1" x14ac:dyDescent="0.2">
      <c r="AD222" s="98">
        <f t="shared" si="107"/>
        <v>45145</v>
      </c>
      <c r="AE222">
        <f t="shared" si="89"/>
        <v>117.560063049709</v>
      </c>
      <c r="AG222" s="190"/>
      <c r="AH222" s="32"/>
    </row>
    <row r="223" spans="30:34" ht="15" thickBot="1" x14ac:dyDescent="0.2">
      <c r="AD223" s="98">
        <f t="shared" si="107"/>
        <v>45146</v>
      </c>
      <c r="AE223">
        <f t="shared" si="89"/>
        <v>117.78862149246706</v>
      </c>
      <c r="AG223" s="190"/>
      <c r="AH223" s="32"/>
    </row>
    <row r="224" spans="30:34" ht="15" thickBot="1" x14ac:dyDescent="0.2">
      <c r="AD224" s="98">
        <f t="shared" si="107"/>
        <v>45147</v>
      </c>
      <c r="AE224">
        <f t="shared" si="89"/>
        <v>118.01762429498812</v>
      </c>
      <c r="AG224" s="190"/>
      <c r="AH224" s="32"/>
    </row>
    <row r="225" spans="30:34" ht="15" thickBot="1" x14ac:dyDescent="0.2">
      <c r="AD225" s="98">
        <f t="shared" si="107"/>
        <v>45148</v>
      </c>
      <c r="AE225">
        <f t="shared" si="89"/>
        <v>118.24707232118953</v>
      </c>
      <c r="AG225" s="190"/>
      <c r="AH225" s="32"/>
    </row>
    <row r="226" spans="30:34" ht="15" thickBot="1" x14ac:dyDescent="0.2">
      <c r="AD226" s="98">
        <f t="shared" si="107"/>
        <v>45149</v>
      </c>
      <c r="AE226">
        <f t="shared" si="89"/>
        <v>118.47696643666822</v>
      </c>
      <c r="AG226" s="190"/>
      <c r="AH226" s="32"/>
    </row>
    <row r="227" spans="30:34" ht="15" thickBot="1" x14ac:dyDescent="0.2">
      <c r="AD227" s="98">
        <f t="shared" si="107"/>
        <v>45150</v>
      </c>
      <c r="AE227">
        <f t="shared" si="89"/>
        <v>118.70730750870401</v>
      </c>
      <c r="AG227" s="190"/>
      <c r="AH227" s="32"/>
    </row>
    <row r="228" spans="30:34" ht="15" thickBot="1" x14ac:dyDescent="0.2">
      <c r="AD228" s="98">
        <f t="shared" si="107"/>
        <v>45151</v>
      </c>
      <c r="AE228">
        <f t="shared" si="89"/>
        <v>118.93809640626286</v>
      </c>
      <c r="AG228" s="190"/>
      <c r="AH228" s="32"/>
    </row>
    <row r="229" spans="30:34" ht="15" thickBot="1" x14ac:dyDescent="0.2">
      <c r="AD229" s="98">
        <f t="shared" si="107"/>
        <v>45152</v>
      </c>
      <c r="AE229">
        <f t="shared" si="89"/>
        <v>119.16933400000019</v>
      </c>
      <c r="AG229" s="190"/>
      <c r="AH229" s="32"/>
    </row>
    <row r="230" spans="30:34" ht="15" thickBot="1" x14ac:dyDescent="0.2">
      <c r="AD230" s="98">
        <f t="shared" si="107"/>
        <v>45153</v>
      </c>
      <c r="AE230">
        <f t="shared" si="89"/>
        <v>119.40102116226412</v>
      </c>
      <c r="AG230" s="190"/>
      <c r="AH230" s="32"/>
    </row>
    <row r="231" spans="30:34" ht="15" thickBot="1" x14ac:dyDescent="0.2">
      <c r="AD231" s="98">
        <f t="shared" si="107"/>
        <v>45154</v>
      </c>
      <c r="AE231">
        <f t="shared" ref="AE231:AE261" si="113">AE230*$AI$5</f>
        <v>119.62566341746263</v>
      </c>
      <c r="AG231" s="190"/>
      <c r="AH231" s="32"/>
    </row>
    <row r="232" spans="30:34" ht="15" thickBot="1" x14ac:dyDescent="0.2">
      <c r="AD232" s="98">
        <f t="shared" si="107"/>
        <v>45155</v>
      </c>
      <c r="AE232">
        <f t="shared" si="113"/>
        <v>119.85072831680883</v>
      </c>
      <c r="AG232" s="190"/>
      <c r="AH232" s="32"/>
    </row>
    <row r="233" spans="30:34" ht="15" thickBot="1" x14ac:dyDescent="0.2">
      <c r="AD233" s="98">
        <f t="shared" si="107"/>
        <v>45156</v>
      </c>
      <c r="AE233">
        <f t="shared" si="113"/>
        <v>120.07621665546955</v>
      </c>
      <c r="AG233" s="190"/>
      <c r="AH233" s="32"/>
    </row>
    <row r="234" spans="30:34" ht="15" thickBot="1" x14ac:dyDescent="0.2">
      <c r="AD234" s="98">
        <f t="shared" si="107"/>
        <v>45157</v>
      </c>
      <c r="AE234">
        <f t="shared" si="113"/>
        <v>120.3021292301077</v>
      </c>
      <c r="AG234" s="190"/>
      <c r="AH234" s="32"/>
    </row>
    <row r="235" spans="30:34" ht="15" thickBot="1" x14ac:dyDescent="0.2">
      <c r="AD235" s="98">
        <f t="shared" si="107"/>
        <v>45158</v>
      </c>
      <c r="AE235">
        <f t="shared" si="113"/>
        <v>120.528466838885</v>
      </c>
      <c r="AG235" s="190"/>
      <c r="AH235" s="32"/>
    </row>
    <row r="236" spans="30:34" ht="15" thickBot="1" x14ac:dyDescent="0.2">
      <c r="AD236" s="98">
        <f t="shared" si="107"/>
        <v>45159</v>
      </c>
      <c r="AE236">
        <f t="shared" si="113"/>
        <v>120.75523028146488</v>
      </c>
      <c r="AG236" s="190"/>
      <c r="AH236" s="32"/>
    </row>
    <row r="237" spans="30:34" ht="15" thickBot="1" x14ac:dyDescent="0.2">
      <c r="AD237" s="98">
        <f t="shared" si="107"/>
        <v>45160</v>
      </c>
      <c r="AE237">
        <f t="shared" si="113"/>
        <v>120.98242035901522</v>
      </c>
      <c r="AG237" s="190"/>
      <c r="AH237" s="32"/>
    </row>
    <row r="238" spans="30:34" ht="15" thickBot="1" x14ac:dyDescent="0.2">
      <c r="AD238" s="98">
        <f t="shared" si="107"/>
        <v>45161</v>
      </c>
      <c r="AE238">
        <f t="shared" si="113"/>
        <v>121.21003787421127</v>
      </c>
      <c r="AG238" s="190"/>
      <c r="AH238" s="32"/>
    </row>
    <row r="239" spans="30:34" ht="15" thickBot="1" x14ac:dyDescent="0.2">
      <c r="AD239" s="98">
        <f t="shared" si="107"/>
        <v>45162</v>
      </c>
      <c r="AE239">
        <f t="shared" si="113"/>
        <v>121.4380836312384</v>
      </c>
      <c r="AG239" s="190"/>
      <c r="AH239" s="32"/>
    </row>
    <row r="240" spans="30:34" ht="15" thickBot="1" x14ac:dyDescent="0.2">
      <c r="AD240" s="98">
        <f t="shared" si="107"/>
        <v>45163</v>
      </c>
      <c r="AE240">
        <f t="shared" si="113"/>
        <v>121.66655843579501</v>
      </c>
      <c r="AG240" s="190"/>
      <c r="AH240" s="32"/>
    </row>
    <row r="241" spans="30:34" ht="15" thickBot="1" x14ac:dyDescent="0.2">
      <c r="AD241" s="98">
        <f t="shared" si="107"/>
        <v>45164</v>
      </c>
      <c r="AE241">
        <f t="shared" si="113"/>
        <v>121.89546309509534</v>
      </c>
      <c r="AG241" s="190"/>
      <c r="AH241" s="32"/>
    </row>
    <row r="242" spans="30:34" ht="15" thickBot="1" x14ac:dyDescent="0.2">
      <c r="AD242" s="98">
        <f t="shared" si="107"/>
        <v>45165</v>
      </c>
      <c r="AE242">
        <f t="shared" si="113"/>
        <v>122.12479841787233</v>
      </c>
      <c r="AG242" s="190"/>
      <c r="AH242" s="32"/>
    </row>
    <row r="243" spans="30:34" ht="15" thickBot="1" x14ac:dyDescent="0.2">
      <c r="AD243" s="98">
        <f t="shared" si="107"/>
        <v>45166</v>
      </c>
      <c r="AE243">
        <f t="shared" si="113"/>
        <v>122.35456521438049</v>
      </c>
      <c r="AG243" s="190"/>
      <c r="AH243" s="32"/>
    </row>
    <row r="244" spans="30:34" ht="15" thickBot="1" x14ac:dyDescent="0.2">
      <c r="AD244" s="98">
        <f t="shared" si="107"/>
        <v>45167</v>
      </c>
      <c r="AE244">
        <f t="shared" si="113"/>
        <v>122.58476429639872</v>
      </c>
      <c r="AG244" s="190"/>
      <c r="AH244" s="32"/>
    </row>
    <row r="245" spans="30:34" ht="15" thickBot="1" x14ac:dyDescent="0.2">
      <c r="AD245" s="98">
        <f t="shared" si="107"/>
        <v>45168</v>
      </c>
      <c r="AE245">
        <f t="shared" si="113"/>
        <v>122.81539647723324</v>
      </c>
      <c r="AG245" s="190"/>
      <c r="AH245" s="32"/>
    </row>
    <row r="246" spans="30:34" ht="15" thickBot="1" x14ac:dyDescent="0.2">
      <c r="AD246" s="98">
        <f t="shared" si="107"/>
        <v>45169</v>
      </c>
      <c r="AE246">
        <f t="shared" si="113"/>
        <v>123.04646257172043</v>
      </c>
      <c r="AG246" s="190"/>
      <c r="AH246" s="32"/>
    </row>
    <row r="247" spans="30:34" ht="15" thickBot="1" x14ac:dyDescent="0.2">
      <c r="AD247" s="98">
        <f t="shared" si="107"/>
        <v>45170</v>
      </c>
      <c r="AE247">
        <f t="shared" si="113"/>
        <v>123.27796339622968</v>
      </c>
      <c r="AG247" s="190"/>
      <c r="AH247" s="32"/>
    </row>
    <row r="248" spans="30:34" ht="15" thickBot="1" x14ac:dyDescent="0.2">
      <c r="AD248" s="98">
        <f t="shared" si="107"/>
        <v>45171</v>
      </c>
      <c r="AE248">
        <f t="shared" si="113"/>
        <v>123.50989976866636</v>
      </c>
      <c r="AG248" s="190"/>
      <c r="AH248" s="32"/>
    </row>
    <row r="249" spans="30:34" ht="15" thickBot="1" x14ac:dyDescent="0.2">
      <c r="AD249" s="98">
        <f t="shared" si="107"/>
        <v>45172</v>
      </c>
      <c r="AE249">
        <f t="shared" si="113"/>
        <v>123.7422725084746</v>
      </c>
      <c r="AG249" s="190"/>
      <c r="AH249" s="32"/>
    </row>
    <row r="250" spans="30:34" ht="15" thickBot="1" x14ac:dyDescent="0.2">
      <c r="AD250" s="98">
        <f t="shared" si="107"/>
        <v>45173</v>
      </c>
      <c r="AE250">
        <f t="shared" si="113"/>
        <v>123.97508243664026</v>
      </c>
      <c r="AG250" s="190"/>
      <c r="AH250" s="32"/>
    </row>
    <row r="251" spans="30:34" ht="15" thickBot="1" x14ac:dyDescent="0.2">
      <c r="AD251" s="98">
        <f t="shared" si="107"/>
        <v>45174</v>
      </c>
      <c r="AE251">
        <f t="shared" si="113"/>
        <v>124.20833037569383</v>
      </c>
      <c r="AG251" s="190"/>
      <c r="AH251" s="32"/>
    </row>
    <row r="252" spans="30:34" ht="15" thickBot="1" x14ac:dyDescent="0.2">
      <c r="AD252" s="98">
        <f t="shared" si="107"/>
        <v>45175</v>
      </c>
      <c r="AE252">
        <f t="shared" si="113"/>
        <v>124.44201714971329</v>
      </c>
      <c r="AG252" s="190"/>
      <c r="AH252" s="32"/>
    </row>
    <row r="253" spans="30:34" ht="15" thickBot="1" x14ac:dyDescent="0.2">
      <c r="AD253" s="98">
        <f t="shared" si="107"/>
        <v>45176</v>
      </c>
      <c r="AE253">
        <f t="shared" si="113"/>
        <v>124.67614358432706</v>
      </c>
      <c r="AG253" s="190"/>
      <c r="AH253" s="32"/>
    </row>
    <row r="254" spans="30:34" ht="15" thickBot="1" x14ac:dyDescent="0.2">
      <c r="AD254" s="98">
        <f t="shared" si="107"/>
        <v>45177</v>
      </c>
      <c r="AE254">
        <f t="shared" si="113"/>
        <v>124.91071050671691</v>
      </c>
      <c r="AG254" s="190"/>
      <c r="AH254" s="32"/>
    </row>
    <row r="255" spans="30:34" ht="15" thickBot="1" x14ac:dyDescent="0.2">
      <c r="AD255" s="98">
        <f t="shared" si="107"/>
        <v>45178</v>
      </c>
      <c r="AE255">
        <f t="shared" si="113"/>
        <v>125.14571874562087</v>
      </c>
      <c r="AG255" s="190"/>
      <c r="AH255" s="32"/>
    </row>
    <row r="256" spans="30:34" ht="15" thickBot="1" x14ac:dyDescent="0.2">
      <c r="AD256" s="98">
        <f t="shared" si="107"/>
        <v>45179</v>
      </c>
      <c r="AE256">
        <f t="shared" si="113"/>
        <v>125.38116913133616</v>
      </c>
      <c r="AG256" s="190"/>
      <c r="AH256" s="32"/>
    </row>
    <row r="257" spans="30:34" ht="15" thickBot="1" x14ac:dyDescent="0.2">
      <c r="AD257" s="98">
        <f t="shared" si="107"/>
        <v>45180</v>
      </c>
      <c r="AE257">
        <f t="shared" si="113"/>
        <v>125.61706249572217</v>
      </c>
      <c r="AG257" s="190"/>
      <c r="AH257" s="32"/>
    </row>
    <row r="258" spans="30:34" ht="15" thickBot="1" x14ac:dyDescent="0.2">
      <c r="AD258" s="98">
        <f t="shared" si="107"/>
        <v>45181</v>
      </c>
      <c r="AE258">
        <f t="shared" si="113"/>
        <v>125.8533996722033</v>
      </c>
      <c r="AG258" s="190"/>
      <c r="AH258" s="32"/>
    </row>
    <row r="259" spans="30:34" ht="15" thickBot="1" x14ac:dyDescent="0.2">
      <c r="AD259" s="98">
        <f t="shared" si="107"/>
        <v>45182</v>
      </c>
      <c r="AE259">
        <f t="shared" si="113"/>
        <v>126.09018149577199</v>
      </c>
      <c r="AG259" s="190"/>
      <c r="AH259" s="32"/>
    </row>
    <row r="260" spans="30:34" ht="15" thickBot="1" x14ac:dyDescent="0.2">
      <c r="AD260" s="98">
        <f t="shared" si="107"/>
        <v>45183</v>
      </c>
      <c r="AE260">
        <f t="shared" si="113"/>
        <v>126.32740880299164</v>
      </c>
      <c r="AG260" s="190"/>
      <c r="AH260" s="32"/>
    </row>
    <row r="261" spans="30:34" ht="15" thickBot="1" x14ac:dyDescent="0.2">
      <c r="AD261" s="98">
        <f t="shared" si="107"/>
        <v>45184</v>
      </c>
      <c r="AE261">
        <f t="shared" si="113"/>
        <v>126.56508243199958</v>
      </c>
      <c r="AG261" s="190"/>
      <c r="AH261" s="32"/>
    </row>
    <row r="262" spans="30:34" ht="15" thickBot="1" x14ac:dyDescent="0.2">
      <c r="AD262" s="98">
        <f t="shared" si="107"/>
        <v>45185</v>
      </c>
      <c r="AE262">
        <f t="shared" ref="AE262:AE291" si="114">AE261*$AI$6</f>
        <v>126.80320322251002</v>
      </c>
      <c r="AG262" s="190"/>
      <c r="AH262" s="32"/>
    </row>
    <row r="263" spans="30:34" ht="15" thickBot="1" x14ac:dyDescent="0.2">
      <c r="AD263" s="98">
        <f t="shared" si="107"/>
        <v>45186</v>
      </c>
      <c r="AE263">
        <f t="shared" si="114"/>
        <v>127.04177201581699</v>
      </c>
      <c r="AG263" s="190"/>
      <c r="AH263" s="32"/>
    </row>
    <row r="264" spans="30:34" ht="15" thickBot="1" x14ac:dyDescent="0.2">
      <c r="AD264" s="98">
        <f t="shared" si="107"/>
        <v>45187</v>
      </c>
      <c r="AE264">
        <f t="shared" si="114"/>
        <v>127.28078965479736</v>
      </c>
      <c r="AG264" s="190"/>
      <c r="AH264" s="32"/>
    </row>
    <row r="265" spans="30:34" ht="15" thickBot="1" x14ac:dyDescent="0.2">
      <c r="AD265" s="98">
        <f t="shared" ref="AD265:AD328" si="115">AD264+1</f>
        <v>45188</v>
      </c>
      <c r="AE265">
        <f t="shared" si="114"/>
        <v>127.5202569839138</v>
      </c>
      <c r="AG265" s="190"/>
      <c r="AH265" s="32"/>
    </row>
    <row r="266" spans="30:34" ht="15" thickBot="1" x14ac:dyDescent="0.2">
      <c r="AD266" s="98">
        <f t="shared" si="115"/>
        <v>45189</v>
      </c>
      <c r="AE266">
        <f t="shared" si="114"/>
        <v>127.76017484921773</v>
      </c>
      <c r="AG266" s="190"/>
      <c r="AH266" s="32"/>
    </row>
    <row r="267" spans="30:34" ht="15" thickBot="1" x14ac:dyDescent="0.2">
      <c r="AD267" s="98">
        <f t="shared" si="115"/>
        <v>45190</v>
      </c>
      <c r="AE267">
        <f t="shared" si="114"/>
        <v>128.00054409835241</v>
      </c>
      <c r="AG267" s="190"/>
      <c r="AH267" s="32"/>
    </row>
    <row r="268" spans="30:34" ht="15" thickBot="1" x14ac:dyDescent="0.2">
      <c r="AD268" s="98">
        <f t="shared" si="115"/>
        <v>45191</v>
      </c>
      <c r="AE268">
        <f t="shared" si="114"/>
        <v>128.24136558055577</v>
      </c>
      <c r="AG268" s="190"/>
      <c r="AH268" s="32"/>
    </row>
    <row r="269" spans="30:34" ht="15" thickBot="1" x14ac:dyDescent="0.2">
      <c r="AD269" s="98">
        <f t="shared" si="115"/>
        <v>45192</v>
      </c>
      <c r="AE269">
        <f t="shared" si="114"/>
        <v>128.48264014666356</v>
      </c>
      <c r="AG269" s="190"/>
      <c r="AH269" s="32"/>
    </row>
    <row r="270" spans="30:34" ht="15" thickBot="1" x14ac:dyDescent="0.2">
      <c r="AD270" s="98">
        <f t="shared" si="115"/>
        <v>45193</v>
      </c>
      <c r="AE270">
        <f t="shared" si="114"/>
        <v>128.72436864911231</v>
      </c>
      <c r="AG270" s="190"/>
      <c r="AH270" s="32"/>
    </row>
    <row r="271" spans="30:34" ht="15" thickBot="1" x14ac:dyDescent="0.2">
      <c r="AD271" s="98">
        <f t="shared" si="115"/>
        <v>45194</v>
      </c>
      <c r="AE271">
        <f t="shared" si="114"/>
        <v>128.96655194194233</v>
      </c>
      <c r="AG271" s="190"/>
      <c r="AH271" s="32"/>
    </row>
    <row r="272" spans="30:34" ht="15" thickBot="1" x14ac:dyDescent="0.2">
      <c r="AD272" s="98">
        <f t="shared" si="115"/>
        <v>45195</v>
      </c>
      <c r="AE272">
        <f t="shared" si="114"/>
        <v>129.20919088080069</v>
      </c>
      <c r="AG272" s="190"/>
      <c r="AH272" s="32"/>
    </row>
    <row r="273" spans="30:34" ht="15" thickBot="1" x14ac:dyDescent="0.2">
      <c r="AD273" s="98">
        <f t="shared" si="115"/>
        <v>45196</v>
      </c>
      <c r="AE273">
        <f t="shared" si="114"/>
        <v>129.4522863229443</v>
      </c>
      <c r="AG273" s="190"/>
      <c r="AH273" s="32"/>
    </row>
    <row r="274" spans="30:34" ht="15" thickBot="1" x14ac:dyDescent="0.2">
      <c r="AD274" s="98">
        <f t="shared" si="115"/>
        <v>45197</v>
      </c>
      <c r="AE274">
        <f t="shared" si="114"/>
        <v>129.69583912724295</v>
      </c>
      <c r="AG274" s="190"/>
      <c r="AH274" s="32"/>
    </row>
    <row r="275" spans="30:34" ht="15" thickBot="1" x14ac:dyDescent="0.2">
      <c r="AD275" s="98">
        <f t="shared" si="115"/>
        <v>45198</v>
      </c>
      <c r="AE275">
        <f t="shared" si="114"/>
        <v>129.93985015418227</v>
      </c>
      <c r="AG275" s="190"/>
      <c r="AH275" s="32"/>
    </row>
    <row r="276" spans="30:34" ht="15" thickBot="1" x14ac:dyDescent="0.2">
      <c r="AD276" s="98">
        <f t="shared" si="115"/>
        <v>45199</v>
      </c>
      <c r="AE276">
        <f t="shared" si="114"/>
        <v>130.18432026586686</v>
      </c>
      <c r="AG276" s="190"/>
      <c r="AH276" s="32"/>
    </row>
    <row r="277" spans="30:34" ht="15" thickBot="1" x14ac:dyDescent="0.2">
      <c r="AD277" s="98">
        <f t="shared" si="115"/>
        <v>45200</v>
      </c>
      <c r="AE277">
        <f t="shared" si="114"/>
        <v>130.42925032602326</v>
      </c>
      <c r="AG277" s="190"/>
      <c r="AH277" s="32"/>
    </row>
    <row r="278" spans="30:34" ht="15" thickBot="1" x14ac:dyDescent="0.2">
      <c r="AD278" s="98">
        <f t="shared" si="115"/>
        <v>45201</v>
      </c>
      <c r="AE278">
        <f t="shared" si="114"/>
        <v>130.67464120000307</v>
      </c>
      <c r="AG278" s="190"/>
      <c r="AH278" s="32"/>
    </row>
    <row r="279" spans="30:34" ht="15" thickBot="1" x14ac:dyDescent="0.2">
      <c r="AD279" s="98">
        <f t="shared" si="115"/>
        <v>45202</v>
      </c>
      <c r="AE279">
        <f t="shared" si="114"/>
        <v>130.92049375478592</v>
      </c>
      <c r="AG279" s="190"/>
    </row>
    <row r="280" spans="30:34" ht="15" thickBot="1" x14ac:dyDescent="0.2">
      <c r="AD280" s="98">
        <f t="shared" si="115"/>
        <v>45203</v>
      </c>
      <c r="AE280">
        <f t="shared" si="114"/>
        <v>131.16680885898265</v>
      </c>
      <c r="AG280" s="190"/>
    </row>
    <row r="281" spans="30:34" ht="15" thickBot="1" x14ac:dyDescent="0.2">
      <c r="AD281" s="98">
        <f t="shared" si="115"/>
        <v>45204</v>
      </c>
      <c r="AE281">
        <f t="shared" si="114"/>
        <v>131.41358738283824</v>
      </c>
      <c r="AG281" s="190"/>
    </row>
    <row r="282" spans="30:34" ht="15" thickBot="1" x14ac:dyDescent="0.2">
      <c r="AD282" s="98">
        <f t="shared" si="115"/>
        <v>45205</v>
      </c>
      <c r="AE282">
        <f t="shared" si="114"/>
        <v>131.66083019823503</v>
      </c>
      <c r="AG282" s="190"/>
    </row>
    <row r="283" spans="30:34" ht="15" thickBot="1" x14ac:dyDescent="0.2">
      <c r="AD283" s="98">
        <f t="shared" si="115"/>
        <v>45206</v>
      </c>
      <c r="AE283">
        <f t="shared" si="114"/>
        <v>131.90853817869566</v>
      </c>
      <c r="AG283" s="190"/>
    </row>
    <row r="284" spans="30:34" ht="14" thickBot="1" x14ac:dyDescent="0.2">
      <c r="AD284" s="98">
        <f t="shared" si="115"/>
        <v>45207</v>
      </c>
      <c r="AE284">
        <f t="shared" si="114"/>
        <v>132.15671219938628</v>
      </c>
    </row>
    <row r="285" spans="30:34" ht="14" thickBot="1" x14ac:dyDescent="0.2">
      <c r="AD285" s="98">
        <f t="shared" si="115"/>
        <v>45208</v>
      </c>
      <c r="AE285">
        <f t="shared" si="114"/>
        <v>132.40535313711953</v>
      </c>
    </row>
    <row r="286" spans="30:34" ht="14" thickBot="1" x14ac:dyDescent="0.2">
      <c r="AD286" s="98">
        <f t="shared" si="115"/>
        <v>45209</v>
      </c>
      <c r="AE286">
        <f t="shared" si="114"/>
        <v>132.65446187035772</v>
      </c>
    </row>
    <row r="287" spans="30:34" ht="14" thickBot="1" x14ac:dyDescent="0.2">
      <c r="AD287" s="98">
        <f t="shared" si="115"/>
        <v>45210</v>
      </c>
      <c r="AE287">
        <f t="shared" si="114"/>
        <v>132.90403927921594</v>
      </c>
    </row>
    <row r="288" spans="30:34" ht="14" thickBot="1" x14ac:dyDescent="0.2">
      <c r="AD288" s="98">
        <f t="shared" si="115"/>
        <v>45211</v>
      </c>
      <c r="AE288">
        <f t="shared" si="114"/>
        <v>133.15408624546509</v>
      </c>
    </row>
    <row r="289" spans="30:31" ht="14" thickBot="1" x14ac:dyDescent="0.2">
      <c r="AD289" s="98">
        <f t="shared" si="115"/>
        <v>45212</v>
      </c>
      <c r="AE289">
        <f t="shared" si="114"/>
        <v>133.40460365253509</v>
      </c>
    </row>
    <row r="290" spans="30:31" ht="14" thickBot="1" x14ac:dyDescent="0.2">
      <c r="AD290" s="98">
        <f t="shared" si="115"/>
        <v>45213</v>
      </c>
      <c r="AE290">
        <f t="shared" si="114"/>
        <v>133.65559238551791</v>
      </c>
    </row>
    <row r="291" spans="30:31" ht="14" thickBot="1" x14ac:dyDescent="0.2">
      <c r="AD291" s="98">
        <f t="shared" si="115"/>
        <v>45214</v>
      </c>
      <c r="AE291">
        <f t="shared" si="114"/>
        <v>133.90705333117074</v>
      </c>
    </row>
    <row r="292" spans="30:31" ht="14" thickBot="1" x14ac:dyDescent="0.2">
      <c r="AD292" s="98">
        <f t="shared" si="115"/>
        <v>45215</v>
      </c>
      <c r="AE292">
        <f t="shared" ref="AE292:AE322" si="116">AE291*$AI$7</f>
        <v>134.16739333771491</v>
      </c>
    </row>
    <row r="293" spans="30:31" ht="14" thickBot="1" x14ac:dyDescent="0.2">
      <c r="AD293" s="98">
        <f t="shared" si="115"/>
        <v>45216</v>
      </c>
      <c r="AE293">
        <f t="shared" si="116"/>
        <v>134.42823949324318</v>
      </c>
    </row>
    <row r="294" spans="30:31" ht="14" thickBot="1" x14ac:dyDescent="0.2">
      <c r="AD294" s="98">
        <f t="shared" si="115"/>
        <v>45217</v>
      </c>
      <c r="AE294">
        <f t="shared" si="116"/>
        <v>134.6895927818025</v>
      </c>
    </row>
    <row r="295" spans="30:31" ht="14" thickBot="1" x14ac:dyDescent="0.2">
      <c r="AD295" s="98">
        <f t="shared" si="115"/>
        <v>45218</v>
      </c>
      <c r="AE295">
        <f t="shared" si="116"/>
        <v>134.95145418935303</v>
      </c>
    </row>
    <row r="296" spans="30:31" ht="14" thickBot="1" x14ac:dyDescent="0.2">
      <c r="AD296" s="98">
        <f t="shared" si="115"/>
        <v>45219</v>
      </c>
      <c r="AE296">
        <f t="shared" si="116"/>
        <v>135.21382470377179</v>
      </c>
    </row>
    <row r="297" spans="30:31" ht="14" thickBot="1" x14ac:dyDescent="0.2">
      <c r="AD297" s="98">
        <f t="shared" si="115"/>
        <v>45220</v>
      </c>
      <c r="AE297">
        <f t="shared" si="116"/>
        <v>135.47670531485642</v>
      </c>
    </row>
    <row r="298" spans="30:31" ht="14" thickBot="1" x14ac:dyDescent="0.2">
      <c r="AD298" s="98">
        <f t="shared" si="115"/>
        <v>45221</v>
      </c>
      <c r="AE298">
        <f t="shared" si="116"/>
        <v>135.74009701432891</v>
      </c>
    </row>
    <row r="299" spans="30:31" ht="14" thickBot="1" x14ac:dyDescent="0.2">
      <c r="AD299" s="98">
        <f t="shared" si="115"/>
        <v>45222</v>
      </c>
      <c r="AE299">
        <f t="shared" si="116"/>
        <v>136.00400079583935</v>
      </c>
    </row>
    <row r="300" spans="30:31" ht="14" thickBot="1" x14ac:dyDescent="0.2">
      <c r="AD300" s="98">
        <f t="shared" si="115"/>
        <v>45223</v>
      </c>
      <c r="AE300">
        <f t="shared" si="116"/>
        <v>136.26841765496965</v>
      </c>
    </row>
    <row r="301" spans="30:31" ht="14" thickBot="1" x14ac:dyDescent="0.2">
      <c r="AD301" s="98">
        <f t="shared" si="115"/>
        <v>45224</v>
      </c>
      <c r="AE301">
        <f t="shared" si="116"/>
        <v>136.53334858923731</v>
      </c>
    </row>
    <row r="302" spans="30:31" ht="14" thickBot="1" x14ac:dyDescent="0.2">
      <c r="AD302" s="98">
        <f t="shared" si="115"/>
        <v>45225</v>
      </c>
      <c r="AE302">
        <f t="shared" si="116"/>
        <v>136.79879459809922</v>
      </c>
    </row>
    <row r="303" spans="30:31" ht="14" thickBot="1" x14ac:dyDescent="0.2">
      <c r="AD303" s="98">
        <f t="shared" si="115"/>
        <v>45226</v>
      </c>
      <c r="AE303">
        <f t="shared" si="116"/>
        <v>137.06475668295536</v>
      </c>
    </row>
    <row r="304" spans="30:31" ht="14" thickBot="1" x14ac:dyDescent="0.2">
      <c r="AD304" s="98">
        <f t="shared" si="115"/>
        <v>45227</v>
      </c>
      <c r="AE304">
        <f t="shared" si="116"/>
        <v>137.33123584715267</v>
      </c>
    </row>
    <row r="305" spans="30:31" ht="14" thickBot="1" x14ac:dyDescent="0.2">
      <c r="AD305" s="98">
        <f t="shared" si="115"/>
        <v>45228</v>
      </c>
      <c r="AE305">
        <f t="shared" si="116"/>
        <v>137.59823309598872</v>
      </c>
    </row>
    <row r="306" spans="30:31" ht="14" thickBot="1" x14ac:dyDescent="0.2">
      <c r="AD306" s="98">
        <f t="shared" si="115"/>
        <v>45229</v>
      </c>
      <c r="AE306">
        <f t="shared" si="116"/>
        <v>137.86574943671559</v>
      </c>
    </row>
    <row r="307" spans="30:31" ht="14" thickBot="1" x14ac:dyDescent="0.2">
      <c r="AD307" s="98">
        <f t="shared" si="115"/>
        <v>45230</v>
      </c>
      <c r="AE307">
        <f t="shared" si="116"/>
        <v>138.13378587854368</v>
      </c>
    </row>
    <row r="308" spans="30:31" ht="14" thickBot="1" x14ac:dyDescent="0.2">
      <c r="AD308" s="98">
        <f t="shared" si="115"/>
        <v>45231</v>
      </c>
      <c r="AE308">
        <f t="shared" si="116"/>
        <v>138.40234343264541</v>
      </c>
    </row>
    <row r="309" spans="30:31" ht="14" thickBot="1" x14ac:dyDescent="0.2">
      <c r="AD309" s="98">
        <f t="shared" si="115"/>
        <v>45232</v>
      </c>
      <c r="AE309">
        <f t="shared" si="116"/>
        <v>138.67142311215915</v>
      </c>
    </row>
    <row r="310" spans="30:31" ht="14" thickBot="1" x14ac:dyDescent="0.2">
      <c r="AD310" s="98">
        <f t="shared" si="115"/>
        <v>45233</v>
      </c>
      <c r="AE310">
        <f t="shared" si="116"/>
        <v>138.94102593219301</v>
      </c>
    </row>
    <row r="311" spans="30:31" ht="14" thickBot="1" x14ac:dyDescent="0.2">
      <c r="AD311" s="98">
        <f t="shared" si="115"/>
        <v>45234</v>
      </c>
      <c r="AE311">
        <f t="shared" si="116"/>
        <v>139.21115290982863</v>
      </c>
    </row>
    <row r="312" spans="30:31" ht="14" thickBot="1" x14ac:dyDescent="0.2">
      <c r="AD312" s="98">
        <f t="shared" si="115"/>
        <v>45235</v>
      </c>
      <c r="AE312">
        <f t="shared" si="116"/>
        <v>139.48180506412504</v>
      </c>
    </row>
    <row r="313" spans="30:31" ht="14" thickBot="1" x14ac:dyDescent="0.2">
      <c r="AD313" s="98">
        <f t="shared" si="115"/>
        <v>45236</v>
      </c>
      <c r="AE313">
        <f t="shared" si="116"/>
        <v>139.75298341612253</v>
      </c>
    </row>
    <row r="314" spans="30:31" ht="14" thickBot="1" x14ac:dyDescent="0.2">
      <c r="AD314" s="98">
        <f t="shared" si="115"/>
        <v>45237</v>
      </c>
      <c r="AE314">
        <f t="shared" si="116"/>
        <v>140.02468898884646</v>
      </c>
    </row>
    <row r="315" spans="30:31" ht="14" thickBot="1" x14ac:dyDescent="0.2">
      <c r="AD315" s="98">
        <f t="shared" si="115"/>
        <v>45238</v>
      </c>
      <c r="AE315">
        <f t="shared" si="116"/>
        <v>140.29692280731115</v>
      </c>
    </row>
    <row r="316" spans="30:31" ht="14" thickBot="1" x14ac:dyDescent="0.2">
      <c r="AD316" s="98">
        <f t="shared" si="115"/>
        <v>45239</v>
      </c>
      <c r="AE316">
        <f t="shared" si="116"/>
        <v>140.56968589852374</v>
      </c>
    </row>
    <row r="317" spans="30:31" ht="14" thickBot="1" x14ac:dyDescent="0.2">
      <c r="AD317" s="98">
        <f t="shared" si="115"/>
        <v>45240</v>
      </c>
      <c r="AE317">
        <f t="shared" si="116"/>
        <v>140.84297929148809</v>
      </c>
    </row>
    <row r="318" spans="30:31" ht="14" thickBot="1" x14ac:dyDescent="0.2">
      <c r="AD318" s="98">
        <f t="shared" si="115"/>
        <v>45241</v>
      </c>
      <c r="AE318">
        <f t="shared" si="116"/>
        <v>141.11680401720858</v>
      </c>
    </row>
    <row r="319" spans="30:31" ht="14" thickBot="1" x14ac:dyDescent="0.2">
      <c r="AD319" s="98">
        <f t="shared" si="115"/>
        <v>45242</v>
      </c>
      <c r="AE319">
        <f t="shared" si="116"/>
        <v>141.39116110869406</v>
      </c>
    </row>
    <row r="320" spans="30:31" ht="14" thickBot="1" x14ac:dyDescent="0.2">
      <c r="AD320" s="98">
        <f t="shared" si="115"/>
        <v>45243</v>
      </c>
      <c r="AE320">
        <f t="shared" si="116"/>
        <v>141.66605160096177</v>
      </c>
    </row>
    <row r="321" spans="30:31" ht="14" thickBot="1" x14ac:dyDescent="0.2">
      <c r="AD321" s="98">
        <f t="shared" si="115"/>
        <v>45244</v>
      </c>
      <c r="AE321">
        <f t="shared" si="116"/>
        <v>141.94147653104119</v>
      </c>
    </row>
    <row r="322" spans="30:31" ht="14" thickBot="1" x14ac:dyDescent="0.2">
      <c r="AD322" s="98">
        <f t="shared" si="115"/>
        <v>45245</v>
      </c>
      <c r="AE322">
        <f t="shared" si="116"/>
        <v>142.21743693797799</v>
      </c>
    </row>
    <row r="323" spans="30:31" ht="14" thickBot="1" x14ac:dyDescent="0.2">
      <c r="AD323" s="98">
        <f t="shared" si="115"/>
        <v>45246</v>
      </c>
      <c r="AE323">
        <f t="shared" ref="AE323:AE352" si="117">AE322*$AI$8</f>
        <v>142.48500622215425</v>
      </c>
    </row>
    <row r="324" spans="30:31" ht="14" thickBot="1" x14ac:dyDescent="0.2">
      <c r="AD324" s="98">
        <f t="shared" si="115"/>
        <v>45247</v>
      </c>
      <c r="AE324">
        <f t="shared" si="117"/>
        <v>142.75307891381257</v>
      </c>
    </row>
    <row r="325" spans="30:31" ht="14" thickBot="1" x14ac:dyDescent="0.2">
      <c r="AD325" s="98">
        <f t="shared" si="115"/>
        <v>45248</v>
      </c>
      <c r="AE325">
        <f t="shared" si="117"/>
        <v>143.02165596006876</v>
      </c>
    </row>
    <row r="326" spans="30:31" ht="14" thickBot="1" x14ac:dyDescent="0.2">
      <c r="AD326" s="98">
        <f t="shared" si="115"/>
        <v>45249</v>
      </c>
      <c r="AE326">
        <f t="shared" si="117"/>
        <v>143.29073830982048</v>
      </c>
    </row>
    <row r="327" spans="30:31" ht="14" thickBot="1" x14ac:dyDescent="0.2">
      <c r="AD327" s="98">
        <f t="shared" si="115"/>
        <v>45250</v>
      </c>
      <c r="AE327">
        <f t="shared" si="117"/>
        <v>143.56032691375071</v>
      </c>
    </row>
    <row r="328" spans="30:31" ht="14" thickBot="1" x14ac:dyDescent="0.2">
      <c r="AD328" s="98">
        <f t="shared" si="115"/>
        <v>45251</v>
      </c>
      <c r="AE328">
        <f t="shared" si="117"/>
        <v>143.83042272433104</v>
      </c>
    </row>
    <row r="329" spans="30:31" ht="14" thickBot="1" x14ac:dyDescent="0.2">
      <c r="AD329" s="98">
        <f t="shared" ref="AD329:AD392" si="118">AD328+1</f>
        <v>45252</v>
      </c>
      <c r="AE329">
        <f t="shared" si="117"/>
        <v>144.10102669582506</v>
      </c>
    </row>
    <row r="330" spans="30:31" ht="14" thickBot="1" x14ac:dyDescent="0.2">
      <c r="AD330" s="98">
        <f t="shared" si="118"/>
        <v>45253</v>
      </c>
      <c r="AE330">
        <f t="shared" si="117"/>
        <v>144.3721397842917</v>
      </c>
    </row>
    <row r="331" spans="30:31" ht="14" thickBot="1" x14ac:dyDescent="0.2">
      <c r="AD331" s="98">
        <f t="shared" si="118"/>
        <v>45254</v>
      </c>
      <c r="AE331">
        <f t="shared" si="117"/>
        <v>144.64376294758864</v>
      </c>
    </row>
    <row r="332" spans="30:31" ht="14" thickBot="1" x14ac:dyDescent="0.2">
      <c r="AD332" s="98">
        <f t="shared" si="118"/>
        <v>45255</v>
      </c>
      <c r="AE332">
        <f t="shared" si="117"/>
        <v>144.91589714537568</v>
      </c>
    </row>
    <row r="333" spans="30:31" ht="14" thickBot="1" x14ac:dyDescent="0.2">
      <c r="AD333" s="98">
        <f t="shared" si="118"/>
        <v>45256</v>
      </c>
      <c r="AE333">
        <f t="shared" si="117"/>
        <v>145.18854333911813</v>
      </c>
    </row>
    <row r="334" spans="30:31" ht="14" thickBot="1" x14ac:dyDescent="0.2">
      <c r="AD334" s="98">
        <f t="shared" si="118"/>
        <v>45257</v>
      </c>
      <c r="AE334">
        <f t="shared" si="117"/>
        <v>145.46170249209024</v>
      </c>
    </row>
    <row r="335" spans="30:31" ht="14" thickBot="1" x14ac:dyDescent="0.2">
      <c r="AD335" s="98">
        <f t="shared" si="118"/>
        <v>45258</v>
      </c>
      <c r="AE335">
        <f t="shared" si="117"/>
        <v>145.7353755693785</v>
      </c>
    </row>
    <row r="336" spans="30:31" ht="14" thickBot="1" x14ac:dyDescent="0.2">
      <c r="AD336" s="98">
        <f t="shared" si="118"/>
        <v>45259</v>
      </c>
      <c r="AE336">
        <f t="shared" si="117"/>
        <v>146.00956353788521</v>
      </c>
    </row>
    <row r="337" spans="30:31" ht="14" thickBot="1" x14ac:dyDescent="0.2">
      <c r="AD337" s="98">
        <f t="shared" si="118"/>
        <v>45260</v>
      </c>
      <c r="AE337">
        <f t="shared" si="117"/>
        <v>146.28426736633176</v>
      </c>
    </row>
    <row r="338" spans="30:31" ht="14" thickBot="1" x14ac:dyDescent="0.2">
      <c r="AD338" s="98">
        <f t="shared" si="118"/>
        <v>45261</v>
      </c>
      <c r="AE338">
        <f t="shared" si="117"/>
        <v>146.55948802526211</v>
      </c>
    </row>
    <row r="339" spans="30:31" ht="14" thickBot="1" x14ac:dyDescent="0.2">
      <c r="AD339" s="98">
        <f t="shared" si="118"/>
        <v>45262</v>
      </c>
      <c r="AE339">
        <f t="shared" si="117"/>
        <v>146.83522648704624</v>
      </c>
    </row>
    <row r="340" spans="30:31" ht="14" thickBot="1" x14ac:dyDescent="0.2">
      <c r="AD340" s="98">
        <f t="shared" si="118"/>
        <v>45263</v>
      </c>
      <c r="AE340">
        <f t="shared" si="117"/>
        <v>147.11148372588349</v>
      </c>
    </row>
    <row r="341" spans="30:31" ht="14" thickBot="1" x14ac:dyDescent="0.2">
      <c r="AD341" s="98">
        <f t="shared" si="118"/>
        <v>45264</v>
      </c>
      <c r="AE341">
        <f t="shared" si="117"/>
        <v>147.38826071780613</v>
      </c>
    </row>
    <row r="342" spans="30:31" ht="14" thickBot="1" x14ac:dyDescent="0.2">
      <c r="AD342" s="98">
        <f t="shared" si="118"/>
        <v>45265</v>
      </c>
      <c r="AE342">
        <f t="shared" si="117"/>
        <v>147.66555844068273</v>
      </c>
    </row>
    <row r="343" spans="30:31" ht="14" thickBot="1" x14ac:dyDescent="0.2">
      <c r="AD343" s="98">
        <f t="shared" si="118"/>
        <v>45266</v>
      </c>
      <c r="AE343">
        <f t="shared" si="117"/>
        <v>147.9433778742216</v>
      </c>
    </row>
    <row r="344" spans="30:31" ht="14" thickBot="1" x14ac:dyDescent="0.2">
      <c r="AD344" s="98">
        <f t="shared" si="118"/>
        <v>45267</v>
      </c>
      <c r="AE344">
        <f t="shared" si="117"/>
        <v>148.22171999997434</v>
      </c>
    </row>
    <row r="345" spans="30:31" ht="14" thickBot="1" x14ac:dyDescent="0.2">
      <c r="AD345" s="98">
        <f t="shared" si="118"/>
        <v>45268</v>
      </c>
      <c r="AE345">
        <f t="shared" si="117"/>
        <v>148.50058580133921</v>
      </c>
    </row>
    <row r="346" spans="30:31" ht="14" thickBot="1" x14ac:dyDescent="0.2">
      <c r="AD346" s="98">
        <f t="shared" si="118"/>
        <v>45269</v>
      </c>
      <c r="AE346">
        <f t="shared" si="117"/>
        <v>148.77997626356466</v>
      </c>
    </row>
    <row r="347" spans="30:31" ht="14" thickBot="1" x14ac:dyDescent="0.2">
      <c r="AD347" s="98">
        <f t="shared" si="118"/>
        <v>45270</v>
      </c>
      <c r="AE347">
        <f t="shared" si="117"/>
        <v>149.05989237375277</v>
      </c>
    </row>
    <row r="348" spans="30:31" ht="14" thickBot="1" x14ac:dyDescent="0.2">
      <c r="AD348" s="98">
        <f t="shared" si="118"/>
        <v>45271</v>
      </c>
      <c r="AE348">
        <f t="shared" si="117"/>
        <v>149.34033512086282</v>
      </c>
    </row>
    <row r="349" spans="30:31" ht="14" thickBot="1" x14ac:dyDescent="0.2">
      <c r="AD349" s="98">
        <f t="shared" si="118"/>
        <v>45272</v>
      </c>
      <c r="AE349">
        <f t="shared" si="117"/>
        <v>149.62130549571467</v>
      </c>
    </row>
    <row r="350" spans="30:31" ht="14" thickBot="1" x14ac:dyDescent="0.2">
      <c r="AD350" s="98">
        <f t="shared" si="118"/>
        <v>45273</v>
      </c>
      <c r="AE350">
        <f t="shared" si="117"/>
        <v>149.90280449099234</v>
      </c>
    </row>
    <row r="351" spans="30:31" ht="14" thickBot="1" x14ac:dyDescent="0.2">
      <c r="AD351" s="98">
        <f t="shared" si="118"/>
        <v>45274</v>
      </c>
      <c r="AE351">
        <f t="shared" si="117"/>
        <v>150.18483310124751</v>
      </c>
    </row>
    <row r="352" spans="30:31" ht="14" thickBot="1" x14ac:dyDescent="0.2">
      <c r="AD352" s="98">
        <f t="shared" si="118"/>
        <v>45275</v>
      </c>
      <c r="AE352">
        <f t="shared" si="117"/>
        <v>150.46739232290298</v>
      </c>
    </row>
    <row r="353" spans="30:31" ht="14" thickBot="1" x14ac:dyDescent="0.2">
      <c r="AD353" s="98">
        <f t="shared" si="118"/>
        <v>45276</v>
      </c>
      <c r="AE353">
        <f t="shared" ref="AE353:AE383" si="119">AE352*$AI$9</f>
        <v>150.75992868247135</v>
      </c>
    </row>
    <row r="354" spans="30:31" ht="14" thickBot="1" x14ac:dyDescent="0.2">
      <c r="AD354" s="98">
        <f t="shared" si="118"/>
        <v>45277</v>
      </c>
      <c r="AE354">
        <f t="shared" si="119"/>
        <v>151.05303378667168</v>
      </c>
    </row>
    <row r="355" spans="30:31" ht="14" thickBot="1" x14ac:dyDescent="0.2">
      <c r="AD355" s="98">
        <f t="shared" si="118"/>
        <v>45278</v>
      </c>
      <c r="AE355">
        <f t="shared" si="119"/>
        <v>151.34670874124842</v>
      </c>
    </row>
    <row r="356" spans="30:31" ht="14" thickBot="1" x14ac:dyDescent="0.2">
      <c r="AD356" s="98">
        <f t="shared" si="118"/>
        <v>45279</v>
      </c>
      <c r="AE356">
        <f t="shared" si="119"/>
        <v>151.64095465409579</v>
      </c>
    </row>
    <row r="357" spans="30:31" ht="14" thickBot="1" x14ac:dyDescent="0.2">
      <c r="AD357" s="98">
        <f t="shared" si="118"/>
        <v>45280</v>
      </c>
      <c r="AE357">
        <f t="shared" si="119"/>
        <v>151.935772635262</v>
      </c>
    </row>
    <row r="358" spans="30:31" ht="14" thickBot="1" x14ac:dyDescent="0.2">
      <c r="AD358" s="98">
        <f t="shared" si="118"/>
        <v>45281</v>
      </c>
      <c r="AE358">
        <f t="shared" si="119"/>
        <v>152.23116379695333</v>
      </c>
    </row>
    <row r="359" spans="30:31" ht="14" thickBot="1" x14ac:dyDescent="0.2">
      <c r="AD359" s="98">
        <f t="shared" si="118"/>
        <v>45282</v>
      </c>
      <c r="AE359">
        <f t="shared" si="119"/>
        <v>152.52712925353842</v>
      </c>
    </row>
    <row r="360" spans="30:31" ht="14" thickBot="1" x14ac:dyDescent="0.2">
      <c r="AD360" s="98">
        <f t="shared" si="118"/>
        <v>45283</v>
      </c>
      <c r="AE360">
        <f t="shared" si="119"/>
        <v>152.82367012155245</v>
      </c>
    </row>
    <row r="361" spans="30:31" ht="14" thickBot="1" x14ac:dyDescent="0.2">
      <c r="AD361" s="98">
        <f t="shared" si="118"/>
        <v>45284</v>
      </c>
      <c r="AE361">
        <f t="shared" si="119"/>
        <v>153.12078751970139</v>
      </c>
    </row>
    <row r="362" spans="30:31" ht="14" thickBot="1" x14ac:dyDescent="0.2">
      <c r="AD362" s="98">
        <f t="shared" si="118"/>
        <v>45285</v>
      </c>
      <c r="AE362">
        <f t="shared" si="119"/>
        <v>153.41848256886612</v>
      </c>
    </row>
    <row r="363" spans="30:31" ht="14" thickBot="1" x14ac:dyDescent="0.2">
      <c r="AD363" s="98">
        <f t="shared" si="118"/>
        <v>45286</v>
      </c>
      <c r="AE363">
        <f t="shared" si="119"/>
        <v>153.71675639210673</v>
      </c>
    </row>
    <row r="364" spans="30:31" ht="14" thickBot="1" x14ac:dyDescent="0.2">
      <c r="AD364" s="98">
        <f t="shared" si="118"/>
        <v>45287</v>
      </c>
      <c r="AE364">
        <f t="shared" si="119"/>
        <v>154.0156101146668</v>
      </c>
    </row>
    <row r="365" spans="30:31" ht="14" thickBot="1" x14ac:dyDescent="0.2">
      <c r="AD365" s="98">
        <f t="shared" si="118"/>
        <v>45288</v>
      </c>
      <c r="AE365">
        <f t="shared" si="119"/>
        <v>154.3150448639775</v>
      </c>
    </row>
    <row r="366" spans="30:31" ht="14" thickBot="1" x14ac:dyDescent="0.2">
      <c r="AD366" s="98">
        <f t="shared" si="118"/>
        <v>45289</v>
      </c>
      <c r="AE366">
        <f t="shared" si="119"/>
        <v>154.61506176966202</v>
      </c>
    </row>
    <row r="367" spans="30:31" ht="14" thickBot="1" x14ac:dyDescent="0.2">
      <c r="AD367" s="98">
        <f t="shared" si="118"/>
        <v>45290</v>
      </c>
      <c r="AE367">
        <f t="shared" si="119"/>
        <v>154.91566196353972</v>
      </c>
    </row>
    <row r="368" spans="30:31" ht="14" thickBot="1" x14ac:dyDescent="0.2">
      <c r="AD368" s="98">
        <f t="shared" si="118"/>
        <v>45291</v>
      </c>
      <c r="AE368">
        <f t="shared" si="119"/>
        <v>155.21684657963038</v>
      </c>
    </row>
    <row r="369" spans="30:31" ht="14" thickBot="1" x14ac:dyDescent="0.2">
      <c r="AD369" s="98">
        <f t="shared" si="118"/>
        <v>45292</v>
      </c>
      <c r="AE369">
        <f t="shared" si="119"/>
        <v>155.51861675415859</v>
      </c>
    </row>
    <row r="370" spans="30:31" ht="14" thickBot="1" x14ac:dyDescent="0.2">
      <c r="AD370" s="98">
        <f t="shared" si="118"/>
        <v>45293</v>
      </c>
      <c r="AE370">
        <f t="shared" si="119"/>
        <v>155.82097362555791</v>
      </c>
    </row>
    <row r="371" spans="30:31" ht="14" thickBot="1" x14ac:dyDescent="0.2">
      <c r="AD371" s="98">
        <f t="shared" si="118"/>
        <v>45294</v>
      </c>
      <c r="AE371">
        <f t="shared" si="119"/>
        <v>156.12391833447529</v>
      </c>
    </row>
    <row r="372" spans="30:31" ht="14" thickBot="1" x14ac:dyDescent="0.2">
      <c r="AD372" s="98">
        <f t="shared" si="118"/>
        <v>45295</v>
      </c>
      <c r="AE372">
        <f t="shared" si="119"/>
        <v>156.42745202377526</v>
      </c>
    </row>
    <row r="373" spans="30:31" ht="14" thickBot="1" x14ac:dyDescent="0.2">
      <c r="AD373" s="98">
        <f t="shared" si="118"/>
        <v>45296</v>
      </c>
      <c r="AE373">
        <f t="shared" si="119"/>
        <v>156.7315758385443</v>
      </c>
    </row>
    <row r="374" spans="30:31" ht="14" thickBot="1" x14ac:dyDescent="0.2">
      <c r="AD374" s="98">
        <f t="shared" si="118"/>
        <v>45297</v>
      </c>
      <c r="AE374">
        <f t="shared" si="119"/>
        <v>157.03629092609515</v>
      </c>
    </row>
    <row r="375" spans="30:31" ht="14" thickBot="1" x14ac:dyDescent="0.2">
      <c r="AD375" s="98">
        <f t="shared" si="118"/>
        <v>45298</v>
      </c>
      <c r="AE375">
        <f t="shared" si="119"/>
        <v>157.34159843597112</v>
      </c>
    </row>
    <row r="376" spans="30:31" ht="14" thickBot="1" x14ac:dyDescent="0.2">
      <c r="AD376" s="98">
        <f t="shared" si="118"/>
        <v>45299</v>
      </c>
      <c r="AE376">
        <f t="shared" si="119"/>
        <v>157.64749951995049</v>
      </c>
    </row>
    <row r="377" spans="30:31" ht="14" thickBot="1" x14ac:dyDescent="0.2">
      <c r="AD377" s="98">
        <f t="shared" si="118"/>
        <v>45300</v>
      </c>
      <c r="AE377">
        <f t="shared" si="119"/>
        <v>157.95399533205077</v>
      </c>
    </row>
    <row r="378" spans="30:31" ht="14" thickBot="1" x14ac:dyDescent="0.2">
      <c r="AD378" s="98">
        <f t="shared" si="118"/>
        <v>45301</v>
      </c>
      <c r="AE378">
        <f t="shared" si="119"/>
        <v>158.26108702853313</v>
      </c>
    </row>
    <row r="379" spans="30:31" ht="14" thickBot="1" x14ac:dyDescent="0.2">
      <c r="AD379" s="98">
        <f t="shared" si="118"/>
        <v>45302</v>
      </c>
      <c r="AE379">
        <f t="shared" si="119"/>
        <v>158.56877576790669</v>
      </c>
    </row>
    <row r="380" spans="30:31" ht="14" thickBot="1" x14ac:dyDescent="0.2">
      <c r="AD380" s="98">
        <f t="shared" si="118"/>
        <v>45303</v>
      </c>
      <c r="AE380">
        <f t="shared" si="119"/>
        <v>158.8770627109329</v>
      </c>
    </row>
    <row r="381" spans="30:31" ht="14" thickBot="1" x14ac:dyDescent="0.2">
      <c r="AD381" s="98">
        <f t="shared" si="118"/>
        <v>45304</v>
      </c>
      <c r="AE381">
        <f t="shared" si="119"/>
        <v>159.18594902063003</v>
      </c>
    </row>
    <row r="382" spans="30:31" ht="14" thickBot="1" x14ac:dyDescent="0.2">
      <c r="AD382" s="98">
        <f t="shared" si="118"/>
        <v>45305</v>
      </c>
      <c r="AE382">
        <f t="shared" si="119"/>
        <v>159.49543586227739</v>
      </c>
    </row>
    <row r="383" spans="30:31" ht="14" thickBot="1" x14ac:dyDescent="0.2">
      <c r="AD383" s="98">
        <f t="shared" si="118"/>
        <v>45306</v>
      </c>
      <c r="AE383">
        <f t="shared" si="119"/>
        <v>159.80552440341987</v>
      </c>
    </row>
    <row r="384" spans="30:31" ht="14" thickBot="1" x14ac:dyDescent="0.2">
      <c r="AD384" s="98">
        <f t="shared" si="118"/>
        <v>45307</v>
      </c>
      <c r="AE384">
        <f t="shared" ref="AE384:AE414" si="120">AE383*$AI$10</f>
        <v>160.10618408828455</v>
      </c>
    </row>
    <row r="385" spans="30:31" ht="14" thickBot="1" x14ac:dyDescent="0.2">
      <c r="AD385" s="98">
        <f t="shared" si="118"/>
        <v>45308</v>
      </c>
      <c r="AE385">
        <f t="shared" si="120"/>
        <v>160.40740943723651</v>
      </c>
    </row>
    <row r="386" spans="30:31" ht="14" thickBot="1" x14ac:dyDescent="0.2">
      <c r="AD386" s="98">
        <f t="shared" si="118"/>
        <v>45309</v>
      </c>
      <c r="AE386">
        <f t="shared" si="120"/>
        <v>160.70920151452171</v>
      </c>
    </row>
    <row r="387" spans="30:31" ht="14" thickBot="1" x14ac:dyDescent="0.2">
      <c r="AD387" s="98">
        <f t="shared" si="118"/>
        <v>45310</v>
      </c>
      <c r="AE387">
        <f t="shared" si="120"/>
        <v>161.01156138638842</v>
      </c>
    </row>
    <row r="388" spans="30:31" ht="14" thickBot="1" x14ac:dyDescent="0.2">
      <c r="AD388" s="98">
        <f t="shared" si="118"/>
        <v>45311</v>
      </c>
      <c r="AE388">
        <f t="shared" si="120"/>
        <v>161.31449012109096</v>
      </c>
    </row>
    <row r="389" spans="30:31" ht="14" thickBot="1" x14ac:dyDescent="0.2">
      <c r="AD389" s="98">
        <f t="shared" si="118"/>
        <v>45312</v>
      </c>
      <c r="AE389">
        <f t="shared" si="120"/>
        <v>161.61798878889343</v>
      </c>
    </row>
    <row r="390" spans="30:31" ht="14" thickBot="1" x14ac:dyDescent="0.2">
      <c r="AD390" s="98">
        <f t="shared" si="118"/>
        <v>45313</v>
      </c>
      <c r="AE390">
        <f t="shared" si="120"/>
        <v>161.92205846207358</v>
      </c>
    </row>
    <row r="391" spans="30:31" ht="14" thickBot="1" x14ac:dyDescent="0.2">
      <c r="AD391" s="98">
        <f t="shared" si="118"/>
        <v>45314</v>
      </c>
      <c r="AE391">
        <f t="shared" si="120"/>
        <v>162.22670021492655</v>
      </c>
    </row>
    <row r="392" spans="30:31" ht="14" thickBot="1" x14ac:dyDescent="0.2">
      <c r="AD392" s="98">
        <f t="shared" si="118"/>
        <v>45315</v>
      </c>
      <c r="AE392">
        <f t="shared" si="120"/>
        <v>162.53191512376867</v>
      </c>
    </row>
    <row r="393" spans="30:31" ht="14" thickBot="1" x14ac:dyDescent="0.2">
      <c r="AD393" s="98">
        <f t="shared" ref="AD393:AD456" si="121">AD392+1</f>
        <v>45316</v>
      </c>
      <c r="AE393">
        <f t="shared" si="120"/>
        <v>162.83770426694124</v>
      </c>
    </row>
    <row r="394" spans="30:31" ht="14" thickBot="1" x14ac:dyDescent="0.2">
      <c r="AD394" s="98">
        <f t="shared" si="121"/>
        <v>45317</v>
      </c>
      <c r="AE394">
        <f t="shared" si="120"/>
        <v>163.14406872481439</v>
      </c>
    </row>
    <row r="395" spans="30:31" ht="14" thickBot="1" x14ac:dyDescent="0.2">
      <c r="AD395" s="98">
        <f t="shared" si="121"/>
        <v>45318</v>
      </c>
      <c r="AE395">
        <f t="shared" si="120"/>
        <v>163.45100957979082</v>
      </c>
    </row>
    <row r="396" spans="30:31" ht="14" thickBot="1" x14ac:dyDescent="0.2">
      <c r="AD396" s="98">
        <f t="shared" si="121"/>
        <v>45319</v>
      </c>
      <c r="AE396">
        <f t="shared" si="120"/>
        <v>163.75852791630973</v>
      </c>
    </row>
    <row r="397" spans="30:31" ht="14" thickBot="1" x14ac:dyDescent="0.2">
      <c r="AD397" s="98">
        <f t="shared" si="121"/>
        <v>45320</v>
      </c>
      <c r="AE397">
        <f t="shared" si="120"/>
        <v>164.06662482085059</v>
      </c>
    </row>
    <row r="398" spans="30:31" ht="14" thickBot="1" x14ac:dyDescent="0.2">
      <c r="AD398" s="98">
        <f t="shared" si="121"/>
        <v>45321</v>
      </c>
      <c r="AE398">
        <f t="shared" si="120"/>
        <v>164.37530138193694</v>
      </c>
    </row>
    <row r="399" spans="30:31" ht="14" thickBot="1" x14ac:dyDescent="0.2">
      <c r="AD399" s="98">
        <f t="shared" si="121"/>
        <v>45322</v>
      </c>
      <c r="AE399">
        <f t="shared" si="120"/>
        <v>164.68455869014031</v>
      </c>
    </row>
    <row r="400" spans="30:31" ht="14" thickBot="1" x14ac:dyDescent="0.2">
      <c r="AD400" s="98">
        <f t="shared" si="121"/>
        <v>45323</v>
      </c>
      <c r="AE400">
        <f t="shared" si="120"/>
        <v>164.99439783808404</v>
      </c>
    </row>
    <row r="401" spans="30:31" ht="14" thickBot="1" x14ac:dyDescent="0.2">
      <c r="AD401" s="98">
        <f t="shared" si="121"/>
        <v>45324</v>
      </c>
      <c r="AE401">
        <f t="shared" si="120"/>
        <v>165.30481992044713</v>
      </c>
    </row>
    <row r="402" spans="30:31" ht="14" thickBot="1" x14ac:dyDescent="0.2">
      <c r="AD402" s="98">
        <f t="shared" si="121"/>
        <v>45325</v>
      </c>
      <c r="AE402">
        <f t="shared" si="120"/>
        <v>165.61582603396812</v>
      </c>
    </row>
    <row r="403" spans="30:31" ht="14" thickBot="1" x14ac:dyDescent="0.2">
      <c r="AD403" s="98">
        <f t="shared" si="121"/>
        <v>45326</v>
      </c>
      <c r="AE403">
        <f t="shared" si="120"/>
        <v>165.927417277449</v>
      </c>
    </row>
    <row r="404" spans="30:31" ht="14" thickBot="1" x14ac:dyDescent="0.2">
      <c r="AD404" s="98">
        <f t="shared" si="121"/>
        <v>45327</v>
      </c>
      <c r="AE404">
        <f t="shared" si="120"/>
        <v>166.239594751759</v>
      </c>
    </row>
    <row r="405" spans="30:31" ht="14" thickBot="1" x14ac:dyDescent="0.2">
      <c r="AD405" s="98">
        <f t="shared" si="121"/>
        <v>45328</v>
      </c>
      <c r="AE405">
        <f t="shared" si="120"/>
        <v>166.55235955983861</v>
      </c>
    </row>
    <row r="406" spans="30:31" ht="14" thickBot="1" x14ac:dyDescent="0.2">
      <c r="AD406" s="98">
        <f t="shared" si="121"/>
        <v>45329</v>
      </c>
      <c r="AE406">
        <f t="shared" si="120"/>
        <v>166.86571280670333</v>
      </c>
    </row>
    <row r="407" spans="30:31" ht="14" thickBot="1" x14ac:dyDescent="0.2">
      <c r="AD407" s="98">
        <f t="shared" si="121"/>
        <v>45330</v>
      </c>
      <c r="AE407">
        <f t="shared" si="120"/>
        <v>167.17965559944767</v>
      </c>
    </row>
    <row r="408" spans="30:31" ht="14" thickBot="1" x14ac:dyDescent="0.2">
      <c r="AD408" s="98">
        <f t="shared" si="121"/>
        <v>45331</v>
      </c>
      <c r="AE408">
        <f t="shared" si="120"/>
        <v>167.49418904724905</v>
      </c>
    </row>
    <row r="409" spans="30:31" ht="14" thickBot="1" x14ac:dyDescent="0.2">
      <c r="AD409" s="98">
        <f t="shared" si="121"/>
        <v>45332</v>
      </c>
      <c r="AE409">
        <f t="shared" si="120"/>
        <v>167.8093142613717</v>
      </c>
    </row>
    <row r="410" spans="30:31" ht="14" thickBot="1" x14ac:dyDescent="0.2">
      <c r="AD410" s="98">
        <f t="shared" si="121"/>
        <v>45333</v>
      </c>
      <c r="AE410">
        <f t="shared" si="120"/>
        <v>168.12503235517059</v>
      </c>
    </row>
    <row r="411" spans="30:31" ht="14" thickBot="1" x14ac:dyDescent="0.2">
      <c r="AD411" s="98">
        <f t="shared" si="121"/>
        <v>45334</v>
      </c>
      <c r="AE411">
        <f t="shared" si="120"/>
        <v>168.44134444409539</v>
      </c>
    </row>
    <row r="412" spans="30:31" ht="14" thickBot="1" x14ac:dyDescent="0.2">
      <c r="AD412" s="98">
        <f t="shared" si="121"/>
        <v>45335</v>
      </c>
      <c r="AE412">
        <f t="shared" si="120"/>
        <v>168.75825164569437</v>
      </c>
    </row>
    <row r="413" spans="30:31" ht="14" thickBot="1" x14ac:dyDescent="0.2">
      <c r="AD413" s="98">
        <f t="shared" si="121"/>
        <v>45336</v>
      </c>
      <c r="AE413">
        <f t="shared" si="120"/>
        <v>169.07575507961835</v>
      </c>
    </row>
    <row r="414" spans="30:31" ht="14" thickBot="1" x14ac:dyDescent="0.2">
      <c r="AD414" s="98">
        <f t="shared" si="121"/>
        <v>45337</v>
      </c>
      <c r="AE414">
        <f t="shared" si="120"/>
        <v>169.39385586762469</v>
      </c>
    </row>
    <row r="415" spans="30:31" ht="14" thickBot="1" x14ac:dyDescent="0.2">
      <c r="AD415" s="98">
        <f t="shared" si="121"/>
        <v>45338</v>
      </c>
      <c r="AE415">
        <f t="shared" ref="AE415:AE443" si="122">AE414*$AI$11</f>
        <v>169.71255513358125</v>
      </c>
    </row>
    <row r="416" spans="30:31" ht="14" thickBot="1" x14ac:dyDescent="0.2">
      <c r="AD416" s="98">
        <f t="shared" si="121"/>
        <v>45339</v>
      </c>
      <c r="AE416">
        <f t="shared" si="122"/>
        <v>170.0318540034703</v>
      </c>
    </row>
    <row r="417" spans="30:31" ht="14" thickBot="1" x14ac:dyDescent="0.2">
      <c r="AD417" s="98">
        <f t="shared" si="121"/>
        <v>45340</v>
      </c>
      <c r="AE417">
        <f t="shared" si="122"/>
        <v>170.35175360539262</v>
      </c>
    </row>
    <row r="418" spans="30:31" ht="14" thickBot="1" x14ac:dyDescent="0.2">
      <c r="AD418" s="98">
        <f t="shared" si="121"/>
        <v>45341</v>
      </c>
      <c r="AE418">
        <f t="shared" si="122"/>
        <v>170.67225506957132</v>
      </c>
    </row>
    <row r="419" spans="30:31" ht="14" thickBot="1" x14ac:dyDescent="0.2">
      <c r="AD419" s="98">
        <f t="shared" si="121"/>
        <v>45342</v>
      </c>
      <c r="AE419">
        <f t="shared" si="122"/>
        <v>170.993359528356</v>
      </c>
    </row>
    <row r="420" spans="30:31" ht="14" thickBot="1" x14ac:dyDescent="0.2">
      <c r="AD420" s="98">
        <f t="shared" si="121"/>
        <v>45343</v>
      </c>
      <c r="AE420">
        <f t="shared" si="122"/>
        <v>171.3150681162266</v>
      </c>
    </row>
    <row r="421" spans="30:31" ht="14" thickBot="1" x14ac:dyDescent="0.2">
      <c r="AD421" s="98">
        <f t="shared" si="121"/>
        <v>45344</v>
      </c>
      <c r="AE421">
        <f t="shared" si="122"/>
        <v>171.63738196979756</v>
      </c>
    </row>
    <row r="422" spans="30:31" ht="14" thickBot="1" x14ac:dyDescent="0.2">
      <c r="AD422" s="98">
        <f t="shared" si="121"/>
        <v>45345</v>
      </c>
      <c r="AE422">
        <f t="shared" si="122"/>
        <v>171.9603022278217</v>
      </c>
    </row>
    <row r="423" spans="30:31" ht="14" thickBot="1" x14ac:dyDescent="0.2">
      <c r="AD423" s="98">
        <f t="shared" si="121"/>
        <v>45346</v>
      </c>
      <c r="AE423">
        <f t="shared" si="122"/>
        <v>172.28383003119433</v>
      </c>
    </row>
    <row r="424" spans="30:31" ht="14" thickBot="1" x14ac:dyDescent="0.2">
      <c r="AD424" s="98">
        <f t="shared" si="121"/>
        <v>45347</v>
      </c>
      <c r="AE424">
        <f t="shared" si="122"/>
        <v>172.60796652295724</v>
      </c>
    </row>
    <row r="425" spans="30:31" ht="14" thickBot="1" x14ac:dyDescent="0.2">
      <c r="AD425" s="98">
        <f t="shared" si="121"/>
        <v>45348</v>
      </c>
      <c r="AE425">
        <f t="shared" si="122"/>
        <v>172.93271284830277</v>
      </c>
    </row>
    <row r="426" spans="30:31" ht="14" thickBot="1" x14ac:dyDescent="0.2">
      <c r="AD426" s="98">
        <f t="shared" si="121"/>
        <v>45349</v>
      </c>
      <c r="AE426">
        <f t="shared" si="122"/>
        <v>173.25807015457778</v>
      </c>
    </row>
    <row r="427" spans="30:31" ht="14" thickBot="1" x14ac:dyDescent="0.2">
      <c r="AD427" s="98">
        <f t="shared" si="121"/>
        <v>45350</v>
      </c>
      <c r="AE427">
        <f t="shared" si="122"/>
        <v>173.58403959128782</v>
      </c>
    </row>
    <row r="428" spans="30:31" ht="14" thickBot="1" x14ac:dyDescent="0.2">
      <c r="AD428" s="98">
        <f t="shared" si="121"/>
        <v>45351</v>
      </c>
      <c r="AE428">
        <f t="shared" si="122"/>
        <v>173.9106223101011</v>
      </c>
    </row>
    <row r="429" spans="30:31" ht="14" thickBot="1" x14ac:dyDescent="0.2">
      <c r="AD429" s="98">
        <f t="shared" si="121"/>
        <v>45352</v>
      </c>
      <c r="AE429">
        <f t="shared" si="122"/>
        <v>174.23781946485263</v>
      </c>
    </row>
    <row r="430" spans="30:31" ht="14" thickBot="1" x14ac:dyDescent="0.2">
      <c r="AD430" s="98">
        <f t="shared" si="121"/>
        <v>45353</v>
      </c>
      <c r="AE430">
        <f t="shared" si="122"/>
        <v>174.56563221154821</v>
      </c>
    </row>
    <row r="431" spans="30:31" ht="14" thickBot="1" x14ac:dyDescent="0.2">
      <c r="AD431" s="98">
        <f t="shared" si="121"/>
        <v>45354</v>
      </c>
      <c r="AE431">
        <f t="shared" si="122"/>
        <v>174.89406170836855</v>
      </c>
    </row>
    <row r="432" spans="30:31" ht="14" thickBot="1" x14ac:dyDescent="0.2">
      <c r="AD432" s="98">
        <f t="shared" si="121"/>
        <v>45355</v>
      </c>
      <c r="AE432">
        <f t="shared" si="122"/>
        <v>175.22310911567342</v>
      </c>
    </row>
    <row r="433" spans="30:31" ht="14" thickBot="1" x14ac:dyDescent="0.2">
      <c r="AD433" s="98">
        <f t="shared" si="121"/>
        <v>45356</v>
      </c>
      <c r="AE433">
        <f t="shared" si="122"/>
        <v>175.55277559600569</v>
      </c>
    </row>
    <row r="434" spans="30:31" ht="14" thickBot="1" x14ac:dyDescent="0.2">
      <c r="AD434" s="98">
        <f t="shared" si="121"/>
        <v>45357</v>
      </c>
      <c r="AE434">
        <f t="shared" si="122"/>
        <v>175.88306231409541</v>
      </c>
    </row>
    <row r="435" spans="30:31" ht="14" thickBot="1" x14ac:dyDescent="0.2">
      <c r="AD435" s="98">
        <f t="shared" si="121"/>
        <v>45358</v>
      </c>
      <c r="AE435">
        <f t="shared" si="122"/>
        <v>176.21397043686403</v>
      </c>
    </row>
    <row r="436" spans="30:31" ht="14" thickBot="1" x14ac:dyDescent="0.2">
      <c r="AD436" s="98">
        <f t="shared" si="121"/>
        <v>45359</v>
      </c>
      <c r="AE436">
        <f t="shared" si="122"/>
        <v>176.54550113342842</v>
      </c>
    </row>
    <row r="437" spans="30:31" ht="14" thickBot="1" x14ac:dyDescent="0.2">
      <c r="AD437" s="98">
        <f t="shared" si="121"/>
        <v>45360</v>
      </c>
      <c r="AE437">
        <f t="shared" si="122"/>
        <v>176.877655575105</v>
      </c>
    </row>
    <row r="438" spans="30:31" ht="14" thickBot="1" x14ac:dyDescent="0.2">
      <c r="AD438" s="98">
        <f t="shared" si="121"/>
        <v>45361</v>
      </c>
      <c r="AE438">
        <f t="shared" si="122"/>
        <v>177.21043493541399</v>
      </c>
    </row>
    <row r="439" spans="30:31" ht="14" thickBot="1" x14ac:dyDescent="0.2">
      <c r="AD439" s="98">
        <f t="shared" si="121"/>
        <v>45362</v>
      </c>
      <c r="AE439">
        <f t="shared" si="122"/>
        <v>177.54384039008343</v>
      </c>
    </row>
    <row r="440" spans="30:31" ht="14" thickBot="1" x14ac:dyDescent="0.2">
      <c r="AD440" s="98">
        <f t="shared" si="121"/>
        <v>45363</v>
      </c>
      <c r="AE440">
        <f t="shared" si="122"/>
        <v>177.87787311705344</v>
      </c>
    </row>
    <row r="441" spans="30:31" ht="14" thickBot="1" x14ac:dyDescent="0.2">
      <c r="AD441" s="98">
        <f t="shared" si="121"/>
        <v>45364</v>
      </c>
      <c r="AE441">
        <f t="shared" si="122"/>
        <v>178.21253429648027</v>
      </c>
    </row>
    <row r="442" spans="30:31" ht="14" thickBot="1" x14ac:dyDescent="0.2">
      <c r="AD442" s="98">
        <f t="shared" si="121"/>
        <v>45365</v>
      </c>
      <c r="AE442">
        <f t="shared" si="122"/>
        <v>178.54782511074055</v>
      </c>
    </row>
    <row r="443" spans="30:31" ht="14" thickBot="1" x14ac:dyDescent="0.2">
      <c r="AD443" s="98">
        <f t="shared" si="121"/>
        <v>45366</v>
      </c>
      <c r="AE443">
        <f t="shared" si="122"/>
        <v>178.88374674443546</v>
      </c>
    </row>
    <row r="444" spans="30:31" ht="14" thickBot="1" x14ac:dyDescent="0.2">
      <c r="AD444" s="98">
        <f t="shared" si="121"/>
        <v>45367</v>
      </c>
      <c r="AE444">
        <f t="shared" ref="AE444:AE474" si="123">AE443*$AI$12</f>
        <v>179.25639723754188</v>
      </c>
    </row>
    <row r="445" spans="30:31" ht="14" thickBot="1" x14ac:dyDescent="0.2">
      <c r="AD445" s="98">
        <f t="shared" si="121"/>
        <v>45368</v>
      </c>
      <c r="AE445">
        <f t="shared" si="123"/>
        <v>179.62982403588865</v>
      </c>
    </row>
    <row r="446" spans="30:31" ht="14" thickBot="1" x14ac:dyDescent="0.2">
      <c r="AD446" s="98">
        <f t="shared" si="121"/>
        <v>45369</v>
      </c>
      <c r="AE446">
        <f t="shared" si="123"/>
        <v>180.0040287566743</v>
      </c>
    </row>
    <row r="447" spans="30:31" ht="14" thickBot="1" x14ac:dyDescent="0.2">
      <c r="AD447" s="98">
        <f t="shared" si="121"/>
        <v>45370</v>
      </c>
      <c r="AE447">
        <f t="shared" si="123"/>
        <v>180.37901302046632</v>
      </c>
    </row>
    <row r="448" spans="30:31" ht="14" thickBot="1" x14ac:dyDescent="0.2">
      <c r="AD448" s="98">
        <f t="shared" si="121"/>
        <v>45371</v>
      </c>
      <c r="AE448">
        <f t="shared" si="123"/>
        <v>180.7547784512081</v>
      </c>
    </row>
    <row r="449" spans="30:31" ht="14" thickBot="1" x14ac:dyDescent="0.2">
      <c r="AD449" s="98">
        <f t="shared" si="121"/>
        <v>45372</v>
      </c>
      <c r="AE449">
        <f t="shared" si="123"/>
        <v>181.13132667622608</v>
      </c>
    </row>
    <row r="450" spans="30:31" ht="14" thickBot="1" x14ac:dyDescent="0.2">
      <c r="AD450" s="98">
        <f t="shared" si="121"/>
        <v>45373</v>
      </c>
      <c r="AE450">
        <f t="shared" si="123"/>
        <v>181.50865932623677</v>
      </c>
    </row>
    <row r="451" spans="30:31" ht="14" thickBot="1" x14ac:dyDescent="0.2">
      <c r="AD451" s="98">
        <f t="shared" si="121"/>
        <v>45374</v>
      </c>
      <c r="AE451">
        <f t="shared" si="123"/>
        <v>181.8867780353537</v>
      </c>
    </row>
    <row r="452" spans="30:31" ht="14" thickBot="1" x14ac:dyDescent="0.2">
      <c r="AD452" s="98">
        <f t="shared" si="121"/>
        <v>45375</v>
      </c>
      <c r="AE452">
        <f t="shared" si="123"/>
        <v>182.26568444109469</v>
      </c>
    </row>
    <row r="453" spans="30:31" ht="14" thickBot="1" x14ac:dyDescent="0.2">
      <c r="AD453" s="98">
        <f t="shared" si="121"/>
        <v>45376</v>
      </c>
      <c r="AE453">
        <f t="shared" si="123"/>
        <v>182.64538018438876</v>
      </c>
    </row>
    <row r="454" spans="30:31" ht="14" thickBot="1" x14ac:dyDescent="0.2">
      <c r="AD454" s="98">
        <f t="shared" si="121"/>
        <v>45377</v>
      </c>
      <c r="AE454">
        <f t="shared" si="123"/>
        <v>183.02586690958333</v>
      </c>
    </row>
    <row r="455" spans="30:31" ht="14" thickBot="1" x14ac:dyDescent="0.2">
      <c r="AD455" s="98">
        <f t="shared" si="121"/>
        <v>45378</v>
      </c>
      <c r="AE455">
        <f t="shared" si="123"/>
        <v>183.40714626445131</v>
      </c>
    </row>
    <row r="456" spans="30:31" ht="14" thickBot="1" x14ac:dyDescent="0.2">
      <c r="AD456" s="98">
        <f t="shared" si="121"/>
        <v>45379</v>
      </c>
      <c r="AE456">
        <f t="shared" si="123"/>
        <v>183.7892199001983</v>
      </c>
    </row>
    <row r="457" spans="30:31" ht="14" thickBot="1" x14ac:dyDescent="0.2">
      <c r="AD457" s="98">
        <f t="shared" ref="AD457:AD520" si="124">AD456+1</f>
        <v>45380</v>
      </c>
      <c r="AE457">
        <f t="shared" si="123"/>
        <v>184.17208947146966</v>
      </c>
    </row>
    <row r="458" spans="30:31" ht="14" thickBot="1" x14ac:dyDescent="0.2">
      <c r="AD458" s="98">
        <f t="shared" si="124"/>
        <v>45381</v>
      </c>
      <c r="AE458">
        <f t="shared" si="123"/>
        <v>184.55575663635767</v>
      </c>
    </row>
    <row r="459" spans="30:31" ht="14" thickBot="1" x14ac:dyDescent="0.2">
      <c r="AD459" s="98">
        <f t="shared" si="124"/>
        <v>45382</v>
      </c>
      <c r="AE459">
        <f t="shared" si="123"/>
        <v>184.94022305640883</v>
      </c>
    </row>
    <row r="460" spans="30:31" ht="14" thickBot="1" x14ac:dyDescent="0.2">
      <c r="AD460" s="98">
        <f t="shared" si="124"/>
        <v>45383</v>
      </c>
      <c r="AE460">
        <f t="shared" si="123"/>
        <v>185.32549039663087</v>
      </c>
    </row>
    <row r="461" spans="30:31" ht="14" thickBot="1" x14ac:dyDescent="0.2">
      <c r="AD461" s="98">
        <f t="shared" si="124"/>
        <v>45384</v>
      </c>
      <c r="AE461">
        <f t="shared" si="123"/>
        <v>185.71156032550016</v>
      </c>
    </row>
    <row r="462" spans="30:31" ht="14" thickBot="1" x14ac:dyDescent="0.2">
      <c r="AD462" s="98">
        <f t="shared" si="124"/>
        <v>45385</v>
      </c>
      <c r="AE462">
        <f t="shared" si="123"/>
        <v>186.09843451496877</v>
      </c>
    </row>
    <row r="463" spans="30:31" ht="14" thickBot="1" x14ac:dyDescent="0.2">
      <c r="AD463" s="98">
        <f t="shared" si="124"/>
        <v>45386</v>
      </c>
      <c r="AE463">
        <f t="shared" si="123"/>
        <v>186.48611464047181</v>
      </c>
    </row>
    <row r="464" spans="30:31" ht="14" thickBot="1" x14ac:dyDescent="0.2">
      <c r="AD464" s="98">
        <f t="shared" si="124"/>
        <v>45387</v>
      </c>
      <c r="AE464">
        <f t="shared" si="123"/>
        <v>186.87460238093465</v>
      </c>
    </row>
    <row r="465" spans="30:31" ht="14" thickBot="1" x14ac:dyDescent="0.2">
      <c r="AD465" s="98">
        <f t="shared" si="124"/>
        <v>45388</v>
      </c>
      <c r="AE465">
        <f t="shared" si="123"/>
        <v>187.2638994187802</v>
      </c>
    </row>
    <row r="466" spans="30:31" ht="14" thickBot="1" x14ac:dyDescent="0.2">
      <c r="AD466" s="98">
        <f t="shared" si="124"/>
        <v>45389</v>
      </c>
      <c r="AE466">
        <f t="shared" si="123"/>
        <v>187.65400743993618</v>
      </c>
    </row>
    <row r="467" spans="30:31" ht="14" thickBot="1" x14ac:dyDescent="0.2">
      <c r="AD467" s="98">
        <f t="shared" si="124"/>
        <v>45390</v>
      </c>
      <c r="AE467">
        <f t="shared" si="123"/>
        <v>188.04492813384246</v>
      </c>
    </row>
    <row r="468" spans="30:31" ht="14" thickBot="1" x14ac:dyDescent="0.2">
      <c r="AD468" s="98">
        <f t="shared" si="124"/>
        <v>45391</v>
      </c>
      <c r="AE468">
        <f t="shared" si="123"/>
        <v>188.43666319345832</v>
      </c>
    </row>
    <row r="469" spans="30:31" ht="14" thickBot="1" x14ac:dyDescent="0.2">
      <c r="AD469" s="98">
        <f t="shared" si="124"/>
        <v>45392</v>
      </c>
      <c r="AE469">
        <f t="shared" si="123"/>
        <v>188.82921431526981</v>
      </c>
    </row>
    <row r="470" spans="30:31" ht="14" thickBot="1" x14ac:dyDescent="0.2">
      <c r="AD470" s="98">
        <f t="shared" si="124"/>
        <v>45393</v>
      </c>
      <c r="AE470">
        <f t="shared" si="123"/>
        <v>189.22258319929713</v>
      </c>
    </row>
    <row r="471" spans="30:31" ht="14" thickBot="1" x14ac:dyDescent="0.2">
      <c r="AD471" s="98">
        <f t="shared" si="124"/>
        <v>45394</v>
      </c>
      <c r="AE471">
        <f t="shared" si="123"/>
        <v>189.61677154910194</v>
      </c>
    </row>
    <row r="472" spans="30:31" ht="14" thickBot="1" x14ac:dyDescent="0.2">
      <c r="AD472" s="98">
        <f t="shared" si="124"/>
        <v>45395</v>
      </c>
      <c r="AE472">
        <f t="shared" si="123"/>
        <v>190.01178107179476</v>
      </c>
    </row>
    <row r="473" spans="30:31" ht="14" thickBot="1" x14ac:dyDescent="0.2">
      <c r="AD473" s="98">
        <f t="shared" si="124"/>
        <v>45396</v>
      </c>
      <c r="AE473">
        <f t="shared" si="123"/>
        <v>190.40761347804235</v>
      </c>
    </row>
    <row r="474" spans="30:31" ht="14" thickBot="1" x14ac:dyDescent="0.2">
      <c r="AD474" s="98">
        <f t="shared" si="124"/>
        <v>45397</v>
      </c>
      <c r="AE474">
        <f t="shared" si="123"/>
        <v>190.80427048207514</v>
      </c>
    </row>
    <row r="475" spans="30:31" ht="14" thickBot="1" x14ac:dyDescent="0.2">
      <c r="AD475" s="98">
        <f t="shared" si="124"/>
        <v>45398</v>
      </c>
      <c r="AE475">
        <f t="shared" ref="AE475:AE504" si="125">AE474*$AI$13</f>
        <v>191.16325151260043</v>
      </c>
    </row>
    <row r="476" spans="30:31" ht="14" thickBot="1" x14ac:dyDescent="0.2">
      <c r="AD476" s="98">
        <f t="shared" si="124"/>
        <v>45399</v>
      </c>
      <c r="AE476">
        <f t="shared" si="125"/>
        <v>191.52290793356616</v>
      </c>
    </row>
    <row r="477" spans="30:31" ht="14" thickBot="1" x14ac:dyDescent="0.2">
      <c r="AD477" s="98">
        <f t="shared" si="124"/>
        <v>45400</v>
      </c>
      <c r="AE477">
        <f t="shared" si="125"/>
        <v>191.88324101565854</v>
      </c>
    </row>
    <row r="478" spans="30:31" ht="14" thickBot="1" x14ac:dyDescent="0.2">
      <c r="AD478" s="98">
        <f t="shared" si="124"/>
        <v>45401</v>
      </c>
      <c r="AE478">
        <f t="shared" si="125"/>
        <v>192.24425203195446</v>
      </c>
    </row>
    <row r="479" spans="30:31" ht="14" thickBot="1" x14ac:dyDescent="0.2">
      <c r="AD479" s="98">
        <f t="shared" si="124"/>
        <v>45402</v>
      </c>
      <c r="AE479">
        <f t="shared" si="125"/>
        <v>192.60594225792599</v>
      </c>
    </row>
    <row r="480" spans="30:31" ht="14" thickBot="1" x14ac:dyDescent="0.2">
      <c r="AD480" s="98">
        <f t="shared" si="124"/>
        <v>45403</v>
      </c>
      <c r="AE480">
        <f t="shared" si="125"/>
        <v>192.9683129714449</v>
      </c>
    </row>
    <row r="481" spans="30:31" ht="14" thickBot="1" x14ac:dyDescent="0.2">
      <c r="AD481" s="98">
        <f t="shared" si="124"/>
        <v>45404</v>
      </c>
      <c r="AE481">
        <f t="shared" si="125"/>
        <v>193.33136545278717</v>
      </c>
    </row>
    <row r="482" spans="30:31" ht="14" thickBot="1" x14ac:dyDescent="0.2">
      <c r="AD482" s="98">
        <f t="shared" si="124"/>
        <v>45405</v>
      </c>
      <c r="AE482">
        <f t="shared" si="125"/>
        <v>193.69510098463746</v>
      </c>
    </row>
    <row r="483" spans="30:31" ht="14" thickBot="1" x14ac:dyDescent="0.2">
      <c r="AD483" s="98">
        <f t="shared" si="124"/>
        <v>45406</v>
      </c>
      <c r="AE483">
        <f t="shared" si="125"/>
        <v>194.05952085209373</v>
      </c>
    </row>
    <row r="484" spans="30:31" ht="14" thickBot="1" x14ac:dyDescent="0.2">
      <c r="AD484" s="98">
        <f t="shared" si="124"/>
        <v>45407</v>
      </c>
      <c r="AE484">
        <f t="shared" si="125"/>
        <v>194.4246263426717</v>
      </c>
    </row>
    <row r="485" spans="30:31" ht="14" thickBot="1" x14ac:dyDescent="0.2">
      <c r="AD485" s="98">
        <f t="shared" si="124"/>
        <v>45408</v>
      </c>
      <c r="AE485">
        <f t="shared" si="125"/>
        <v>194.79041874630946</v>
      </c>
    </row>
    <row r="486" spans="30:31" ht="14" thickBot="1" x14ac:dyDescent="0.2">
      <c r="AD486" s="98">
        <f t="shared" si="124"/>
        <v>45409</v>
      </c>
      <c r="AE486">
        <f t="shared" si="125"/>
        <v>195.15689935537199</v>
      </c>
    </row>
    <row r="487" spans="30:31" ht="14" thickBot="1" x14ac:dyDescent="0.2">
      <c r="AD487" s="98">
        <f t="shared" si="124"/>
        <v>45410</v>
      </c>
      <c r="AE487">
        <f t="shared" si="125"/>
        <v>195.52406946465575</v>
      </c>
    </row>
    <row r="488" spans="30:31" ht="14" thickBot="1" x14ac:dyDescent="0.2">
      <c r="AD488" s="98">
        <f t="shared" si="124"/>
        <v>45411</v>
      </c>
      <c r="AE488">
        <f t="shared" si="125"/>
        <v>195.89193037139324</v>
      </c>
    </row>
    <row r="489" spans="30:31" ht="14" thickBot="1" x14ac:dyDescent="0.2">
      <c r="AD489" s="98">
        <f t="shared" si="124"/>
        <v>45412</v>
      </c>
      <c r="AE489">
        <f t="shared" si="125"/>
        <v>196.26048337525759</v>
      </c>
    </row>
    <row r="490" spans="30:31" ht="14" thickBot="1" x14ac:dyDescent="0.2">
      <c r="AD490" s="98">
        <f t="shared" si="124"/>
        <v>45413</v>
      </c>
      <c r="AE490">
        <f t="shared" si="125"/>
        <v>196.62972977836711</v>
      </c>
    </row>
    <row r="491" spans="30:31" ht="14" thickBot="1" x14ac:dyDescent="0.2">
      <c r="AD491" s="98">
        <f t="shared" si="124"/>
        <v>45414</v>
      </c>
      <c r="AE491">
        <f t="shared" si="125"/>
        <v>196.99967088528996</v>
      </c>
    </row>
    <row r="492" spans="30:31" ht="14" thickBot="1" x14ac:dyDescent="0.2">
      <c r="AD492" s="98">
        <f t="shared" si="124"/>
        <v>45415</v>
      </c>
      <c r="AE492">
        <f t="shared" si="125"/>
        <v>197.37030800304876</v>
      </c>
    </row>
    <row r="493" spans="30:31" ht="14" thickBot="1" x14ac:dyDescent="0.2">
      <c r="AD493" s="98">
        <f t="shared" si="124"/>
        <v>45416</v>
      </c>
      <c r="AE493">
        <f t="shared" si="125"/>
        <v>197.74164244112512</v>
      </c>
    </row>
    <row r="494" spans="30:31" ht="14" thickBot="1" x14ac:dyDescent="0.2">
      <c r="AD494" s="98">
        <f t="shared" si="124"/>
        <v>45417</v>
      </c>
      <c r="AE494">
        <f t="shared" si="125"/>
        <v>198.11367551146432</v>
      </c>
    </row>
    <row r="495" spans="30:31" ht="14" thickBot="1" x14ac:dyDescent="0.2">
      <c r="AD495" s="98">
        <f t="shared" si="124"/>
        <v>45418</v>
      </c>
      <c r="AE495">
        <f t="shared" si="125"/>
        <v>198.48640852848001</v>
      </c>
    </row>
    <row r="496" spans="30:31" ht="14" thickBot="1" x14ac:dyDescent="0.2">
      <c r="AD496" s="98">
        <f t="shared" si="124"/>
        <v>45419</v>
      </c>
      <c r="AE496">
        <f t="shared" si="125"/>
        <v>198.8598428090587</v>
      </c>
    </row>
    <row r="497" spans="30:31" ht="14" thickBot="1" x14ac:dyDescent="0.2">
      <c r="AD497" s="98">
        <f t="shared" si="124"/>
        <v>45420</v>
      </c>
      <c r="AE497">
        <f t="shared" si="125"/>
        <v>199.2339796725646</v>
      </c>
    </row>
    <row r="498" spans="30:31" ht="14" thickBot="1" x14ac:dyDescent="0.2">
      <c r="AD498" s="98">
        <f t="shared" si="124"/>
        <v>45421</v>
      </c>
      <c r="AE498">
        <f t="shared" si="125"/>
        <v>199.60882044084411</v>
      </c>
    </row>
    <row r="499" spans="30:31" ht="14" thickBot="1" x14ac:dyDescent="0.2">
      <c r="AD499" s="98">
        <f t="shared" si="124"/>
        <v>45422</v>
      </c>
      <c r="AE499">
        <f t="shared" si="125"/>
        <v>199.98436643823061</v>
      </c>
    </row>
    <row r="500" spans="30:31" ht="14" thickBot="1" x14ac:dyDescent="0.2">
      <c r="AD500" s="98">
        <f t="shared" si="124"/>
        <v>45423</v>
      </c>
      <c r="AE500">
        <f t="shared" si="125"/>
        <v>200.36061899154905</v>
      </c>
    </row>
    <row r="501" spans="30:31" ht="14" thickBot="1" x14ac:dyDescent="0.2">
      <c r="AD501" s="98">
        <f t="shared" si="124"/>
        <v>45424</v>
      </c>
      <c r="AE501">
        <f t="shared" si="125"/>
        <v>200.73757943012072</v>
      </c>
    </row>
    <row r="502" spans="30:31" ht="14" thickBot="1" x14ac:dyDescent="0.2">
      <c r="AD502" s="98">
        <f t="shared" si="124"/>
        <v>45425</v>
      </c>
      <c r="AE502">
        <f t="shared" si="125"/>
        <v>201.11524908576791</v>
      </c>
    </row>
    <row r="503" spans="30:31" ht="14" thickBot="1" x14ac:dyDescent="0.2">
      <c r="AD503" s="98">
        <f t="shared" si="124"/>
        <v>45426</v>
      </c>
      <c r="AE503">
        <f t="shared" si="125"/>
        <v>201.49362929281858</v>
      </c>
    </row>
    <row r="504" spans="30:31" ht="14" thickBot="1" x14ac:dyDescent="0.2">
      <c r="AD504" s="98">
        <f t="shared" si="124"/>
        <v>45427</v>
      </c>
      <c r="AE504">
        <f t="shared" si="125"/>
        <v>201.87272138811113</v>
      </c>
    </row>
    <row r="505" spans="30:31" ht="14" thickBot="1" x14ac:dyDescent="0.2">
      <c r="AD505" s="98">
        <f t="shared" si="124"/>
        <v>45428</v>
      </c>
      <c r="AE505">
        <f t="shared" ref="AE505:AE535" si="126">AE504*$AI$14</f>
        <v>202.26519918744924</v>
      </c>
    </row>
    <row r="506" spans="30:31" ht="14" thickBot="1" x14ac:dyDescent="0.2">
      <c r="AD506" s="98">
        <f t="shared" si="124"/>
        <v>45429</v>
      </c>
      <c r="AE506">
        <f t="shared" si="126"/>
        <v>202.65844003600921</v>
      </c>
    </row>
    <row r="507" spans="30:31" ht="14" thickBot="1" x14ac:dyDescent="0.2">
      <c r="AD507" s="98">
        <f t="shared" si="124"/>
        <v>45430</v>
      </c>
      <c r="AE507">
        <f t="shared" si="126"/>
        <v>203.05244541729948</v>
      </c>
    </row>
    <row r="508" spans="30:31" ht="14" thickBot="1" x14ac:dyDescent="0.2">
      <c r="AD508" s="98">
        <f t="shared" si="124"/>
        <v>45431</v>
      </c>
      <c r="AE508">
        <f t="shared" si="126"/>
        <v>203.44721681771264</v>
      </c>
    </row>
    <row r="509" spans="30:31" ht="14" thickBot="1" x14ac:dyDescent="0.2">
      <c r="AD509" s="98">
        <f t="shared" si="124"/>
        <v>45432</v>
      </c>
      <c r="AE509">
        <f t="shared" si="126"/>
        <v>203.84275572653115</v>
      </c>
    </row>
    <row r="510" spans="30:31" ht="14" thickBot="1" x14ac:dyDescent="0.2">
      <c r="AD510" s="98">
        <f t="shared" si="124"/>
        <v>45433</v>
      </c>
      <c r="AE510">
        <f t="shared" si="126"/>
        <v>204.23906363593289</v>
      </c>
    </row>
    <row r="511" spans="30:31" ht="14" thickBot="1" x14ac:dyDescent="0.2">
      <c r="AD511" s="98">
        <f t="shared" si="124"/>
        <v>45434</v>
      </c>
      <c r="AE511">
        <f t="shared" si="126"/>
        <v>204.63614204099682</v>
      </c>
    </row>
    <row r="512" spans="30:31" ht="14" thickBot="1" x14ac:dyDescent="0.2">
      <c r="AD512" s="98">
        <f t="shared" si="124"/>
        <v>45435</v>
      </c>
      <c r="AE512">
        <f t="shared" si="126"/>
        <v>205.03399243970858</v>
      </c>
    </row>
    <row r="513" spans="30:31" ht="14" thickBot="1" x14ac:dyDescent="0.2">
      <c r="AD513" s="98">
        <f t="shared" si="124"/>
        <v>45436</v>
      </c>
      <c r="AE513">
        <f t="shared" si="126"/>
        <v>205.43261633296623</v>
      </c>
    </row>
    <row r="514" spans="30:31" ht="14" thickBot="1" x14ac:dyDescent="0.2">
      <c r="AD514" s="98">
        <f t="shared" si="124"/>
        <v>45437</v>
      </c>
      <c r="AE514">
        <f t="shared" si="126"/>
        <v>205.83201522458577</v>
      </c>
    </row>
    <row r="515" spans="30:31" ht="14" thickBot="1" x14ac:dyDescent="0.2">
      <c r="AD515" s="98">
        <f t="shared" si="124"/>
        <v>45438</v>
      </c>
      <c r="AE515">
        <f t="shared" si="126"/>
        <v>206.23219062130696</v>
      </c>
    </row>
    <row r="516" spans="30:31" ht="14" thickBot="1" x14ac:dyDescent="0.2">
      <c r="AD516" s="98">
        <f t="shared" si="124"/>
        <v>45439</v>
      </c>
      <c r="AE516">
        <f t="shared" si="126"/>
        <v>206.6331440327989</v>
      </c>
    </row>
    <row r="517" spans="30:31" ht="14" thickBot="1" x14ac:dyDescent="0.2">
      <c r="AD517" s="98">
        <f t="shared" si="124"/>
        <v>45440</v>
      </c>
      <c r="AE517">
        <f t="shared" si="126"/>
        <v>207.0348769716658</v>
      </c>
    </row>
    <row r="518" spans="30:31" ht="14" thickBot="1" x14ac:dyDescent="0.2">
      <c r="AD518" s="98">
        <f t="shared" si="124"/>
        <v>45441</v>
      </c>
      <c r="AE518">
        <f t="shared" si="126"/>
        <v>207.43739095345265</v>
      </c>
    </row>
    <row r="519" spans="30:31" ht="14" thickBot="1" x14ac:dyDescent="0.2">
      <c r="AD519" s="98">
        <f t="shared" si="124"/>
        <v>45442</v>
      </c>
      <c r="AE519">
        <f t="shared" si="126"/>
        <v>207.8406874966509</v>
      </c>
    </row>
    <row r="520" spans="30:31" ht="14" thickBot="1" x14ac:dyDescent="0.2">
      <c r="AD520" s="98">
        <f t="shared" si="124"/>
        <v>45443</v>
      </c>
      <c r="AE520">
        <f t="shared" si="126"/>
        <v>208.24476812270427</v>
      </c>
    </row>
    <row r="521" spans="30:31" ht="14" thickBot="1" x14ac:dyDescent="0.2">
      <c r="AD521" s="98">
        <f t="shared" ref="AD521:AD584" si="127">AD520+1</f>
        <v>45444</v>
      </c>
      <c r="AE521">
        <f t="shared" si="126"/>
        <v>208.64963435601442</v>
      </c>
    </row>
    <row r="522" spans="30:31" ht="14" thickBot="1" x14ac:dyDescent="0.2">
      <c r="AD522" s="98">
        <f t="shared" si="127"/>
        <v>45445</v>
      </c>
      <c r="AE522">
        <f t="shared" si="126"/>
        <v>209.05528772394672</v>
      </c>
    </row>
    <row r="523" spans="30:31" ht="14" thickBot="1" x14ac:dyDescent="0.2">
      <c r="AD523" s="98">
        <f t="shared" si="127"/>
        <v>45446</v>
      </c>
      <c r="AE523">
        <f t="shared" si="126"/>
        <v>209.46172975683606</v>
      </c>
    </row>
    <row r="524" spans="30:31" ht="14" thickBot="1" x14ac:dyDescent="0.2">
      <c r="AD524" s="98">
        <f t="shared" si="127"/>
        <v>45447</v>
      </c>
      <c r="AE524">
        <f t="shared" si="126"/>
        <v>209.86896198799258</v>
      </c>
    </row>
    <row r="525" spans="30:31" ht="14" thickBot="1" x14ac:dyDescent="0.2">
      <c r="AD525" s="98">
        <f t="shared" si="127"/>
        <v>45448</v>
      </c>
      <c r="AE525">
        <f t="shared" si="126"/>
        <v>210.2769859537074</v>
      </c>
    </row>
    <row r="526" spans="30:31" ht="14" thickBot="1" x14ac:dyDescent="0.2">
      <c r="AD526" s="98">
        <f t="shared" si="127"/>
        <v>45449</v>
      </c>
      <c r="AE526">
        <f t="shared" si="126"/>
        <v>210.68580319325852</v>
      </c>
    </row>
    <row r="527" spans="30:31" ht="14" thickBot="1" x14ac:dyDescent="0.2">
      <c r="AD527" s="98">
        <f t="shared" si="127"/>
        <v>45450</v>
      </c>
      <c r="AE527">
        <f t="shared" si="126"/>
        <v>211.09541524891659</v>
      </c>
    </row>
    <row r="528" spans="30:31" ht="14" thickBot="1" x14ac:dyDescent="0.2">
      <c r="AD528" s="98">
        <f t="shared" si="127"/>
        <v>45451</v>
      </c>
      <c r="AE528">
        <f t="shared" si="126"/>
        <v>211.50582366595069</v>
      </c>
    </row>
    <row r="529" spans="30:31" ht="14" thickBot="1" x14ac:dyDescent="0.2">
      <c r="AD529" s="98">
        <f t="shared" si="127"/>
        <v>45452</v>
      </c>
      <c r="AE529">
        <f t="shared" si="126"/>
        <v>211.91702999263418</v>
      </c>
    </row>
    <row r="530" spans="30:31" ht="14" thickBot="1" x14ac:dyDescent="0.2">
      <c r="AD530" s="98">
        <f t="shared" si="127"/>
        <v>45453</v>
      </c>
      <c r="AE530">
        <f t="shared" si="126"/>
        <v>212.32903578025059</v>
      </c>
    </row>
    <row r="531" spans="30:31" ht="14" thickBot="1" x14ac:dyDescent="0.2">
      <c r="AD531" s="98">
        <f t="shared" si="127"/>
        <v>45454</v>
      </c>
      <c r="AE531">
        <f t="shared" si="126"/>
        <v>212.74184258309941</v>
      </c>
    </row>
    <row r="532" spans="30:31" ht="14" thickBot="1" x14ac:dyDescent="0.2">
      <c r="AD532" s="98">
        <f t="shared" si="127"/>
        <v>45455</v>
      </c>
      <c r="AE532">
        <f t="shared" si="126"/>
        <v>213.15545195850197</v>
      </c>
    </row>
    <row r="533" spans="30:31" ht="14" thickBot="1" x14ac:dyDescent="0.2">
      <c r="AD533" s="98">
        <f t="shared" si="127"/>
        <v>45456</v>
      </c>
      <c r="AE533">
        <f t="shared" si="126"/>
        <v>213.5698654668073</v>
      </c>
    </row>
    <row r="534" spans="30:31" ht="14" thickBot="1" x14ac:dyDescent="0.2">
      <c r="AD534" s="98">
        <f t="shared" si="127"/>
        <v>45457</v>
      </c>
      <c r="AE534">
        <f t="shared" si="126"/>
        <v>213.98508467139808</v>
      </c>
    </row>
    <row r="535" spans="30:31" ht="14" thickBot="1" x14ac:dyDescent="0.2">
      <c r="AD535" s="98">
        <f t="shared" si="127"/>
        <v>45458</v>
      </c>
      <c r="AE535">
        <f t="shared" si="126"/>
        <v>214.40111113869648</v>
      </c>
    </row>
    <row r="536" spans="30:31" ht="14" thickBot="1" x14ac:dyDescent="0.2">
      <c r="AD536" s="98">
        <f t="shared" si="127"/>
        <v>45459</v>
      </c>
      <c r="AE536">
        <f t="shared" ref="AE536:AE565" si="128">AE535*$AI$15</f>
        <v>214.8044874972438</v>
      </c>
    </row>
    <row r="537" spans="30:31" ht="14" thickBot="1" x14ac:dyDescent="0.2">
      <c r="AD537" s="98">
        <f t="shared" si="127"/>
        <v>45460</v>
      </c>
      <c r="AE537">
        <f t="shared" si="128"/>
        <v>215.20862277203818</v>
      </c>
    </row>
    <row r="538" spans="30:31" ht="14" thickBot="1" x14ac:dyDescent="0.2">
      <c r="AD538" s="98">
        <f t="shared" si="127"/>
        <v>45461</v>
      </c>
      <c r="AE538">
        <f t="shared" si="128"/>
        <v>215.61351839091216</v>
      </c>
    </row>
    <row r="539" spans="30:31" ht="14" thickBot="1" x14ac:dyDescent="0.2">
      <c r="AD539" s="98">
        <f t="shared" si="127"/>
        <v>45462</v>
      </c>
      <c r="AE539">
        <f t="shared" si="128"/>
        <v>216.01917578438452</v>
      </c>
    </row>
    <row r="540" spans="30:31" ht="14" thickBot="1" x14ac:dyDescent="0.2">
      <c r="AD540" s="98">
        <f t="shared" si="127"/>
        <v>45463</v>
      </c>
      <c r="AE540">
        <f t="shared" si="128"/>
        <v>216.4255963856655</v>
      </c>
    </row>
    <row r="541" spans="30:31" ht="14" thickBot="1" x14ac:dyDescent="0.2">
      <c r="AD541" s="98">
        <f t="shared" si="127"/>
        <v>45464</v>
      </c>
      <c r="AE541">
        <f t="shared" si="128"/>
        <v>216.83278163066177</v>
      </c>
    </row>
    <row r="542" spans="30:31" ht="14" thickBot="1" x14ac:dyDescent="0.2">
      <c r="AD542" s="98">
        <f t="shared" si="127"/>
        <v>45465</v>
      </c>
      <c r="AE542">
        <f t="shared" si="128"/>
        <v>217.24073295798152</v>
      </c>
    </row>
    <row r="543" spans="30:31" ht="14" thickBot="1" x14ac:dyDescent="0.2">
      <c r="AD543" s="98">
        <f t="shared" si="127"/>
        <v>45466</v>
      </c>
      <c r="AE543">
        <f t="shared" si="128"/>
        <v>217.6494518089396</v>
      </c>
    </row>
    <row r="544" spans="30:31" ht="14" thickBot="1" x14ac:dyDescent="0.2">
      <c r="AD544" s="98">
        <f t="shared" si="127"/>
        <v>45467</v>
      </c>
      <c r="AE544">
        <f t="shared" si="128"/>
        <v>218.05893962756249</v>
      </c>
    </row>
    <row r="545" spans="30:31" ht="14" thickBot="1" x14ac:dyDescent="0.2">
      <c r="AD545" s="98">
        <f t="shared" si="127"/>
        <v>45468</v>
      </c>
      <c r="AE545">
        <f t="shared" si="128"/>
        <v>218.46919786059354</v>
      </c>
    </row>
    <row r="546" spans="30:31" ht="14" thickBot="1" x14ac:dyDescent="0.2">
      <c r="AD546" s="98">
        <f t="shared" si="127"/>
        <v>45469</v>
      </c>
      <c r="AE546">
        <f t="shared" si="128"/>
        <v>218.88022795749799</v>
      </c>
    </row>
    <row r="547" spans="30:31" ht="14" thickBot="1" x14ac:dyDescent="0.2">
      <c r="AD547" s="98">
        <f t="shared" si="127"/>
        <v>45470</v>
      </c>
      <c r="AE547">
        <f t="shared" si="128"/>
        <v>219.29203137046812</v>
      </c>
    </row>
    <row r="548" spans="30:31" ht="14" thickBot="1" x14ac:dyDescent="0.2">
      <c r="AD548" s="98">
        <f t="shared" si="127"/>
        <v>45471</v>
      </c>
      <c r="AE548">
        <f t="shared" si="128"/>
        <v>219.70460955442837</v>
      </c>
    </row>
    <row r="549" spans="30:31" ht="14" thickBot="1" x14ac:dyDescent="0.2">
      <c r="AD549" s="98">
        <f t="shared" si="127"/>
        <v>45472</v>
      </c>
      <c r="AE549">
        <f t="shared" si="128"/>
        <v>220.11796396704051</v>
      </c>
    </row>
    <row r="550" spans="30:31" ht="14" thickBot="1" x14ac:dyDescent="0.2">
      <c r="AD550" s="98">
        <f t="shared" si="127"/>
        <v>45473</v>
      </c>
      <c r="AE550">
        <f t="shared" si="128"/>
        <v>220.53209606870874</v>
      </c>
    </row>
    <row r="551" spans="30:31" ht="14" thickBot="1" x14ac:dyDescent="0.2">
      <c r="AD551" s="98">
        <f t="shared" si="127"/>
        <v>45474</v>
      </c>
      <c r="AE551">
        <f t="shared" si="128"/>
        <v>220.94700732258491</v>
      </c>
    </row>
    <row r="552" spans="30:31" ht="14" thickBot="1" x14ac:dyDescent="0.2">
      <c r="AD552" s="98">
        <f t="shared" si="127"/>
        <v>45475</v>
      </c>
      <c r="AE552">
        <f t="shared" si="128"/>
        <v>221.36269919457365</v>
      </c>
    </row>
    <row r="553" spans="30:31" ht="14" thickBot="1" x14ac:dyDescent="0.2">
      <c r="AD553" s="98">
        <f t="shared" si="127"/>
        <v>45476</v>
      </c>
      <c r="AE553">
        <f t="shared" si="128"/>
        <v>221.77917315333755</v>
      </c>
    </row>
    <row r="554" spans="30:31" ht="14" thickBot="1" x14ac:dyDescent="0.2">
      <c r="AD554" s="98">
        <f t="shared" si="127"/>
        <v>45477</v>
      </c>
      <c r="AE554">
        <f t="shared" si="128"/>
        <v>222.19643067030236</v>
      </c>
    </row>
    <row r="555" spans="30:31" ht="14" thickBot="1" x14ac:dyDescent="0.2">
      <c r="AD555" s="98">
        <f t="shared" si="127"/>
        <v>45478</v>
      </c>
      <c r="AE555">
        <f t="shared" si="128"/>
        <v>222.61447321966219</v>
      </c>
    </row>
    <row r="556" spans="30:31" ht="14" thickBot="1" x14ac:dyDescent="0.2">
      <c r="AD556" s="98">
        <f t="shared" si="127"/>
        <v>45479</v>
      </c>
      <c r="AE556">
        <f t="shared" si="128"/>
        <v>223.0333022783847</v>
      </c>
    </row>
    <row r="557" spans="30:31" ht="14" thickBot="1" x14ac:dyDescent="0.2">
      <c r="AD557" s="98">
        <f t="shared" si="127"/>
        <v>45480</v>
      </c>
      <c r="AE557">
        <f t="shared" si="128"/>
        <v>223.45291932621632</v>
      </c>
    </row>
    <row r="558" spans="30:31" ht="14" thickBot="1" x14ac:dyDescent="0.2">
      <c r="AD558" s="98">
        <f t="shared" si="127"/>
        <v>45481</v>
      </c>
      <c r="AE558">
        <f t="shared" si="128"/>
        <v>223.8733258456875</v>
      </c>
    </row>
    <row r="559" spans="30:31" ht="14" thickBot="1" x14ac:dyDescent="0.2">
      <c r="AD559" s="98">
        <f t="shared" si="127"/>
        <v>45482</v>
      </c>
      <c r="AE559">
        <f t="shared" si="128"/>
        <v>224.29452332211798</v>
      </c>
    </row>
    <row r="560" spans="30:31" ht="14" thickBot="1" x14ac:dyDescent="0.2">
      <c r="AD560" s="98">
        <f t="shared" si="127"/>
        <v>45483</v>
      </c>
      <c r="AE560">
        <f t="shared" si="128"/>
        <v>224.71651324362196</v>
      </c>
    </row>
    <row r="561" spans="30:31" ht="14" thickBot="1" x14ac:dyDescent="0.2">
      <c r="AD561" s="98">
        <f t="shared" si="127"/>
        <v>45484</v>
      </c>
      <c r="AE561">
        <f t="shared" si="128"/>
        <v>225.13929710111339</v>
      </c>
    </row>
    <row r="562" spans="30:31" ht="14" thickBot="1" x14ac:dyDescent="0.2">
      <c r="AD562" s="98">
        <f t="shared" si="127"/>
        <v>45485</v>
      </c>
      <c r="AE562">
        <f t="shared" si="128"/>
        <v>225.5628763883112</v>
      </c>
    </row>
    <row r="563" spans="30:31" ht="14" thickBot="1" x14ac:dyDescent="0.2">
      <c r="AD563" s="98">
        <f t="shared" si="127"/>
        <v>45486</v>
      </c>
      <c r="AE563">
        <f t="shared" si="128"/>
        <v>225.9872526017447</v>
      </c>
    </row>
    <row r="564" spans="30:31" ht="14" thickBot="1" x14ac:dyDescent="0.2">
      <c r="AD564" s="98">
        <f t="shared" si="127"/>
        <v>45487</v>
      </c>
      <c r="AE564">
        <f t="shared" si="128"/>
        <v>226.41242724075875</v>
      </c>
    </row>
    <row r="565" spans="30:31" ht="14" thickBot="1" x14ac:dyDescent="0.2">
      <c r="AD565" s="98">
        <f t="shared" si="127"/>
        <v>45488</v>
      </c>
      <c r="AE565">
        <f t="shared" si="128"/>
        <v>226.83840180751906</v>
      </c>
    </row>
    <row r="566" spans="30:31" ht="14" thickBot="1" x14ac:dyDescent="0.2">
      <c r="AD566" s="98">
        <f t="shared" si="127"/>
        <v>45489</v>
      </c>
      <c r="AE566" s="7">
        <f t="shared" ref="AE566:AE596" si="129">AE565*$AI$16</f>
        <v>227.27941749371286</v>
      </c>
    </row>
    <row r="567" spans="30:31" ht="14" thickBot="1" x14ac:dyDescent="0.2">
      <c r="AD567" s="98">
        <f t="shared" si="127"/>
        <v>45490</v>
      </c>
      <c r="AE567" s="7">
        <f t="shared" si="129"/>
        <v>227.72129059573183</v>
      </c>
    </row>
    <row r="568" spans="30:31" ht="14" thickBot="1" x14ac:dyDescent="0.2">
      <c r="AD568" s="98">
        <f t="shared" si="127"/>
        <v>45491</v>
      </c>
      <c r="AE568" s="7">
        <f t="shared" si="129"/>
        <v>228.16402278055048</v>
      </c>
    </row>
    <row r="569" spans="30:31" ht="14" thickBot="1" x14ac:dyDescent="0.2">
      <c r="AD569" s="98">
        <f t="shared" si="127"/>
        <v>45492</v>
      </c>
      <c r="AE569" s="7">
        <f t="shared" si="129"/>
        <v>228.60761571838421</v>
      </c>
    </row>
    <row r="570" spans="30:31" ht="14" thickBot="1" x14ac:dyDescent="0.2">
      <c r="AD570" s="98">
        <f t="shared" si="127"/>
        <v>45493</v>
      </c>
      <c r="AE570" s="7">
        <f t="shared" si="129"/>
        <v>229.05207108269559</v>
      </c>
    </row>
    <row r="571" spans="30:31" ht="14" thickBot="1" x14ac:dyDescent="0.2">
      <c r="AD571" s="98">
        <f t="shared" si="127"/>
        <v>45494</v>
      </c>
      <c r="AE571" s="7">
        <f t="shared" si="129"/>
        <v>229.49739055020075</v>
      </c>
    </row>
    <row r="572" spans="30:31" ht="14" thickBot="1" x14ac:dyDescent="0.2">
      <c r="AD572" s="98">
        <f t="shared" si="127"/>
        <v>45495</v>
      </c>
      <c r="AE572" s="7">
        <f t="shared" si="129"/>
        <v>229.94357580087566</v>
      </c>
    </row>
    <row r="573" spans="30:31" ht="14" thickBot="1" x14ac:dyDescent="0.2">
      <c r="AD573" s="98">
        <f t="shared" si="127"/>
        <v>45496</v>
      </c>
      <c r="AE573" s="7">
        <f t="shared" si="129"/>
        <v>230.39062851796248</v>
      </c>
    </row>
    <row r="574" spans="30:31" ht="14" thickBot="1" x14ac:dyDescent="0.2">
      <c r="AD574" s="98">
        <f t="shared" si="127"/>
        <v>45497</v>
      </c>
      <c r="AE574" s="7">
        <f t="shared" si="129"/>
        <v>230.83855038797586</v>
      </c>
    </row>
    <row r="575" spans="30:31" ht="14" thickBot="1" x14ac:dyDescent="0.2">
      <c r="AD575" s="98">
        <f t="shared" si="127"/>
        <v>45498</v>
      </c>
      <c r="AE575" s="7">
        <f t="shared" si="129"/>
        <v>231.28734310070939</v>
      </c>
    </row>
    <row r="576" spans="30:31" ht="14" thickBot="1" x14ac:dyDescent="0.2">
      <c r="AD576" s="98">
        <f t="shared" si="127"/>
        <v>45499</v>
      </c>
      <c r="AE576" s="7">
        <f t="shared" si="129"/>
        <v>231.73700834924193</v>
      </c>
    </row>
    <row r="577" spans="30:31" ht="14" thickBot="1" x14ac:dyDescent="0.2">
      <c r="AD577" s="98">
        <f t="shared" si="127"/>
        <v>45500</v>
      </c>
      <c r="AE577" s="7">
        <f t="shared" si="129"/>
        <v>232.18754782994398</v>
      </c>
    </row>
    <row r="578" spans="30:31" ht="14" thickBot="1" x14ac:dyDescent="0.2">
      <c r="AD578" s="98">
        <f t="shared" si="127"/>
        <v>45501</v>
      </c>
      <c r="AE578" s="7">
        <f t="shared" si="129"/>
        <v>232.6389632424841</v>
      </c>
    </row>
    <row r="579" spans="30:31" ht="14" thickBot="1" x14ac:dyDescent="0.2">
      <c r="AD579" s="98">
        <f t="shared" si="127"/>
        <v>45502</v>
      </c>
      <c r="AE579" s="7">
        <f t="shared" si="129"/>
        <v>233.09125628983529</v>
      </c>
    </row>
    <row r="580" spans="30:31" ht="14" thickBot="1" x14ac:dyDescent="0.2">
      <c r="AD580" s="98">
        <f t="shared" si="127"/>
        <v>45503</v>
      </c>
      <c r="AE580" s="7">
        <f t="shared" si="129"/>
        <v>233.54442867828152</v>
      </c>
    </row>
    <row r="581" spans="30:31" ht="14" thickBot="1" x14ac:dyDescent="0.2">
      <c r="AD581" s="98">
        <f t="shared" si="127"/>
        <v>45504</v>
      </c>
      <c r="AE581" s="7">
        <f t="shared" si="129"/>
        <v>233.99848211742403</v>
      </c>
    </row>
    <row r="582" spans="30:31" ht="14" thickBot="1" x14ac:dyDescent="0.2">
      <c r="AD582" s="98">
        <f t="shared" si="127"/>
        <v>45505</v>
      </c>
      <c r="AE582" s="7">
        <f t="shared" si="129"/>
        <v>234.45341832018784</v>
      </c>
    </row>
    <row r="583" spans="30:31" ht="14" thickBot="1" x14ac:dyDescent="0.2">
      <c r="AD583" s="98">
        <f t="shared" si="127"/>
        <v>45506</v>
      </c>
      <c r="AE583" s="7">
        <f t="shared" si="129"/>
        <v>234.90923900282823</v>
      </c>
    </row>
    <row r="584" spans="30:31" ht="14" thickBot="1" x14ac:dyDescent="0.2">
      <c r="AD584" s="98">
        <f t="shared" si="127"/>
        <v>45507</v>
      </c>
      <c r="AE584" s="7">
        <f t="shared" si="129"/>
        <v>235.36594588493722</v>
      </c>
    </row>
    <row r="585" spans="30:31" ht="14" thickBot="1" x14ac:dyDescent="0.2">
      <c r="AD585" s="98">
        <f t="shared" ref="AD585:AD648" si="130">AD584+1</f>
        <v>45508</v>
      </c>
      <c r="AE585" s="7">
        <f t="shared" si="129"/>
        <v>235.82354068944997</v>
      </c>
    </row>
    <row r="586" spans="30:31" ht="14" thickBot="1" x14ac:dyDescent="0.2">
      <c r="AD586" s="98">
        <f t="shared" si="130"/>
        <v>45509</v>
      </c>
      <c r="AE586" s="7">
        <f t="shared" si="129"/>
        <v>236.28202514265141</v>
      </c>
    </row>
    <row r="587" spans="30:31" ht="14" thickBot="1" x14ac:dyDescent="0.2">
      <c r="AD587" s="98">
        <f t="shared" si="130"/>
        <v>45510</v>
      </c>
      <c r="AE587" s="7">
        <f t="shared" si="129"/>
        <v>236.74140097418265</v>
      </c>
    </row>
    <row r="588" spans="30:31" ht="14" thickBot="1" x14ac:dyDescent="0.2">
      <c r="AD588" s="98">
        <f t="shared" si="130"/>
        <v>45511</v>
      </c>
      <c r="AE588" s="7">
        <f t="shared" si="129"/>
        <v>237.20166991704755</v>
      </c>
    </row>
    <row r="589" spans="30:31" ht="14" thickBot="1" x14ac:dyDescent="0.2">
      <c r="AD589" s="98">
        <f t="shared" si="130"/>
        <v>45512</v>
      </c>
      <c r="AE589" s="7">
        <f t="shared" si="129"/>
        <v>237.66283370761926</v>
      </c>
    </row>
    <row r="590" spans="30:31" ht="14" thickBot="1" x14ac:dyDescent="0.2">
      <c r="AD590" s="98">
        <f t="shared" si="130"/>
        <v>45513</v>
      </c>
      <c r="AE590" s="7">
        <f t="shared" si="129"/>
        <v>238.12489408564673</v>
      </c>
    </row>
    <row r="591" spans="30:31" ht="14" thickBot="1" x14ac:dyDescent="0.2">
      <c r="AD591" s="98">
        <f t="shared" si="130"/>
        <v>45514</v>
      </c>
      <c r="AE591" s="7">
        <f t="shared" si="129"/>
        <v>238.58785279426132</v>
      </c>
    </row>
    <row r="592" spans="30:31" ht="14" thickBot="1" x14ac:dyDescent="0.2">
      <c r="AD592" s="98">
        <f t="shared" si="130"/>
        <v>45515</v>
      </c>
      <c r="AE592" s="7">
        <f t="shared" si="129"/>
        <v>239.05171157998339</v>
      </c>
    </row>
    <row r="593" spans="30:31" ht="14" thickBot="1" x14ac:dyDescent="0.2">
      <c r="AD593" s="98">
        <f t="shared" si="130"/>
        <v>45516</v>
      </c>
      <c r="AE593" s="7">
        <f t="shared" si="129"/>
        <v>239.5164721927288</v>
      </c>
    </row>
    <row r="594" spans="30:31" ht="14" thickBot="1" x14ac:dyDescent="0.2">
      <c r="AD594" s="98">
        <f t="shared" si="130"/>
        <v>45517</v>
      </c>
      <c r="AE594" s="7">
        <f t="shared" si="129"/>
        <v>239.98213638581558</v>
      </c>
    </row>
    <row r="595" spans="30:31" ht="14" thickBot="1" x14ac:dyDescent="0.2">
      <c r="AD595" s="98">
        <f t="shared" si="130"/>
        <v>45518</v>
      </c>
      <c r="AE595" s="7">
        <f t="shared" si="129"/>
        <v>240.44870591597058</v>
      </c>
    </row>
    <row r="596" spans="30:31" ht="14" thickBot="1" x14ac:dyDescent="0.2">
      <c r="AD596" s="98">
        <f t="shared" si="130"/>
        <v>45519</v>
      </c>
      <c r="AE596" s="7">
        <f t="shared" si="129"/>
        <v>240.91618254333602</v>
      </c>
    </row>
    <row r="597" spans="30:31" ht="14" thickBot="1" x14ac:dyDescent="0.2">
      <c r="AD597" s="98">
        <f t="shared" si="130"/>
        <v>45520</v>
      </c>
      <c r="AE597" s="7">
        <f t="shared" ref="AE597:AE627" si="131">AE596*$AI$17</f>
        <v>241.36944461792754</v>
      </c>
    </row>
    <row r="598" spans="30:31" ht="14" thickBot="1" x14ac:dyDescent="0.2">
      <c r="AD598" s="98">
        <f t="shared" si="130"/>
        <v>45521</v>
      </c>
      <c r="AE598" s="7">
        <f t="shared" si="131"/>
        <v>241.82355946424281</v>
      </c>
    </row>
    <row r="599" spans="30:31" ht="14" thickBot="1" x14ac:dyDescent="0.2">
      <c r="AD599" s="98">
        <f t="shared" si="130"/>
        <v>45522</v>
      </c>
      <c r="AE599" s="7">
        <f t="shared" si="131"/>
        <v>242.2785286866949</v>
      </c>
    </row>
    <row r="600" spans="30:31" ht="14" thickBot="1" x14ac:dyDescent="0.2">
      <c r="AD600" s="98">
        <f t="shared" si="130"/>
        <v>45523</v>
      </c>
      <c r="AE600" s="7">
        <f t="shared" si="131"/>
        <v>242.73435389271549</v>
      </c>
    </row>
    <row r="601" spans="30:31" ht="14" thickBot="1" x14ac:dyDescent="0.2">
      <c r="AD601" s="98">
        <f t="shared" si="130"/>
        <v>45524</v>
      </c>
      <c r="AE601" s="7">
        <f t="shared" si="131"/>
        <v>243.19103669276049</v>
      </c>
    </row>
    <row r="602" spans="30:31" ht="14" thickBot="1" x14ac:dyDescent="0.2">
      <c r="AD602" s="98">
        <f t="shared" si="130"/>
        <v>45525</v>
      </c>
      <c r="AE602" s="7">
        <f t="shared" si="131"/>
        <v>243.64857870031574</v>
      </c>
    </row>
    <row r="603" spans="30:31" ht="14" thickBot="1" x14ac:dyDescent="0.2">
      <c r="AD603" s="98">
        <f t="shared" si="130"/>
        <v>45526</v>
      </c>
      <c r="AE603" s="7">
        <f t="shared" si="131"/>
        <v>244.10698153190268</v>
      </c>
    </row>
    <row r="604" spans="30:31" ht="14" thickBot="1" x14ac:dyDescent="0.2">
      <c r="AD604" s="98">
        <f t="shared" si="130"/>
        <v>45527</v>
      </c>
      <c r="AE604" s="7">
        <f t="shared" si="131"/>
        <v>244.5662468070841</v>
      </c>
    </row>
    <row r="605" spans="30:31" ht="14" thickBot="1" x14ac:dyDescent="0.2">
      <c r="AD605" s="98">
        <f t="shared" si="130"/>
        <v>45528</v>
      </c>
      <c r="AE605" s="7">
        <f t="shared" si="131"/>
        <v>245.02637614846986</v>
      </c>
    </row>
    <row r="606" spans="30:31" ht="14" thickBot="1" x14ac:dyDescent="0.2">
      <c r="AD606" s="98">
        <f t="shared" si="130"/>
        <v>45529</v>
      </c>
      <c r="AE606" s="7">
        <f t="shared" si="131"/>
        <v>245.48737118172264</v>
      </c>
    </row>
    <row r="607" spans="30:31" ht="14" thickBot="1" x14ac:dyDescent="0.2">
      <c r="AD607" s="98">
        <f t="shared" si="130"/>
        <v>45530</v>
      </c>
      <c r="AE607" s="7">
        <f t="shared" si="131"/>
        <v>245.94923353556359</v>
      </c>
    </row>
    <row r="608" spans="30:31" ht="14" thickBot="1" x14ac:dyDescent="0.2">
      <c r="AD608" s="98">
        <f t="shared" si="130"/>
        <v>45531</v>
      </c>
      <c r="AE608" s="7">
        <f t="shared" si="131"/>
        <v>246.41196484177823</v>
      </c>
    </row>
    <row r="609" spans="30:31" ht="14" thickBot="1" x14ac:dyDescent="0.2">
      <c r="AD609" s="98">
        <f t="shared" si="130"/>
        <v>45532</v>
      </c>
      <c r="AE609" s="7">
        <f t="shared" si="131"/>
        <v>246.87556673522209</v>
      </c>
    </row>
    <row r="610" spans="30:31" ht="14" thickBot="1" x14ac:dyDescent="0.2">
      <c r="AD610" s="98">
        <f t="shared" si="130"/>
        <v>45533</v>
      </c>
      <c r="AE610" s="7">
        <f t="shared" si="131"/>
        <v>247.34004085382654</v>
      </c>
    </row>
    <row r="611" spans="30:31" ht="14" thickBot="1" x14ac:dyDescent="0.2">
      <c r="AD611" s="98">
        <f t="shared" si="130"/>
        <v>45534</v>
      </c>
      <c r="AE611" s="7">
        <f t="shared" si="131"/>
        <v>247.80538883860456</v>
      </c>
    </row>
    <row r="612" spans="30:31" ht="14" thickBot="1" x14ac:dyDescent="0.2">
      <c r="AD612" s="98">
        <f t="shared" si="130"/>
        <v>45535</v>
      </c>
      <c r="AE612" s="7">
        <f t="shared" si="131"/>
        <v>248.27161233365658</v>
      </c>
    </row>
    <row r="613" spans="30:31" ht="14" thickBot="1" x14ac:dyDescent="0.2">
      <c r="AD613" s="98">
        <f t="shared" si="130"/>
        <v>45536</v>
      </c>
      <c r="AE613" s="7">
        <f t="shared" si="131"/>
        <v>248.73871298617621</v>
      </c>
    </row>
    <row r="614" spans="30:31" ht="14" thickBot="1" x14ac:dyDescent="0.2">
      <c r="AD614" s="98">
        <f t="shared" si="130"/>
        <v>45537</v>
      </c>
      <c r="AE614" s="7">
        <f t="shared" si="131"/>
        <v>249.20669244645617</v>
      </c>
    </row>
    <row r="615" spans="30:31" ht="14" thickBot="1" x14ac:dyDescent="0.2">
      <c r="AD615" s="98">
        <f t="shared" si="130"/>
        <v>45538</v>
      </c>
      <c r="AE615" s="7">
        <f t="shared" si="131"/>
        <v>249.675552367894</v>
      </c>
    </row>
    <row r="616" spans="30:31" ht="14" thickBot="1" x14ac:dyDescent="0.2">
      <c r="AD616" s="98">
        <f t="shared" si="130"/>
        <v>45539</v>
      </c>
      <c r="AE616" s="7">
        <f t="shared" si="131"/>
        <v>250.14529440699798</v>
      </c>
    </row>
    <row r="617" spans="30:31" ht="14" thickBot="1" x14ac:dyDescent="0.2">
      <c r="AD617" s="98">
        <f t="shared" si="130"/>
        <v>45540</v>
      </c>
      <c r="AE617" s="7">
        <f t="shared" si="131"/>
        <v>250.61592022339298</v>
      </c>
    </row>
    <row r="618" spans="30:31" ht="14" thickBot="1" x14ac:dyDescent="0.2">
      <c r="AD618" s="98">
        <f t="shared" si="130"/>
        <v>45541</v>
      </c>
      <c r="AE618" s="7">
        <f t="shared" si="131"/>
        <v>251.08743147982625</v>
      </c>
    </row>
    <row r="619" spans="30:31" ht="14" thickBot="1" x14ac:dyDescent="0.2">
      <c r="AD619" s="98">
        <f t="shared" si="130"/>
        <v>45542</v>
      </c>
      <c r="AE619" s="7">
        <f t="shared" si="131"/>
        <v>251.5598298421734</v>
      </c>
    </row>
    <row r="620" spans="30:31" ht="14" thickBot="1" x14ac:dyDescent="0.2">
      <c r="AD620" s="98">
        <f t="shared" si="130"/>
        <v>45543</v>
      </c>
      <c r="AE620" s="7">
        <f t="shared" si="131"/>
        <v>252.03311697944423</v>
      </c>
    </row>
    <row r="621" spans="30:31" ht="14" thickBot="1" x14ac:dyDescent="0.2">
      <c r="AD621" s="98">
        <f t="shared" si="130"/>
        <v>45544</v>
      </c>
      <c r="AE621" s="7">
        <f t="shared" si="131"/>
        <v>252.50729456378861</v>
      </c>
    </row>
    <row r="622" spans="30:31" ht="14" thickBot="1" x14ac:dyDescent="0.2">
      <c r="AD622" s="98">
        <f t="shared" si="130"/>
        <v>45545</v>
      </c>
      <c r="AE622" s="7">
        <f t="shared" si="131"/>
        <v>252.98236427050242</v>
      </c>
    </row>
    <row r="623" spans="30:31" ht="14" thickBot="1" x14ac:dyDescent="0.2">
      <c r="AD623" s="98">
        <f t="shared" si="130"/>
        <v>45546</v>
      </c>
      <c r="AE623" s="7">
        <f t="shared" si="131"/>
        <v>253.45832777803346</v>
      </c>
    </row>
    <row r="624" spans="30:31" ht="14" thickBot="1" x14ac:dyDescent="0.2">
      <c r="AD624" s="98">
        <f t="shared" si="130"/>
        <v>45547</v>
      </c>
      <c r="AE624" s="7">
        <f t="shared" si="131"/>
        <v>253.93518676798737</v>
      </c>
    </row>
    <row r="625" spans="30:31" ht="14" thickBot="1" x14ac:dyDescent="0.2">
      <c r="AD625" s="98">
        <f t="shared" si="130"/>
        <v>45548</v>
      </c>
      <c r="AE625" s="7">
        <f t="shared" si="131"/>
        <v>254.41294292513359</v>
      </c>
    </row>
    <row r="626" spans="30:31" ht="14" thickBot="1" x14ac:dyDescent="0.2">
      <c r="AD626" s="98">
        <f t="shared" si="130"/>
        <v>45549</v>
      </c>
      <c r="AE626" s="7">
        <f t="shared" si="131"/>
        <v>254.89159793741129</v>
      </c>
    </row>
    <row r="627" spans="30:31" ht="14" thickBot="1" x14ac:dyDescent="0.2">
      <c r="AD627" s="98">
        <f t="shared" si="130"/>
        <v>45550</v>
      </c>
      <c r="AE627" s="7">
        <f t="shared" si="131"/>
        <v>255.37115349593537</v>
      </c>
    </row>
    <row r="628" spans="30:31" ht="14" thickBot="1" x14ac:dyDescent="0.2">
      <c r="AD628" s="98">
        <f t="shared" si="130"/>
        <v>45551</v>
      </c>
      <c r="AE628" s="7">
        <f t="shared" ref="AE628:AE657" si="132">AE627*$AI$18</f>
        <v>255.85161129500239</v>
      </c>
    </row>
    <row r="629" spans="30:31" ht="14" thickBot="1" x14ac:dyDescent="0.2">
      <c r="AD629" s="98">
        <f t="shared" si="130"/>
        <v>45552</v>
      </c>
      <c r="AE629" s="7">
        <f t="shared" si="132"/>
        <v>256.33297303209656</v>
      </c>
    </row>
    <row r="630" spans="30:31" ht="14" thickBot="1" x14ac:dyDescent="0.2">
      <c r="AD630" s="98">
        <f t="shared" si="130"/>
        <v>45553</v>
      </c>
      <c r="AE630" s="7">
        <f t="shared" si="132"/>
        <v>256.81524040789577</v>
      </c>
    </row>
    <row r="631" spans="30:31" ht="14" thickBot="1" x14ac:dyDescent="0.2">
      <c r="AD631" s="98">
        <f t="shared" si="130"/>
        <v>45554</v>
      </c>
      <c r="AE631" s="7">
        <f t="shared" si="132"/>
        <v>257.29841512627758</v>
      </c>
    </row>
    <row r="632" spans="30:31" ht="14" thickBot="1" x14ac:dyDescent="0.2">
      <c r="AD632" s="98">
        <f t="shared" si="130"/>
        <v>45555</v>
      </c>
      <c r="AE632" s="7">
        <f t="shared" si="132"/>
        <v>257.78249889432527</v>
      </c>
    </row>
    <row r="633" spans="30:31" ht="14" thickBot="1" x14ac:dyDescent="0.2">
      <c r="AD633" s="98">
        <f t="shared" si="130"/>
        <v>45556</v>
      </c>
      <c r="AE633" s="7">
        <f t="shared" si="132"/>
        <v>258.26749342233381</v>
      </c>
    </row>
    <row r="634" spans="30:31" ht="14" thickBot="1" x14ac:dyDescent="0.2">
      <c r="AD634" s="98">
        <f t="shared" si="130"/>
        <v>45557</v>
      </c>
      <c r="AE634" s="7">
        <f t="shared" si="132"/>
        <v>258.75340042381595</v>
      </c>
    </row>
    <row r="635" spans="30:31" ht="14" thickBot="1" x14ac:dyDescent="0.2">
      <c r="AD635" s="98">
        <f t="shared" si="130"/>
        <v>45558</v>
      </c>
      <c r="AE635" s="7">
        <f t="shared" si="132"/>
        <v>259.24022161550823</v>
      </c>
    </row>
    <row r="636" spans="30:31" ht="14" thickBot="1" x14ac:dyDescent="0.2">
      <c r="AD636" s="98">
        <f t="shared" si="130"/>
        <v>45559</v>
      </c>
      <c r="AE636" s="7">
        <f t="shared" si="132"/>
        <v>259.72795871737713</v>
      </c>
    </row>
    <row r="637" spans="30:31" ht="14" thickBot="1" x14ac:dyDescent="0.2">
      <c r="AD637" s="98">
        <f t="shared" si="130"/>
        <v>45560</v>
      </c>
      <c r="AE637" s="7">
        <f t="shared" si="132"/>
        <v>260.2166134526251</v>
      </c>
    </row>
    <row r="638" spans="30:31" ht="14" thickBot="1" x14ac:dyDescent="0.2">
      <c r="AD638" s="98">
        <f t="shared" si="130"/>
        <v>45561</v>
      </c>
      <c r="AE638" s="7">
        <f t="shared" si="132"/>
        <v>260.70618754769652</v>
      </c>
    </row>
    <row r="639" spans="30:31" ht="14" thickBot="1" x14ac:dyDescent="0.2">
      <c r="AD639" s="98">
        <f t="shared" si="130"/>
        <v>45562</v>
      </c>
      <c r="AE639" s="7">
        <f t="shared" si="132"/>
        <v>261.19668273228405</v>
      </c>
    </row>
    <row r="640" spans="30:31" ht="14" thickBot="1" x14ac:dyDescent="0.2">
      <c r="AD640" s="98">
        <f t="shared" si="130"/>
        <v>45563</v>
      </c>
      <c r="AE640" s="7">
        <f t="shared" si="132"/>
        <v>261.68810073933452</v>
      </c>
    </row>
    <row r="641" spans="30:31" ht="14" thickBot="1" x14ac:dyDescent="0.2">
      <c r="AD641" s="98">
        <f t="shared" si="130"/>
        <v>45564</v>
      </c>
      <c r="AE641" s="7">
        <f t="shared" si="132"/>
        <v>262.18044330505523</v>
      </c>
    </row>
    <row r="642" spans="30:31" ht="14" thickBot="1" x14ac:dyDescent="0.2">
      <c r="AD642" s="98">
        <f t="shared" si="130"/>
        <v>45565</v>
      </c>
      <c r="AE642" s="7">
        <f t="shared" si="132"/>
        <v>262.67371216891996</v>
      </c>
    </row>
    <row r="643" spans="30:31" ht="14" thickBot="1" x14ac:dyDescent="0.2">
      <c r="AD643" s="98">
        <f t="shared" si="130"/>
        <v>45566</v>
      </c>
      <c r="AE643" s="7">
        <f t="shared" si="132"/>
        <v>263.1679090736751</v>
      </c>
    </row>
    <row r="644" spans="30:31" ht="14" thickBot="1" x14ac:dyDescent="0.2">
      <c r="AD644" s="98">
        <f t="shared" si="130"/>
        <v>45567</v>
      </c>
      <c r="AE644" s="7">
        <f t="shared" si="132"/>
        <v>263.66303576534591</v>
      </c>
    </row>
    <row r="645" spans="30:31" ht="14" thickBot="1" x14ac:dyDescent="0.2">
      <c r="AD645" s="98">
        <f t="shared" si="130"/>
        <v>45568</v>
      </c>
      <c r="AE645" s="7">
        <f t="shared" si="132"/>
        <v>264.15909399324266</v>
      </c>
    </row>
    <row r="646" spans="30:31" ht="14" thickBot="1" x14ac:dyDescent="0.2">
      <c r="AD646" s="98">
        <f t="shared" si="130"/>
        <v>45569</v>
      </c>
      <c r="AE646" s="7">
        <f t="shared" si="132"/>
        <v>264.65608550996677</v>
      </c>
    </row>
    <row r="647" spans="30:31" ht="14" thickBot="1" x14ac:dyDescent="0.2">
      <c r="AD647" s="98">
        <f t="shared" si="130"/>
        <v>45570</v>
      </c>
      <c r="AE647" s="7">
        <f t="shared" si="132"/>
        <v>265.15401207141701</v>
      </c>
    </row>
    <row r="648" spans="30:31" ht="14" thickBot="1" x14ac:dyDescent="0.2">
      <c r="AD648" s="98">
        <f t="shared" si="130"/>
        <v>45571</v>
      </c>
      <c r="AE648" s="7">
        <f t="shared" si="132"/>
        <v>265.65287543679568</v>
      </c>
    </row>
    <row r="649" spans="30:31" ht="14" thickBot="1" x14ac:dyDescent="0.2">
      <c r="AD649" s="98">
        <f t="shared" ref="AD649:AD712" si="133">AD648+1</f>
        <v>45572</v>
      </c>
      <c r="AE649" s="7">
        <f t="shared" si="132"/>
        <v>266.15267736861495</v>
      </c>
    </row>
    <row r="650" spans="30:31" ht="14" thickBot="1" x14ac:dyDescent="0.2">
      <c r="AD650" s="98">
        <f t="shared" si="133"/>
        <v>45573</v>
      </c>
      <c r="AE650" s="7">
        <f t="shared" si="132"/>
        <v>266.65341963270293</v>
      </c>
    </row>
    <row r="651" spans="30:31" ht="14" thickBot="1" x14ac:dyDescent="0.2">
      <c r="AD651" s="98">
        <f t="shared" si="133"/>
        <v>45574</v>
      </c>
      <c r="AE651" s="7">
        <f t="shared" si="132"/>
        <v>267.15510399821</v>
      </c>
    </row>
    <row r="652" spans="30:31" ht="14" thickBot="1" x14ac:dyDescent="0.2">
      <c r="AD652" s="98">
        <f t="shared" si="133"/>
        <v>45575</v>
      </c>
      <c r="AE652" s="7">
        <f t="shared" si="132"/>
        <v>267.65773223761505</v>
      </c>
    </row>
    <row r="653" spans="30:31" ht="14" thickBot="1" x14ac:dyDescent="0.2">
      <c r="AD653" s="98">
        <f t="shared" si="133"/>
        <v>45576</v>
      </c>
      <c r="AE653" s="7">
        <f t="shared" si="132"/>
        <v>268.16130612673169</v>
      </c>
    </row>
    <row r="654" spans="30:31" ht="14" thickBot="1" x14ac:dyDescent="0.2">
      <c r="AD654" s="98">
        <f t="shared" si="133"/>
        <v>45577</v>
      </c>
      <c r="AE654" s="7">
        <f t="shared" si="132"/>
        <v>268.66582744471458</v>
      </c>
    </row>
    <row r="655" spans="30:31" ht="14" thickBot="1" x14ac:dyDescent="0.2">
      <c r="AD655" s="98">
        <f t="shared" si="133"/>
        <v>45578</v>
      </c>
      <c r="AE655" s="7">
        <f t="shared" si="132"/>
        <v>269.17129797406574</v>
      </c>
    </row>
    <row r="656" spans="30:31" ht="14" thickBot="1" x14ac:dyDescent="0.2">
      <c r="AD656" s="98">
        <f t="shared" si="133"/>
        <v>45579</v>
      </c>
      <c r="AE656" s="7">
        <f t="shared" si="132"/>
        <v>269.67771950064076</v>
      </c>
    </row>
    <row r="657" spans="30:31" ht="14" thickBot="1" x14ac:dyDescent="0.2">
      <c r="AD657" s="98">
        <f t="shared" si="133"/>
        <v>45580</v>
      </c>
      <c r="AE657" s="7">
        <f t="shared" si="132"/>
        <v>270.18509381365516</v>
      </c>
    </row>
    <row r="658" spans="30:31" ht="14" thickBot="1" x14ac:dyDescent="0.2">
      <c r="AD658" s="98">
        <f t="shared" si="133"/>
        <v>45581</v>
      </c>
      <c r="AE658" s="7">
        <f t="shared" ref="AE658:AE688" si="134">AE657*$AI$19</f>
        <v>270.71038346301827</v>
      </c>
    </row>
    <row r="659" spans="30:31" ht="14" thickBot="1" x14ac:dyDescent="0.2">
      <c r="AD659" s="98">
        <f t="shared" si="133"/>
        <v>45582</v>
      </c>
      <c r="AE659" s="7">
        <f t="shared" si="134"/>
        <v>271.23669437233264</v>
      </c>
    </row>
    <row r="660" spans="30:31" ht="14" thickBot="1" x14ac:dyDescent="0.2">
      <c r="AD660" s="98">
        <f t="shared" si="133"/>
        <v>45583</v>
      </c>
      <c r="AE660" s="7">
        <f t="shared" si="134"/>
        <v>271.7640285271159</v>
      </c>
    </row>
    <row r="661" spans="30:31" ht="14" thickBot="1" x14ac:dyDescent="0.2">
      <c r="AD661" s="98">
        <f t="shared" si="133"/>
        <v>45584</v>
      </c>
      <c r="AE661" s="7">
        <f t="shared" si="134"/>
        <v>272.29238791674595</v>
      </c>
    </row>
    <row r="662" spans="30:31" ht="14" thickBot="1" x14ac:dyDescent="0.2">
      <c r="AD662" s="98">
        <f t="shared" si="133"/>
        <v>45585</v>
      </c>
      <c r="AE662" s="7">
        <f t="shared" si="134"/>
        <v>272.82177453446843</v>
      </c>
    </row>
    <row r="663" spans="30:31" ht="14" thickBot="1" x14ac:dyDescent="0.2">
      <c r="AD663" s="98">
        <f t="shared" si="133"/>
        <v>45586</v>
      </c>
      <c r="AE663" s="7">
        <f t="shared" si="134"/>
        <v>273.35219037740416</v>
      </c>
    </row>
    <row r="664" spans="30:31" ht="14" thickBot="1" x14ac:dyDescent="0.2">
      <c r="AD664" s="98">
        <f t="shared" si="133"/>
        <v>45587</v>
      </c>
      <c r="AE664" s="7">
        <f t="shared" si="134"/>
        <v>273.88363744655675</v>
      </c>
    </row>
    <row r="665" spans="30:31" ht="14" thickBot="1" x14ac:dyDescent="0.2">
      <c r="AD665" s="98">
        <f t="shared" si="133"/>
        <v>45588</v>
      </c>
      <c r="AE665" s="7">
        <f t="shared" si="134"/>
        <v>274.41611774682019</v>
      </c>
    </row>
    <row r="666" spans="30:31" ht="14" thickBot="1" x14ac:dyDescent="0.2">
      <c r="AD666" s="98">
        <f t="shared" si="133"/>
        <v>45589</v>
      </c>
      <c r="AE666" s="7">
        <f t="shared" si="134"/>
        <v>274.94963328698628</v>
      </c>
    </row>
    <row r="667" spans="30:31" ht="14" thickBot="1" x14ac:dyDescent="0.2">
      <c r="AD667" s="98">
        <f t="shared" si="133"/>
        <v>45590</v>
      </c>
      <c r="AE667" s="7">
        <f t="shared" si="134"/>
        <v>275.48418607975231</v>
      </c>
    </row>
    <row r="668" spans="30:31" ht="14" thickBot="1" x14ac:dyDescent="0.2">
      <c r="AD668" s="98">
        <f t="shared" si="133"/>
        <v>45591</v>
      </c>
      <c r="AE668" s="7">
        <f t="shared" si="134"/>
        <v>276.01977814172864</v>
      </c>
    </row>
    <row r="669" spans="30:31" ht="14" thickBot="1" x14ac:dyDescent="0.2">
      <c r="AD669" s="98">
        <f t="shared" si="133"/>
        <v>45592</v>
      </c>
      <c r="AE669" s="7">
        <f t="shared" si="134"/>
        <v>276.55641149344626</v>
      </c>
    </row>
    <row r="670" spans="30:31" ht="14" thickBot="1" x14ac:dyDescent="0.2">
      <c r="AD670" s="98">
        <f t="shared" si="133"/>
        <v>45593</v>
      </c>
      <c r="AE670" s="7">
        <f t="shared" si="134"/>
        <v>277.09408815936445</v>
      </c>
    </row>
    <row r="671" spans="30:31" ht="14" thickBot="1" x14ac:dyDescent="0.2">
      <c r="AD671" s="98">
        <f t="shared" si="133"/>
        <v>45594</v>
      </c>
      <c r="AE671" s="7">
        <f t="shared" si="134"/>
        <v>277.6328101678784</v>
      </c>
    </row>
    <row r="672" spans="30:31" ht="14" thickBot="1" x14ac:dyDescent="0.2">
      <c r="AD672" s="98">
        <f t="shared" si="133"/>
        <v>45595</v>
      </c>
      <c r="AE672" s="7">
        <f t="shared" si="134"/>
        <v>278.17257955132698</v>
      </c>
    </row>
    <row r="673" spans="30:31" ht="14" thickBot="1" x14ac:dyDescent="0.2">
      <c r="AD673" s="98">
        <f t="shared" si="133"/>
        <v>45596</v>
      </c>
      <c r="AE673" s="7">
        <f t="shared" si="134"/>
        <v>278.71339834600013</v>
      </c>
    </row>
    <row r="674" spans="30:31" ht="14" thickBot="1" x14ac:dyDescent="0.2">
      <c r="AD674" s="98">
        <f t="shared" si="133"/>
        <v>45597</v>
      </c>
      <c r="AE674" s="7">
        <f t="shared" si="134"/>
        <v>279.25526859214688</v>
      </c>
    </row>
    <row r="675" spans="30:31" ht="14" thickBot="1" x14ac:dyDescent="0.2">
      <c r="AD675" s="98">
        <f t="shared" si="133"/>
        <v>45598</v>
      </c>
      <c r="AE675" s="7">
        <f t="shared" si="134"/>
        <v>279.79819233398274</v>
      </c>
    </row>
    <row r="676" spans="30:31" ht="14" thickBot="1" x14ac:dyDescent="0.2">
      <c r="AD676" s="98">
        <f t="shared" si="133"/>
        <v>45599</v>
      </c>
      <c r="AE676" s="7">
        <f t="shared" si="134"/>
        <v>280.34217161969764</v>
      </c>
    </row>
    <row r="677" spans="30:31" ht="14" thickBot="1" x14ac:dyDescent="0.2">
      <c r="AD677" s="98">
        <f t="shared" si="133"/>
        <v>45600</v>
      </c>
      <c r="AE677" s="7">
        <f t="shared" si="134"/>
        <v>280.88720850146348</v>
      </c>
    </row>
    <row r="678" spans="30:31" ht="14" thickBot="1" x14ac:dyDescent="0.2">
      <c r="AD678" s="98">
        <f t="shared" si="133"/>
        <v>45601</v>
      </c>
      <c r="AE678" s="7">
        <f t="shared" si="134"/>
        <v>281.43330503544212</v>
      </c>
    </row>
    <row r="679" spans="30:31" ht="14" thickBot="1" x14ac:dyDescent="0.2">
      <c r="AD679" s="98">
        <f t="shared" si="133"/>
        <v>45602</v>
      </c>
      <c r="AE679" s="7">
        <f t="shared" si="134"/>
        <v>281.98046328179282</v>
      </c>
    </row>
    <row r="680" spans="30:31" ht="14" thickBot="1" x14ac:dyDescent="0.2">
      <c r="AD680" s="98">
        <f t="shared" si="133"/>
        <v>45603</v>
      </c>
      <c r="AE680" s="7">
        <f t="shared" si="134"/>
        <v>282.52868530468021</v>
      </c>
    </row>
    <row r="681" spans="30:31" ht="14" thickBot="1" x14ac:dyDescent="0.2">
      <c r="AD681" s="98">
        <f t="shared" si="133"/>
        <v>45604</v>
      </c>
      <c r="AE681" s="7">
        <f t="shared" si="134"/>
        <v>283.0779731722821</v>
      </c>
    </row>
    <row r="682" spans="30:31" ht="14" thickBot="1" x14ac:dyDescent="0.2">
      <c r="AD682" s="98">
        <f t="shared" si="133"/>
        <v>45605</v>
      </c>
      <c r="AE682" s="7">
        <f t="shared" si="134"/>
        <v>283.62832895679719</v>
      </c>
    </row>
    <row r="683" spans="30:31" ht="14" thickBot="1" x14ac:dyDescent="0.2">
      <c r="AD683" s="98">
        <f t="shared" si="133"/>
        <v>45606</v>
      </c>
      <c r="AE683" s="7">
        <f t="shared" si="134"/>
        <v>284.1797547344529</v>
      </c>
    </row>
    <row r="684" spans="30:31" ht="14" thickBot="1" x14ac:dyDescent="0.2">
      <c r="AD684" s="98">
        <f t="shared" si="133"/>
        <v>45607</v>
      </c>
      <c r="AE684" s="7">
        <f t="shared" si="134"/>
        <v>284.73225258551315</v>
      </c>
    </row>
    <row r="685" spans="30:31" ht="14" thickBot="1" x14ac:dyDescent="0.2">
      <c r="AD685" s="98">
        <f t="shared" si="133"/>
        <v>45608</v>
      </c>
      <c r="AE685" s="7">
        <f t="shared" si="134"/>
        <v>285.28582459428645</v>
      </c>
    </row>
    <row r="686" spans="30:31" ht="14" thickBot="1" x14ac:dyDescent="0.2">
      <c r="AD686" s="98">
        <f t="shared" si="133"/>
        <v>45609</v>
      </c>
      <c r="AE686" s="7">
        <f t="shared" si="134"/>
        <v>285.84047284913339</v>
      </c>
    </row>
    <row r="687" spans="30:31" ht="14" thickBot="1" x14ac:dyDescent="0.2">
      <c r="AD687" s="98">
        <f t="shared" si="133"/>
        <v>45610</v>
      </c>
      <c r="AE687" s="7">
        <f t="shared" si="134"/>
        <v>286.39619944247488</v>
      </c>
    </row>
    <row r="688" spans="30:31" ht="14" thickBot="1" x14ac:dyDescent="0.2">
      <c r="AD688" s="98">
        <f t="shared" si="133"/>
        <v>45611</v>
      </c>
      <c r="AE688" s="7">
        <f t="shared" si="134"/>
        <v>286.95300647079983</v>
      </c>
    </row>
    <row r="689" spans="30:31" ht="14" thickBot="1" x14ac:dyDescent="0.2">
      <c r="AD689" s="98">
        <f t="shared" si="133"/>
        <v>45612</v>
      </c>
      <c r="AE689" s="7">
        <f t="shared" ref="AE689:AE718" si="135">AE688*$AI$20</f>
        <v>287.49288267857526</v>
      </c>
    </row>
    <row r="690" spans="30:31" ht="14" thickBot="1" x14ac:dyDescent="0.2">
      <c r="AD690" s="98">
        <f t="shared" si="133"/>
        <v>45613</v>
      </c>
      <c r="AE690" s="7">
        <f t="shared" si="135"/>
        <v>288.03377461475623</v>
      </c>
    </row>
    <row r="691" spans="30:31" ht="14" thickBot="1" x14ac:dyDescent="0.2">
      <c r="AD691" s="98">
        <f t="shared" si="133"/>
        <v>45614</v>
      </c>
      <c r="AE691" s="7">
        <f t="shared" si="135"/>
        <v>288.57568419034408</v>
      </c>
    </row>
    <row r="692" spans="30:31" ht="14" thickBot="1" x14ac:dyDescent="0.2">
      <c r="AD692" s="98">
        <f t="shared" si="133"/>
        <v>45615</v>
      </c>
      <c r="AE692" s="7">
        <f t="shared" si="135"/>
        <v>289.11861331993566</v>
      </c>
    </row>
    <row r="693" spans="30:31" ht="14" thickBot="1" x14ac:dyDescent="0.2">
      <c r="AD693" s="98">
        <f t="shared" si="133"/>
        <v>45616</v>
      </c>
      <c r="AE693" s="7">
        <f t="shared" si="135"/>
        <v>289.66256392172988</v>
      </c>
    </row>
    <row r="694" spans="30:31" ht="14" thickBot="1" x14ac:dyDescent="0.2">
      <c r="AD694" s="98">
        <f t="shared" si="133"/>
        <v>45617</v>
      </c>
      <c r="AE694" s="7">
        <f t="shared" si="135"/>
        <v>290.20753791753458</v>
      </c>
    </row>
    <row r="695" spans="30:31" ht="14" thickBot="1" x14ac:dyDescent="0.2">
      <c r="AD695" s="98">
        <f t="shared" si="133"/>
        <v>45618</v>
      </c>
      <c r="AE695" s="7">
        <f t="shared" si="135"/>
        <v>290.75353723277334</v>
      </c>
    </row>
    <row r="696" spans="30:31" ht="14" thickBot="1" x14ac:dyDescent="0.2">
      <c r="AD696" s="98">
        <f t="shared" si="133"/>
        <v>45619</v>
      </c>
      <c r="AE696" s="7">
        <f t="shared" si="135"/>
        <v>291.30056379649221</v>
      </c>
    </row>
    <row r="697" spans="30:31" ht="14" thickBot="1" x14ac:dyDescent="0.2">
      <c r="AD697" s="98">
        <f t="shared" si="133"/>
        <v>45620</v>
      </c>
      <c r="AE697" s="7">
        <f t="shared" si="135"/>
        <v>291.84861954136659</v>
      </c>
    </row>
    <row r="698" spans="30:31" ht="14" thickBot="1" x14ac:dyDescent="0.2">
      <c r="AD698" s="98">
        <f t="shared" si="133"/>
        <v>45621</v>
      </c>
      <c r="AE698" s="7">
        <f t="shared" si="135"/>
        <v>292.39770640370801</v>
      </c>
    </row>
    <row r="699" spans="30:31" ht="14" thickBot="1" x14ac:dyDescent="0.2">
      <c r="AD699" s="98">
        <f t="shared" si="133"/>
        <v>45622</v>
      </c>
      <c r="AE699" s="7">
        <f t="shared" si="135"/>
        <v>292.94782632347102</v>
      </c>
    </row>
    <row r="700" spans="30:31" ht="14" thickBot="1" x14ac:dyDescent="0.2">
      <c r="AD700" s="98">
        <f t="shared" si="133"/>
        <v>45623</v>
      </c>
      <c r="AE700" s="7">
        <f t="shared" si="135"/>
        <v>293.49898124425999</v>
      </c>
    </row>
    <row r="701" spans="30:31" ht="14" thickBot="1" x14ac:dyDescent="0.2">
      <c r="AD701" s="98">
        <f t="shared" si="133"/>
        <v>45624</v>
      </c>
      <c r="AE701" s="7">
        <f t="shared" si="135"/>
        <v>294.05117311333606</v>
      </c>
    </row>
    <row r="702" spans="30:31" ht="14" thickBot="1" x14ac:dyDescent="0.2">
      <c r="AD702" s="98">
        <f t="shared" si="133"/>
        <v>45625</v>
      </c>
      <c r="AE702" s="7">
        <f t="shared" si="135"/>
        <v>294.60440388162391</v>
      </c>
    </row>
    <row r="703" spans="30:31" ht="14" thickBot="1" x14ac:dyDescent="0.2">
      <c r="AD703" s="98">
        <f t="shared" si="133"/>
        <v>45626</v>
      </c>
      <c r="AE703" s="7">
        <f t="shared" si="135"/>
        <v>295.15867550371871</v>
      </c>
    </row>
    <row r="704" spans="30:31" ht="14" thickBot="1" x14ac:dyDescent="0.2">
      <c r="AD704" s="98">
        <f t="shared" si="133"/>
        <v>45627</v>
      </c>
      <c r="AE704" s="7">
        <f t="shared" si="135"/>
        <v>295.71398993789307</v>
      </c>
    </row>
    <row r="705" spans="30:31" ht="14" thickBot="1" x14ac:dyDescent="0.2">
      <c r="AD705" s="98">
        <f t="shared" si="133"/>
        <v>45628</v>
      </c>
      <c r="AE705" s="7">
        <f t="shared" si="135"/>
        <v>296.27034914610391</v>
      </c>
    </row>
    <row r="706" spans="30:31" ht="14" thickBot="1" x14ac:dyDescent="0.2">
      <c r="AD706" s="98">
        <f t="shared" si="133"/>
        <v>45629</v>
      </c>
      <c r="AE706" s="7">
        <f t="shared" si="135"/>
        <v>296.82775509399931</v>
      </c>
    </row>
    <row r="707" spans="30:31" ht="14" thickBot="1" x14ac:dyDescent="0.2">
      <c r="AD707" s="98">
        <f t="shared" si="133"/>
        <v>45630</v>
      </c>
      <c r="AE707" s="7">
        <f t="shared" si="135"/>
        <v>297.38620975092567</v>
      </c>
    </row>
    <row r="708" spans="30:31" ht="14" thickBot="1" x14ac:dyDescent="0.2">
      <c r="AD708" s="98">
        <f t="shared" si="133"/>
        <v>45631</v>
      </c>
      <c r="AE708" s="7">
        <f t="shared" si="135"/>
        <v>297.94571508993448</v>
      </c>
    </row>
    <row r="709" spans="30:31" ht="14" thickBot="1" x14ac:dyDescent="0.2">
      <c r="AD709" s="98">
        <f t="shared" si="133"/>
        <v>45632</v>
      </c>
      <c r="AE709" s="7">
        <f t="shared" si="135"/>
        <v>298.50627308778928</v>
      </c>
    </row>
    <row r="710" spans="30:31" ht="14" thickBot="1" x14ac:dyDescent="0.2">
      <c r="AD710" s="98">
        <f t="shared" si="133"/>
        <v>45633</v>
      </c>
      <c r="AE710" s="7">
        <f t="shared" si="135"/>
        <v>299.06788572497283</v>
      </c>
    </row>
    <row r="711" spans="30:31" ht="14" thickBot="1" x14ac:dyDescent="0.2">
      <c r="AD711" s="98">
        <f t="shared" si="133"/>
        <v>45634</v>
      </c>
      <c r="AE711" s="7">
        <f t="shared" si="135"/>
        <v>299.63055498569389</v>
      </c>
    </row>
    <row r="712" spans="30:31" ht="14" thickBot="1" x14ac:dyDescent="0.2">
      <c r="AD712" s="98">
        <f t="shared" si="133"/>
        <v>45635</v>
      </c>
      <c r="AE712" s="7">
        <f t="shared" si="135"/>
        <v>300.19428285789439</v>
      </c>
    </row>
    <row r="713" spans="30:31" ht="14" thickBot="1" x14ac:dyDescent="0.2">
      <c r="AD713" s="98">
        <f t="shared" ref="AD713:AD776" si="136">AD712+1</f>
        <v>45636</v>
      </c>
      <c r="AE713" s="7">
        <f t="shared" si="135"/>
        <v>300.75907133325637</v>
      </c>
    </row>
    <row r="714" spans="30:31" ht="14" thickBot="1" x14ac:dyDescent="0.2">
      <c r="AD714" s="98">
        <f t="shared" si="136"/>
        <v>45637</v>
      </c>
      <c r="AE714" s="7">
        <f t="shared" si="135"/>
        <v>301.32492240720904</v>
      </c>
    </row>
    <row r="715" spans="30:31" ht="14" thickBot="1" x14ac:dyDescent="0.2">
      <c r="AD715" s="98">
        <f t="shared" si="136"/>
        <v>45638</v>
      </c>
      <c r="AE715" s="7">
        <f t="shared" si="135"/>
        <v>301.8918380789359</v>
      </c>
    </row>
    <row r="716" spans="30:31" ht="14" thickBot="1" x14ac:dyDescent="0.2">
      <c r="AD716" s="98">
        <f t="shared" si="136"/>
        <v>45639</v>
      </c>
      <c r="AE716" s="7">
        <f t="shared" si="135"/>
        <v>302.45982035138161</v>
      </c>
    </row>
    <row r="717" spans="30:31" ht="14" thickBot="1" x14ac:dyDescent="0.2">
      <c r="AD717" s="98">
        <f t="shared" si="136"/>
        <v>45640</v>
      </c>
      <c r="AE717" s="7">
        <f t="shared" si="135"/>
        <v>303.02887123125925</v>
      </c>
    </row>
    <row r="718" spans="30:31" ht="14" thickBot="1" x14ac:dyDescent="0.2">
      <c r="AD718" s="98">
        <f t="shared" si="136"/>
        <v>45641</v>
      </c>
      <c r="AE718" s="7">
        <f t="shared" si="135"/>
        <v>303.59899272905733</v>
      </c>
    </row>
    <row r="719" spans="30:31" ht="14" thickBot="1" x14ac:dyDescent="0.2">
      <c r="AD719" s="98">
        <f t="shared" si="136"/>
        <v>45642</v>
      </c>
      <c r="AE719" s="7">
        <f t="shared" ref="AE719:AE749" si="137">AE718*$AI$21</f>
        <v>304.1892451600358</v>
      </c>
    </row>
    <row r="720" spans="30:31" ht="14" thickBot="1" x14ac:dyDescent="0.2">
      <c r="AD720" s="98">
        <f t="shared" si="136"/>
        <v>45643</v>
      </c>
      <c r="AE720" s="7">
        <f t="shared" si="137"/>
        <v>304.78064515059322</v>
      </c>
    </row>
    <row r="721" spans="30:31" ht="14" thickBot="1" x14ac:dyDescent="0.2">
      <c r="AD721" s="98">
        <f t="shared" si="136"/>
        <v>45644</v>
      </c>
      <c r="AE721" s="7">
        <f t="shared" si="137"/>
        <v>305.37319493179706</v>
      </c>
    </row>
    <row r="722" spans="30:31" ht="14" thickBot="1" x14ac:dyDescent="0.2">
      <c r="AD722" s="98">
        <f t="shared" si="136"/>
        <v>45645</v>
      </c>
      <c r="AE722" s="7">
        <f t="shared" si="137"/>
        <v>305.9668967390524</v>
      </c>
    </row>
    <row r="723" spans="30:31" ht="14" thickBot="1" x14ac:dyDescent="0.2">
      <c r="AD723" s="98">
        <f t="shared" si="136"/>
        <v>45646</v>
      </c>
      <c r="AE723" s="7">
        <f t="shared" si="137"/>
        <v>306.56175281211034</v>
      </c>
    </row>
    <row r="724" spans="30:31" ht="14" thickBot="1" x14ac:dyDescent="0.2">
      <c r="AD724" s="98">
        <f t="shared" si="136"/>
        <v>45647</v>
      </c>
      <c r="AE724" s="7">
        <f t="shared" si="137"/>
        <v>307.15776539507647</v>
      </c>
    </row>
    <row r="725" spans="30:31" ht="14" thickBot="1" x14ac:dyDescent="0.2">
      <c r="AD725" s="98">
        <f t="shared" si="136"/>
        <v>45648</v>
      </c>
      <c r="AE725" s="7">
        <f t="shared" si="137"/>
        <v>307.75493673641932</v>
      </c>
    </row>
    <row r="726" spans="30:31" ht="14" thickBot="1" x14ac:dyDescent="0.2">
      <c r="AD726" s="98">
        <f t="shared" si="136"/>
        <v>45649</v>
      </c>
      <c r="AE726" s="7">
        <f t="shared" si="137"/>
        <v>308.35326908897889</v>
      </c>
    </row>
    <row r="727" spans="30:31" ht="14" thickBot="1" x14ac:dyDescent="0.2">
      <c r="AD727" s="98">
        <f t="shared" si="136"/>
        <v>45650</v>
      </c>
      <c r="AE727" s="7">
        <f t="shared" si="137"/>
        <v>308.95276470997504</v>
      </c>
    </row>
    <row r="728" spans="30:31" ht="14" thickBot="1" x14ac:dyDescent="0.2">
      <c r="AD728" s="98">
        <f t="shared" si="136"/>
        <v>45651</v>
      </c>
      <c r="AE728" s="7">
        <f t="shared" si="137"/>
        <v>309.55342586101619</v>
      </c>
    </row>
    <row r="729" spans="30:31" ht="14" thickBot="1" x14ac:dyDescent="0.2">
      <c r="AD729" s="98">
        <f t="shared" si="136"/>
        <v>45652</v>
      </c>
      <c r="AE729" s="7">
        <f t="shared" si="137"/>
        <v>310.15525480810771</v>
      </c>
    </row>
    <row r="730" spans="30:31" ht="14" thickBot="1" x14ac:dyDescent="0.2">
      <c r="AD730" s="98">
        <f t="shared" si="136"/>
        <v>45653</v>
      </c>
      <c r="AE730" s="7">
        <f t="shared" si="137"/>
        <v>310.75825382166045</v>
      </c>
    </row>
    <row r="731" spans="30:31" ht="14" thickBot="1" x14ac:dyDescent="0.2">
      <c r="AD731" s="98">
        <f t="shared" si="136"/>
        <v>45654</v>
      </c>
      <c r="AE731" s="7">
        <f t="shared" si="137"/>
        <v>311.36242517649936</v>
      </c>
    </row>
    <row r="732" spans="30:31" ht="14" thickBot="1" x14ac:dyDescent="0.2">
      <c r="AD732" s="98">
        <f t="shared" si="136"/>
        <v>45655</v>
      </c>
      <c r="AE732" s="7">
        <f t="shared" si="137"/>
        <v>311.96777115187217</v>
      </c>
    </row>
    <row r="733" spans="30:31" ht="14" thickBot="1" x14ac:dyDescent="0.2">
      <c r="AD733" s="98">
        <f t="shared" si="136"/>
        <v>45656</v>
      </c>
      <c r="AE733" s="7">
        <f t="shared" si="137"/>
        <v>312.57429403145778</v>
      </c>
    </row>
    <row r="734" spans="30:31" ht="14" thickBot="1" x14ac:dyDescent="0.2">
      <c r="AD734" s="98">
        <f t="shared" si="136"/>
        <v>45657</v>
      </c>
      <c r="AE734" s="7">
        <f t="shared" si="137"/>
        <v>313.18199610337501</v>
      </c>
    </row>
    <row r="735" spans="30:31" ht="14" thickBot="1" x14ac:dyDescent="0.2">
      <c r="AD735" s="98">
        <f t="shared" si="136"/>
        <v>45658</v>
      </c>
      <c r="AE735" s="7">
        <f t="shared" si="137"/>
        <v>313.79087966019125</v>
      </c>
    </row>
    <row r="736" spans="30:31" ht="14" thickBot="1" x14ac:dyDescent="0.2">
      <c r="AD736" s="98">
        <f t="shared" si="136"/>
        <v>45659</v>
      </c>
      <c r="AE736" s="7">
        <f t="shared" si="137"/>
        <v>314.40094699893103</v>
      </c>
    </row>
    <row r="737" spans="30:31" ht="14" thickBot="1" x14ac:dyDescent="0.2">
      <c r="AD737" s="98">
        <f t="shared" si="136"/>
        <v>45660</v>
      </c>
      <c r="AE737" s="7">
        <f t="shared" si="137"/>
        <v>315.01220042108469</v>
      </c>
    </row>
    <row r="738" spans="30:31" ht="14" thickBot="1" x14ac:dyDescent="0.2">
      <c r="AD738" s="98">
        <f t="shared" si="136"/>
        <v>45661</v>
      </c>
      <c r="AE738" s="7">
        <f t="shared" si="137"/>
        <v>315.62464223261713</v>
      </c>
    </row>
    <row r="739" spans="30:31" ht="14" thickBot="1" x14ac:dyDescent="0.2">
      <c r="AD739" s="98">
        <f t="shared" si="136"/>
        <v>45662</v>
      </c>
      <c r="AE739" s="7">
        <f t="shared" si="137"/>
        <v>316.23827474397649</v>
      </c>
    </row>
    <row r="740" spans="30:31" ht="14" thickBot="1" x14ac:dyDescent="0.2">
      <c r="AD740" s="98">
        <f t="shared" si="136"/>
        <v>45663</v>
      </c>
      <c r="AE740" s="7">
        <f t="shared" si="137"/>
        <v>316.8531002701028</v>
      </c>
    </row>
    <row r="741" spans="30:31" ht="14" thickBot="1" x14ac:dyDescent="0.2">
      <c r="AD741" s="98">
        <f t="shared" si="136"/>
        <v>45664</v>
      </c>
      <c r="AE741" s="7">
        <f t="shared" si="137"/>
        <v>317.4691211304368</v>
      </c>
    </row>
    <row r="742" spans="30:31" ht="14" thickBot="1" x14ac:dyDescent="0.2">
      <c r="AD742" s="98">
        <f t="shared" si="136"/>
        <v>45665</v>
      </c>
      <c r="AE742" s="7">
        <f t="shared" si="137"/>
        <v>318.08633964892857</v>
      </c>
    </row>
    <row r="743" spans="30:31" ht="14" thickBot="1" x14ac:dyDescent="0.2">
      <c r="AD743" s="98">
        <f t="shared" si="136"/>
        <v>45666</v>
      </c>
      <c r="AE743" s="7">
        <f t="shared" si="137"/>
        <v>318.70475815404649</v>
      </c>
    </row>
    <row r="744" spans="30:31" ht="14" thickBot="1" x14ac:dyDescent="0.2">
      <c r="AD744" s="98">
        <f t="shared" si="136"/>
        <v>45667</v>
      </c>
      <c r="AE744" s="7">
        <f t="shared" si="137"/>
        <v>319.32437897878589</v>
      </c>
    </row>
    <row r="745" spans="30:31" ht="14" thickBot="1" x14ac:dyDescent="0.2">
      <c r="AD745" s="98">
        <f t="shared" si="136"/>
        <v>45668</v>
      </c>
      <c r="AE745" s="7">
        <f t="shared" si="137"/>
        <v>319.94520446067776</v>
      </c>
    </row>
    <row r="746" spans="30:31" ht="14" thickBot="1" x14ac:dyDescent="0.2">
      <c r="AD746" s="98">
        <f t="shared" si="136"/>
        <v>45669</v>
      </c>
      <c r="AE746" s="7">
        <f t="shared" si="137"/>
        <v>320.56723694179783</v>
      </c>
    </row>
    <row r="747" spans="30:31" ht="14" thickBot="1" x14ac:dyDescent="0.2">
      <c r="AD747" s="98">
        <f t="shared" si="136"/>
        <v>45670</v>
      </c>
      <c r="AE747" s="7">
        <f t="shared" si="137"/>
        <v>321.19047876877517</v>
      </c>
    </row>
    <row r="748" spans="30:31" ht="14" thickBot="1" x14ac:dyDescent="0.2">
      <c r="AD748" s="98">
        <f t="shared" si="136"/>
        <v>45671</v>
      </c>
      <c r="AE748" s="7">
        <f t="shared" si="137"/>
        <v>321.81493229280113</v>
      </c>
    </row>
    <row r="749" spans="30:31" ht="14" thickBot="1" x14ac:dyDescent="0.2">
      <c r="AD749" s="98">
        <f t="shared" si="136"/>
        <v>45672</v>
      </c>
      <c r="AE749" s="7">
        <f t="shared" si="137"/>
        <v>322.44059986963828</v>
      </c>
    </row>
    <row r="750" spans="30:31" ht="14" thickBot="1" x14ac:dyDescent="0.2">
      <c r="AD750" s="98">
        <f t="shared" si="136"/>
        <v>45673</v>
      </c>
      <c r="AE750" s="7">
        <f t="shared" ref="AE750:AE780" si="138">AE749*$AI$22</f>
        <v>323.04724278455808</v>
      </c>
    </row>
    <row r="751" spans="30:31" ht="14" thickBot="1" x14ac:dyDescent="0.2">
      <c r="AD751" s="98">
        <f t="shared" si="136"/>
        <v>45674</v>
      </c>
      <c r="AE751" s="7">
        <f t="shared" si="138"/>
        <v>323.65502704342271</v>
      </c>
    </row>
    <row r="752" spans="30:31" ht="14" thickBot="1" x14ac:dyDescent="0.2">
      <c r="AD752" s="98">
        <f t="shared" si="136"/>
        <v>45675</v>
      </c>
      <c r="AE752" s="7">
        <f t="shared" si="138"/>
        <v>324.26395479356785</v>
      </c>
    </row>
    <row r="753" spans="30:31" ht="14" thickBot="1" x14ac:dyDescent="0.2">
      <c r="AD753" s="98">
        <f t="shared" si="136"/>
        <v>45676</v>
      </c>
      <c r="AE753" s="7">
        <f t="shared" si="138"/>
        <v>324.87402818636929</v>
      </c>
    </row>
    <row r="754" spans="30:31" ht="14" thickBot="1" x14ac:dyDescent="0.2">
      <c r="AD754" s="98">
        <f t="shared" si="136"/>
        <v>45677</v>
      </c>
      <c r="AE754" s="7">
        <f t="shared" si="138"/>
        <v>325.48524937725034</v>
      </c>
    </row>
    <row r="755" spans="30:31" ht="14" thickBot="1" x14ac:dyDescent="0.2">
      <c r="AD755" s="98">
        <f t="shared" si="136"/>
        <v>45678</v>
      </c>
      <c r="AE755" s="7">
        <f t="shared" si="138"/>
        <v>326.09762052568965</v>
      </c>
    </row>
    <row r="756" spans="30:31" ht="14" thickBot="1" x14ac:dyDescent="0.2">
      <c r="AD756" s="98">
        <f t="shared" si="136"/>
        <v>45679</v>
      </c>
      <c r="AE756" s="7">
        <f t="shared" si="138"/>
        <v>326.71114379522862</v>
      </c>
    </row>
    <row r="757" spans="30:31" ht="14" thickBot="1" x14ac:dyDescent="0.2">
      <c r="AD757" s="98">
        <f t="shared" si="136"/>
        <v>45680</v>
      </c>
      <c r="AE757" s="7">
        <f t="shared" si="138"/>
        <v>327.32582135347923</v>
      </c>
    </row>
    <row r="758" spans="30:31" ht="14" thickBot="1" x14ac:dyDescent="0.2">
      <c r="AD758" s="98">
        <f t="shared" si="136"/>
        <v>45681</v>
      </c>
      <c r="AE758" s="7">
        <f t="shared" si="138"/>
        <v>327.94165537213161</v>
      </c>
    </row>
    <row r="759" spans="30:31" ht="14" thickBot="1" x14ac:dyDescent="0.2">
      <c r="AD759" s="98">
        <f t="shared" si="136"/>
        <v>45682</v>
      </c>
      <c r="AE759" s="7">
        <f t="shared" si="138"/>
        <v>328.55864802696175</v>
      </c>
    </row>
    <row r="760" spans="30:31" ht="14" thickBot="1" x14ac:dyDescent="0.2">
      <c r="AD760" s="98">
        <f t="shared" si="136"/>
        <v>45683</v>
      </c>
      <c r="AE760" s="7">
        <f t="shared" si="138"/>
        <v>329.17680149783911</v>
      </c>
    </row>
    <row r="761" spans="30:31" ht="14" thickBot="1" x14ac:dyDescent="0.2">
      <c r="AD761" s="98">
        <f t="shared" si="136"/>
        <v>45684</v>
      </c>
      <c r="AE761" s="7">
        <f t="shared" si="138"/>
        <v>329.79611796873445</v>
      </c>
    </row>
    <row r="762" spans="30:31" ht="14" thickBot="1" x14ac:dyDescent="0.2">
      <c r="AD762" s="98">
        <f t="shared" si="136"/>
        <v>45685</v>
      </c>
      <c r="AE762" s="7">
        <f t="shared" si="138"/>
        <v>330.41659962772741</v>
      </c>
    </row>
    <row r="763" spans="30:31" ht="14" thickBot="1" x14ac:dyDescent="0.2">
      <c r="AD763" s="98">
        <f t="shared" si="136"/>
        <v>45686</v>
      </c>
      <c r="AE763" s="7">
        <f t="shared" si="138"/>
        <v>331.03824866701433</v>
      </c>
    </row>
    <row r="764" spans="30:31" ht="14" thickBot="1" x14ac:dyDescent="0.2">
      <c r="AD764" s="98">
        <f t="shared" si="136"/>
        <v>45687</v>
      </c>
      <c r="AE764" s="7">
        <f t="shared" si="138"/>
        <v>331.66106728291601</v>
      </c>
    </row>
    <row r="765" spans="30:31" ht="14" thickBot="1" x14ac:dyDescent="0.2">
      <c r="AD765" s="98">
        <f t="shared" si="136"/>
        <v>45688</v>
      </c>
      <c r="AE765" s="7">
        <f t="shared" si="138"/>
        <v>332.28505767588535</v>
      </c>
    </row>
    <row r="766" spans="30:31" ht="14" thickBot="1" x14ac:dyDescent="0.2">
      <c r="AD766" s="98">
        <f t="shared" si="136"/>
        <v>45689</v>
      </c>
      <c r="AE766" s="7">
        <f t="shared" si="138"/>
        <v>332.9102220505153</v>
      </c>
    </row>
    <row r="767" spans="30:31" ht="14" thickBot="1" x14ac:dyDescent="0.2">
      <c r="AD767" s="98">
        <f t="shared" si="136"/>
        <v>45690</v>
      </c>
      <c r="AE767" s="7">
        <f t="shared" si="138"/>
        <v>333.53656261554647</v>
      </c>
    </row>
    <row r="768" spans="30:31" ht="14" thickBot="1" x14ac:dyDescent="0.2">
      <c r="AD768" s="98">
        <f t="shared" si="136"/>
        <v>45691</v>
      </c>
      <c r="AE768" s="7">
        <f t="shared" si="138"/>
        <v>334.16408158387503</v>
      </c>
    </row>
    <row r="769" spans="30:31" ht="14" thickBot="1" x14ac:dyDescent="0.2">
      <c r="AD769" s="98">
        <f t="shared" si="136"/>
        <v>45692</v>
      </c>
      <c r="AE769" s="7">
        <f t="shared" si="138"/>
        <v>334.79278117256052</v>
      </c>
    </row>
    <row r="770" spans="30:31" ht="14" thickBot="1" x14ac:dyDescent="0.2">
      <c r="AD770" s="98">
        <f t="shared" si="136"/>
        <v>45693</v>
      </c>
      <c r="AE770" s="7">
        <f t="shared" si="138"/>
        <v>335.42266360283372</v>
      </c>
    </row>
    <row r="771" spans="30:31" ht="14" thickBot="1" x14ac:dyDescent="0.2">
      <c r="AD771" s="98">
        <f t="shared" si="136"/>
        <v>45694</v>
      </c>
      <c r="AE771" s="7">
        <f t="shared" si="138"/>
        <v>336.05373110010441</v>
      </c>
    </row>
    <row r="772" spans="30:31" ht="14" thickBot="1" x14ac:dyDescent="0.2">
      <c r="AD772" s="98">
        <f t="shared" si="136"/>
        <v>45695</v>
      </c>
      <c r="AE772" s="7">
        <f t="shared" si="138"/>
        <v>336.6859858939693</v>
      </c>
    </row>
    <row r="773" spans="30:31" ht="14" thickBot="1" x14ac:dyDescent="0.2">
      <c r="AD773" s="98">
        <f t="shared" si="136"/>
        <v>45696</v>
      </c>
      <c r="AE773" s="7">
        <f t="shared" si="138"/>
        <v>337.31943021821985</v>
      </c>
    </row>
    <row r="774" spans="30:31" ht="14" thickBot="1" x14ac:dyDescent="0.2">
      <c r="AD774" s="98">
        <f t="shared" si="136"/>
        <v>45697</v>
      </c>
      <c r="AE774" s="7">
        <f t="shared" si="138"/>
        <v>337.95406631085029</v>
      </c>
    </row>
    <row r="775" spans="30:31" ht="14" thickBot="1" x14ac:dyDescent="0.2">
      <c r="AD775" s="98">
        <f t="shared" si="136"/>
        <v>45698</v>
      </c>
      <c r="AE775" s="7">
        <f t="shared" si="138"/>
        <v>338.58989641406532</v>
      </c>
    </row>
    <row r="776" spans="30:31" ht="14" thickBot="1" x14ac:dyDescent="0.2">
      <c r="AD776" s="98">
        <f t="shared" si="136"/>
        <v>45699</v>
      </c>
      <c r="AE776" s="7">
        <f t="shared" si="138"/>
        <v>339.2269227742882</v>
      </c>
    </row>
    <row r="777" spans="30:31" ht="14" thickBot="1" x14ac:dyDescent="0.2">
      <c r="AD777" s="98">
        <f t="shared" ref="AD777:AD840" si="139">AD776+1</f>
        <v>45700</v>
      </c>
      <c r="AE777" s="7">
        <f t="shared" si="138"/>
        <v>339.86514764216861</v>
      </c>
    </row>
    <row r="778" spans="30:31" ht="14" thickBot="1" x14ac:dyDescent="0.2">
      <c r="AD778" s="98">
        <f t="shared" si="139"/>
        <v>45701</v>
      </c>
      <c r="AE778" s="7">
        <f t="shared" si="138"/>
        <v>340.50457327259062</v>
      </c>
    </row>
    <row r="779" spans="30:31" ht="14" thickBot="1" x14ac:dyDescent="0.2">
      <c r="AD779" s="98">
        <f t="shared" si="139"/>
        <v>45702</v>
      </c>
      <c r="AE779" s="7">
        <f t="shared" si="138"/>
        <v>341.14520192468075</v>
      </c>
    </row>
    <row r="780" spans="30:31" ht="14" thickBot="1" x14ac:dyDescent="0.2">
      <c r="AD780" s="98">
        <f t="shared" si="139"/>
        <v>45703</v>
      </c>
      <c r="AE780" s="7">
        <f t="shared" si="138"/>
        <v>341.78703586181575</v>
      </c>
    </row>
    <row r="781" spans="30:31" ht="14" thickBot="1" x14ac:dyDescent="0.2">
      <c r="AD781" s="98">
        <f t="shared" si="139"/>
        <v>45704</v>
      </c>
      <c r="AE781" s="7">
        <f t="shared" ref="AE781:AE808" si="140">AE780*$AI$23</f>
        <v>342.43007735163076</v>
      </c>
    </row>
    <row r="782" spans="30:31" ht="14" thickBot="1" x14ac:dyDescent="0.2">
      <c r="AD782" s="98">
        <f t="shared" si="139"/>
        <v>45705</v>
      </c>
      <c r="AE782" s="7">
        <f t="shared" si="140"/>
        <v>343.07432866602727</v>
      </c>
    </row>
    <row r="783" spans="30:31" ht="14" thickBot="1" x14ac:dyDescent="0.2">
      <c r="AD783" s="98">
        <f t="shared" si="139"/>
        <v>45706</v>
      </c>
      <c r="AE783" s="7">
        <f t="shared" si="140"/>
        <v>343.71979208118114</v>
      </c>
    </row>
    <row r="784" spans="30:31" ht="14" thickBot="1" x14ac:dyDescent="0.2">
      <c r="AD784" s="98">
        <f t="shared" si="139"/>
        <v>45707</v>
      </c>
      <c r="AE784" s="7">
        <f t="shared" si="140"/>
        <v>344.36646987755068</v>
      </c>
    </row>
    <row r="785" spans="30:31" ht="14" thickBot="1" x14ac:dyDescent="0.2">
      <c r="AD785" s="98">
        <f t="shared" si="139"/>
        <v>45708</v>
      </c>
      <c r="AE785" s="7">
        <f t="shared" si="140"/>
        <v>345.01436433988459</v>
      </c>
    </row>
    <row r="786" spans="30:31" ht="14" thickBot="1" x14ac:dyDescent="0.2">
      <c r="AD786" s="98">
        <f t="shared" si="139"/>
        <v>45709</v>
      </c>
      <c r="AE786" s="7">
        <f t="shared" si="140"/>
        <v>345.66347775723023</v>
      </c>
    </row>
    <row r="787" spans="30:31" ht="14" thickBot="1" x14ac:dyDescent="0.2">
      <c r="AD787" s="98">
        <f t="shared" si="139"/>
        <v>45710</v>
      </c>
      <c r="AE787" s="7">
        <f t="shared" si="140"/>
        <v>346.31381242294151</v>
      </c>
    </row>
    <row r="788" spans="30:31" ht="14" thickBot="1" x14ac:dyDescent="0.2">
      <c r="AD788" s="98">
        <f t="shared" si="139"/>
        <v>45711</v>
      </c>
      <c r="AE788" s="7">
        <f t="shared" si="140"/>
        <v>346.96537063468713</v>
      </c>
    </row>
    <row r="789" spans="30:31" ht="14" thickBot="1" x14ac:dyDescent="0.2">
      <c r="AD789" s="98">
        <f t="shared" si="139"/>
        <v>45712</v>
      </c>
      <c r="AE789" s="7">
        <f t="shared" si="140"/>
        <v>347.61815469445867</v>
      </c>
    </row>
    <row r="790" spans="30:31" ht="14" thickBot="1" x14ac:dyDescent="0.2">
      <c r="AD790" s="98">
        <f t="shared" si="139"/>
        <v>45713</v>
      </c>
      <c r="AE790" s="7">
        <f t="shared" si="140"/>
        <v>348.27216690857858</v>
      </c>
    </row>
    <row r="791" spans="30:31" ht="14" thickBot="1" x14ac:dyDescent="0.2">
      <c r="AD791" s="98">
        <f t="shared" si="139"/>
        <v>45714</v>
      </c>
      <c r="AE791" s="7">
        <f t="shared" si="140"/>
        <v>348.92740958770855</v>
      </c>
    </row>
    <row r="792" spans="30:31" ht="14" thickBot="1" x14ac:dyDescent="0.2">
      <c r="AD792" s="98">
        <f t="shared" si="139"/>
        <v>45715</v>
      </c>
      <c r="AE792" s="7">
        <f t="shared" si="140"/>
        <v>349.58388504685757</v>
      </c>
    </row>
    <row r="793" spans="30:31" ht="14" thickBot="1" x14ac:dyDescent="0.2">
      <c r="AD793" s="98">
        <f t="shared" si="139"/>
        <v>45716</v>
      </c>
      <c r="AE793" s="7">
        <f t="shared" si="140"/>
        <v>350.2415956053901</v>
      </c>
    </row>
    <row r="794" spans="30:31" ht="14" thickBot="1" x14ac:dyDescent="0.2">
      <c r="AD794" s="98">
        <f t="shared" si="139"/>
        <v>45717</v>
      </c>
      <c r="AE794" s="7">
        <f t="shared" si="140"/>
        <v>350.90054358703424</v>
      </c>
    </row>
    <row r="795" spans="30:31" ht="14" thickBot="1" x14ac:dyDescent="0.2">
      <c r="AD795" s="98">
        <f t="shared" si="139"/>
        <v>45718</v>
      </c>
      <c r="AE795" s="7">
        <f t="shared" si="140"/>
        <v>351.56073131989001</v>
      </c>
    </row>
    <row r="796" spans="30:31" ht="14" thickBot="1" x14ac:dyDescent="0.2">
      <c r="AD796" s="98">
        <f t="shared" si="139"/>
        <v>45719</v>
      </c>
      <c r="AE796" s="7">
        <f t="shared" si="140"/>
        <v>352.22216113643753</v>
      </c>
    </row>
    <row r="797" spans="30:31" ht="14" thickBot="1" x14ac:dyDescent="0.2">
      <c r="AD797" s="98">
        <f t="shared" si="139"/>
        <v>45720</v>
      </c>
      <c r="AE797" s="7">
        <f t="shared" si="140"/>
        <v>352.88483537354523</v>
      </c>
    </row>
    <row r="798" spans="30:31" ht="14" thickBot="1" x14ac:dyDescent="0.2">
      <c r="AD798" s="98">
        <f t="shared" si="139"/>
        <v>45721</v>
      </c>
      <c r="AE798" s="7">
        <f t="shared" si="140"/>
        <v>353.54875637247824</v>
      </c>
    </row>
    <row r="799" spans="30:31" ht="14" thickBot="1" x14ac:dyDescent="0.2">
      <c r="AD799" s="98">
        <f t="shared" si="139"/>
        <v>45722</v>
      </c>
      <c r="AE799" s="7">
        <f t="shared" si="140"/>
        <v>354.2139264789065</v>
      </c>
    </row>
    <row r="800" spans="30:31" ht="14" thickBot="1" x14ac:dyDescent="0.2">
      <c r="AD800" s="98">
        <f t="shared" si="139"/>
        <v>45723</v>
      </c>
      <c r="AE800" s="7">
        <f t="shared" si="140"/>
        <v>354.88034804291311</v>
      </c>
    </row>
    <row r="801" spans="30:31" ht="14" thickBot="1" x14ac:dyDescent="0.2">
      <c r="AD801" s="98">
        <f t="shared" si="139"/>
        <v>45724</v>
      </c>
      <c r="AE801" s="7">
        <f t="shared" si="140"/>
        <v>355.54802341900273</v>
      </c>
    </row>
    <row r="802" spans="30:31" ht="14" thickBot="1" x14ac:dyDescent="0.2">
      <c r="AD802" s="98">
        <f t="shared" si="139"/>
        <v>45725</v>
      </c>
      <c r="AE802" s="7">
        <f t="shared" si="140"/>
        <v>356.21695496610965</v>
      </c>
    </row>
    <row r="803" spans="30:31" ht="14" thickBot="1" x14ac:dyDescent="0.2">
      <c r="AD803" s="98">
        <f t="shared" si="139"/>
        <v>45726</v>
      </c>
      <c r="AE803" s="7">
        <f t="shared" si="140"/>
        <v>356.88714504760645</v>
      </c>
    </row>
    <row r="804" spans="30:31" ht="14" thickBot="1" x14ac:dyDescent="0.2">
      <c r="AD804" s="98">
        <f t="shared" si="139"/>
        <v>45727</v>
      </c>
      <c r="AE804" s="7">
        <f t="shared" si="140"/>
        <v>357.55859603131205</v>
      </c>
    </row>
    <row r="805" spans="30:31" ht="14" thickBot="1" x14ac:dyDescent="0.2">
      <c r="AD805" s="98">
        <f t="shared" si="139"/>
        <v>45728</v>
      </c>
      <c r="AE805" s="7">
        <f t="shared" si="140"/>
        <v>358.2313102895003</v>
      </c>
    </row>
    <row r="806" spans="30:31" ht="14" thickBot="1" x14ac:dyDescent="0.2">
      <c r="AD806" s="98">
        <f t="shared" si="139"/>
        <v>45729</v>
      </c>
      <c r="AE806" s="7">
        <f t="shared" si="140"/>
        <v>358.90529019890823</v>
      </c>
    </row>
    <row r="807" spans="30:31" ht="14" thickBot="1" x14ac:dyDescent="0.2">
      <c r="AD807" s="98">
        <f t="shared" si="139"/>
        <v>45730</v>
      </c>
      <c r="AE807" s="7">
        <f t="shared" si="140"/>
        <v>359.58053814074447</v>
      </c>
    </row>
    <row r="808" spans="30:31" ht="14" thickBot="1" x14ac:dyDescent="0.2">
      <c r="AD808" s="98">
        <f t="shared" si="139"/>
        <v>45731</v>
      </c>
      <c r="AE808" s="7">
        <f t="shared" si="140"/>
        <v>360.25705650069767</v>
      </c>
    </row>
    <row r="809" spans="30:31" ht="14" thickBot="1" x14ac:dyDescent="0.2">
      <c r="AD809" s="98">
        <f t="shared" si="139"/>
        <v>45732</v>
      </c>
      <c r="AE809" s="7">
        <f t="shared" ref="AE809:AE839" si="141">AE808*$AI$24</f>
        <v>361.00754374279381</v>
      </c>
    </row>
    <row r="810" spans="30:31" ht="14" thickBot="1" x14ac:dyDescent="0.2">
      <c r="AD810" s="98">
        <f t="shared" si="139"/>
        <v>45733</v>
      </c>
      <c r="AE810" s="7">
        <f t="shared" si="141"/>
        <v>361.7595943993752</v>
      </c>
    </row>
    <row r="811" spans="30:31" ht="14" thickBot="1" x14ac:dyDescent="0.2">
      <c r="AD811" s="98">
        <f t="shared" si="139"/>
        <v>45734</v>
      </c>
      <c r="AE811" s="7">
        <f t="shared" si="141"/>
        <v>362.51321172734578</v>
      </c>
    </row>
    <row r="812" spans="30:31" ht="14" thickBot="1" x14ac:dyDescent="0.2">
      <c r="AD812" s="98">
        <f t="shared" si="139"/>
        <v>45735</v>
      </c>
      <c r="AE812" s="7">
        <f t="shared" si="141"/>
        <v>363.26839899039425</v>
      </c>
    </row>
    <row r="813" spans="30:31" ht="14" thickBot="1" x14ac:dyDescent="0.2">
      <c r="AD813" s="98">
        <f t="shared" si="139"/>
        <v>45736</v>
      </c>
      <c r="AE813" s="7">
        <f t="shared" si="141"/>
        <v>364.02515945900825</v>
      </c>
    </row>
    <row r="814" spans="30:31" ht="14" thickBot="1" x14ac:dyDescent="0.2">
      <c r="AD814" s="98">
        <f t="shared" si="139"/>
        <v>45737</v>
      </c>
      <c r="AE814" s="7">
        <f t="shared" si="141"/>
        <v>364.78349641048851</v>
      </c>
    </row>
    <row r="815" spans="30:31" ht="14" thickBot="1" x14ac:dyDescent="0.2">
      <c r="AD815" s="98">
        <f t="shared" si="139"/>
        <v>45738</v>
      </c>
      <c r="AE815" s="7">
        <f t="shared" si="141"/>
        <v>365.54341312896304</v>
      </c>
    </row>
    <row r="816" spans="30:31" ht="14" thickBot="1" x14ac:dyDescent="0.2">
      <c r="AD816" s="98">
        <f t="shared" si="139"/>
        <v>45739</v>
      </c>
      <c r="AE816" s="7">
        <f t="shared" si="141"/>
        <v>366.30491290540124</v>
      </c>
    </row>
    <row r="817" spans="30:31" ht="14" thickBot="1" x14ac:dyDescent="0.2">
      <c r="AD817" s="98">
        <f t="shared" si="139"/>
        <v>45740</v>
      </c>
      <c r="AE817" s="7">
        <f t="shared" si="141"/>
        <v>367.06799903762834</v>
      </c>
    </row>
    <row r="818" spans="30:31" ht="14" thickBot="1" x14ac:dyDescent="0.2">
      <c r="AD818" s="98">
        <f t="shared" si="139"/>
        <v>45741</v>
      </c>
      <c r="AE818" s="7">
        <f t="shared" si="141"/>
        <v>367.83267483033961</v>
      </c>
    </row>
    <row r="819" spans="30:31" ht="14" thickBot="1" x14ac:dyDescent="0.2">
      <c r="AD819" s="98">
        <f t="shared" si="139"/>
        <v>45742</v>
      </c>
      <c r="AE819" s="7">
        <f t="shared" si="141"/>
        <v>368.59894359511463</v>
      </c>
    </row>
    <row r="820" spans="30:31" ht="14" thickBot="1" x14ac:dyDescent="0.2">
      <c r="AD820" s="98">
        <f t="shared" si="139"/>
        <v>45743</v>
      </c>
      <c r="AE820" s="7">
        <f t="shared" si="141"/>
        <v>369.36680865043161</v>
      </c>
    </row>
    <row r="821" spans="30:31" ht="14" thickBot="1" x14ac:dyDescent="0.2">
      <c r="AD821" s="98">
        <f t="shared" si="139"/>
        <v>45744</v>
      </c>
      <c r="AE821" s="7">
        <f t="shared" si="141"/>
        <v>370.13627332168193</v>
      </c>
    </row>
    <row r="822" spans="30:31" ht="14" thickBot="1" x14ac:dyDescent="0.2">
      <c r="AD822" s="98">
        <f t="shared" si="139"/>
        <v>45745</v>
      </c>
      <c r="AE822" s="7">
        <f t="shared" si="141"/>
        <v>370.90734094118432</v>
      </c>
    </row>
    <row r="823" spans="30:31" ht="14" thickBot="1" x14ac:dyDescent="0.2">
      <c r="AD823" s="98">
        <f t="shared" si="139"/>
        <v>45746</v>
      </c>
      <c r="AE823" s="7">
        <f t="shared" si="141"/>
        <v>371.68001484819945</v>
      </c>
    </row>
    <row r="824" spans="30:31" ht="14" thickBot="1" x14ac:dyDescent="0.2">
      <c r="AD824" s="98">
        <f t="shared" si="139"/>
        <v>45747</v>
      </c>
      <c r="AE824" s="7">
        <f t="shared" si="141"/>
        <v>372.45429838894427</v>
      </c>
    </row>
    <row r="825" spans="30:31" ht="14" thickBot="1" x14ac:dyDescent="0.2">
      <c r="AD825" s="98">
        <f t="shared" si="139"/>
        <v>45748</v>
      </c>
      <c r="AE825" s="7">
        <f t="shared" si="141"/>
        <v>373.23019491660665</v>
      </c>
    </row>
    <row r="826" spans="30:31" ht="14" thickBot="1" x14ac:dyDescent="0.2">
      <c r="AD826" s="98">
        <f t="shared" si="139"/>
        <v>45749</v>
      </c>
      <c r="AE826" s="7">
        <f t="shared" si="141"/>
        <v>374.00770779135979</v>
      </c>
    </row>
    <row r="827" spans="30:31" ht="14" thickBot="1" x14ac:dyDescent="0.2">
      <c r="AD827" s="98">
        <f t="shared" si="139"/>
        <v>45750</v>
      </c>
      <c r="AE827" s="7">
        <f t="shared" si="141"/>
        <v>374.78684038037682</v>
      </c>
    </row>
    <row r="828" spans="30:31" ht="14" thickBot="1" x14ac:dyDescent="0.2">
      <c r="AD828" s="98">
        <f t="shared" si="139"/>
        <v>45751</v>
      </c>
      <c r="AE828" s="7">
        <f t="shared" si="141"/>
        <v>375.56759605784526</v>
      </c>
    </row>
    <row r="829" spans="30:31" ht="14" thickBot="1" x14ac:dyDescent="0.2">
      <c r="AD829" s="98">
        <f t="shared" si="139"/>
        <v>45752</v>
      </c>
      <c r="AE829" s="7">
        <f t="shared" si="141"/>
        <v>376.34997820498188</v>
      </c>
    </row>
    <row r="830" spans="30:31" ht="14" thickBot="1" x14ac:dyDescent="0.2">
      <c r="AD830" s="98">
        <f t="shared" si="139"/>
        <v>45753</v>
      </c>
      <c r="AE830" s="7">
        <f t="shared" si="141"/>
        <v>377.1339902100471</v>
      </c>
    </row>
    <row r="831" spans="30:31" ht="14" thickBot="1" x14ac:dyDescent="0.2">
      <c r="AD831" s="98">
        <f t="shared" si="139"/>
        <v>45754</v>
      </c>
      <c r="AE831" s="7">
        <f t="shared" si="141"/>
        <v>377.91963546835979</v>
      </c>
    </row>
    <row r="832" spans="30:31" ht="14" thickBot="1" x14ac:dyDescent="0.2">
      <c r="AD832" s="98">
        <f t="shared" si="139"/>
        <v>45755</v>
      </c>
      <c r="AE832" s="7">
        <f t="shared" si="141"/>
        <v>378.70691738231193</v>
      </c>
    </row>
    <row r="833" spans="30:31" ht="14" thickBot="1" x14ac:dyDescent="0.2">
      <c r="AD833" s="98">
        <f t="shared" si="139"/>
        <v>45756</v>
      </c>
      <c r="AE833" s="7">
        <f t="shared" si="141"/>
        <v>379.49583936138339</v>
      </c>
    </row>
    <row r="834" spans="30:31" ht="14" thickBot="1" x14ac:dyDescent="0.2">
      <c r="AD834" s="98">
        <f t="shared" si="139"/>
        <v>45757</v>
      </c>
      <c r="AE834" s="7">
        <f t="shared" si="141"/>
        <v>380.28640482215661</v>
      </c>
    </row>
    <row r="835" spans="30:31" ht="14" thickBot="1" x14ac:dyDescent="0.2">
      <c r="AD835" s="98">
        <f t="shared" si="139"/>
        <v>45758</v>
      </c>
      <c r="AE835" s="7">
        <f t="shared" si="141"/>
        <v>381.07861718833152</v>
      </c>
    </row>
    <row r="836" spans="30:31" ht="14" thickBot="1" x14ac:dyDescent="0.2">
      <c r="AD836" s="98">
        <f t="shared" si="139"/>
        <v>45759</v>
      </c>
      <c r="AE836" s="7">
        <f t="shared" si="141"/>
        <v>381.87247989074029</v>
      </c>
    </row>
    <row r="837" spans="30:31" ht="14" thickBot="1" x14ac:dyDescent="0.2">
      <c r="AD837" s="98">
        <f t="shared" si="139"/>
        <v>45760</v>
      </c>
      <c r="AE837" s="7">
        <f t="shared" si="141"/>
        <v>382.66799636736221</v>
      </c>
    </row>
    <row r="838" spans="30:31" ht="14" thickBot="1" x14ac:dyDescent="0.2">
      <c r="AD838" s="98">
        <f t="shared" si="139"/>
        <v>45761</v>
      </c>
      <c r="AE838" s="7">
        <f t="shared" si="141"/>
        <v>383.46517006333846</v>
      </c>
    </row>
    <row r="839" spans="30:31" ht="14" thickBot="1" x14ac:dyDescent="0.2">
      <c r="AD839" s="98">
        <f t="shared" si="139"/>
        <v>45762</v>
      </c>
      <c r="AE839" s="7">
        <f t="shared" si="141"/>
        <v>384.26400443098726</v>
      </c>
    </row>
    <row r="840" spans="30:31" ht="14" thickBot="1" x14ac:dyDescent="0.2">
      <c r="AD840" s="98">
        <f t="shared" si="139"/>
        <v>45763</v>
      </c>
      <c r="AE840" s="7">
        <f t="shared" ref="AE840:AE869" si="142">AE839*$AI$25</f>
        <v>384.98696250711362</v>
      </c>
    </row>
    <row r="841" spans="30:31" ht="14" thickBot="1" x14ac:dyDescent="0.2">
      <c r="AD841" s="98">
        <f t="shared" ref="AD841:AD904" si="143">AD840+1</f>
        <v>45764</v>
      </c>
      <c r="AE841" s="7">
        <f t="shared" si="142"/>
        <v>385.71128076367273</v>
      </c>
    </row>
    <row r="842" spans="30:31" ht="14" thickBot="1" x14ac:dyDescent="0.2">
      <c r="AD842" s="98">
        <f t="shared" si="143"/>
        <v>45765</v>
      </c>
      <c r="AE842" s="7">
        <f t="shared" si="142"/>
        <v>386.43696175972144</v>
      </c>
    </row>
    <row r="843" spans="30:31" ht="14" thickBot="1" x14ac:dyDescent="0.2">
      <c r="AD843" s="98">
        <f t="shared" si="143"/>
        <v>45766</v>
      </c>
      <c r="AE843" s="7">
        <f t="shared" si="142"/>
        <v>387.16400805913116</v>
      </c>
    </row>
    <row r="844" spans="30:31" ht="14" thickBot="1" x14ac:dyDescent="0.2">
      <c r="AD844" s="98">
        <f t="shared" si="143"/>
        <v>45767</v>
      </c>
      <c r="AE844" s="7">
        <f t="shared" si="142"/>
        <v>387.89242223059716</v>
      </c>
    </row>
    <row r="845" spans="30:31" ht="14" thickBot="1" x14ac:dyDescent="0.2">
      <c r="AD845" s="98">
        <f t="shared" si="143"/>
        <v>45768</v>
      </c>
      <c r="AE845" s="7">
        <f t="shared" si="142"/>
        <v>388.62220684764731</v>
      </c>
    </row>
    <row r="846" spans="30:31" ht="14" thickBot="1" x14ac:dyDescent="0.2">
      <c r="AD846" s="98">
        <f t="shared" si="143"/>
        <v>45769</v>
      </c>
      <c r="AE846" s="7">
        <f t="shared" si="142"/>
        <v>389.35336448865138</v>
      </c>
    </row>
    <row r="847" spans="30:31" ht="14" thickBot="1" x14ac:dyDescent="0.2">
      <c r="AD847" s="98">
        <f t="shared" si="143"/>
        <v>45770</v>
      </c>
      <c r="AE847" s="7">
        <f t="shared" si="142"/>
        <v>390.08589773683019</v>
      </c>
    </row>
    <row r="848" spans="30:31" ht="14" thickBot="1" x14ac:dyDescent="0.2">
      <c r="AD848" s="98">
        <f t="shared" si="143"/>
        <v>45771</v>
      </c>
      <c r="AE848" s="7">
        <f t="shared" si="142"/>
        <v>390.8198091802646</v>
      </c>
    </row>
    <row r="849" spans="30:31" ht="14" thickBot="1" x14ac:dyDescent="0.2">
      <c r="AD849" s="98">
        <f t="shared" si="143"/>
        <v>45772</v>
      </c>
      <c r="AE849" s="7">
        <f t="shared" si="142"/>
        <v>391.55510141190473</v>
      </c>
    </row>
    <row r="850" spans="30:31" ht="14" thickBot="1" x14ac:dyDescent="0.2">
      <c r="AD850" s="98">
        <f t="shared" si="143"/>
        <v>45773</v>
      </c>
      <c r="AE850" s="7">
        <f t="shared" si="142"/>
        <v>392.29177702957907</v>
      </c>
    </row>
    <row r="851" spans="30:31" ht="14" thickBot="1" x14ac:dyDescent="0.2">
      <c r="AD851" s="98">
        <f t="shared" si="143"/>
        <v>45774</v>
      </c>
      <c r="AE851" s="7">
        <f t="shared" si="142"/>
        <v>393.02983863600366</v>
      </c>
    </row>
    <row r="852" spans="30:31" ht="14" thickBot="1" x14ac:dyDescent="0.2">
      <c r="AD852" s="98">
        <f t="shared" si="143"/>
        <v>45775</v>
      </c>
      <c r="AE852" s="7">
        <f t="shared" si="142"/>
        <v>393.76928883879145</v>
      </c>
    </row>
    <row r="853" spans="30:31" ht="14" thickBot="1" x14ac:dyDescent="0.2">
      <c r="AD853" s="98">
        <f t="shared" si="143"/>
        <v>45776</v>
      </c>
      <c r="AE853" s="7">
        <f t="shared" si="142"/>
        <v>394.5101302504612</v>
      </c>
    </row>
    <row r="854" spans="30:31" ht="14" thickBot="1" x14ac:dyDescent="0.2">
      <c r="AD854" s="98">
        <f t="shared" si="143"/>
        <v>45777</v>
      </c>
      <c r="AE854" s="7">
        <f t="shared" si="142"/>
        <v>395.25236548844703</v>
      </c>
    </row>
    <row r="855" spans="30:31" ht="14" thickBot="1" x14ac:dyDescent="0.2">
      <c r="AD855" s="98">
        <f t="shared" si="143"/>
        <v>45778</v>
      </c>
      <c r="AE855" s="7">
        <f t="shared" si="142"/>
        <v>395.9959971751075</v>
      </c>
    </row>
    <row r="856" spans="30:31" ht="14" thickBot="1" x14ac:dyDescent="0.2">
      <c r="AD856" s="98">
        <f t="shared" si="143"/>
        <v>45779</v>
      </c>
      <c r="AE856" s="7">
        <f t="shared" si="142"/>
        <v>396.74102793773483</v>
      </c>
    </row>
    <row r="857" spans="30:31" ht="14" thickBot="1" x14ac:dyDescent="0.2">
      <c r="AD857" s="98">
        <f t="shared" si="143"/>
        <v>45780</v>
      </c>
      <c r="AE857" s="7">
        <f t="shared" si="142"/>
        <v>397.48746040856429</v>
      </c>
    </row>
    <row r="858" spans="30:31" ht="14" thickBot="1" x14ac:dyDescent="0.2">
      <c r="AD858" s="98">
        <f t="shared" si="143"/>
        <v>45781</v>
      </c>
      <c r="AE858" s="7">
        <f t="shared" si="142"/>
        <v>398.23529722478349</v>
      </c>
    </row>
    <row r="859" spans="30:31" ht="14" thickBot="1" x14ac:dyDescent="0.2">
      <c r="AD859" s="98">
        <f t="shared" si="143"/>
        <v>45782</v>
      </c>
      <c r="AE859" s="7">
        <f t="shared" si="142"/>
        <v>398.98454102854168</v>
      </c>
    </row>
    <row r="860" spans="30:31" ht="14" thickBot="1" x14ac:dyDescent="0.2">
      <c r="AD860" s="98">
        <f t="shared" si="143"/>
        <v>45783</v>
      </c>
      <c r="AE860" s="7">
        <f t="shared" si="142"/>
        <v>399.73519446695906</v>
      </c>
    </row>
    <row r="861" spans="30:31" ht="14" thickBot="1" x14ac:dyDescent="0.2">
      <c r="AD861" s="98">
        <f t="shared" si="143"/>
        <v>45784</v>
      </c>
      <c r="AE861" s="7">
        <f t="shared" si="142"/>
        <v>400.48726019213609</v>
      </c>
    </row>
    <row r="862" spans="30:31" ht="14" thickBot="1" x14ac:dyDescent="0.2">
      <c r="AD862" s="98">
        <f t="shared" si="143"/>
        <v>45785</v>
      </c>
      <c r="AE862" s="7">
        <f t="shared" si="142"/>
        <v>401.24074086116298</v>
      </c>
    </row>
    <row r="863" spans="30:31" ht="14" thickBot="1" x14ac:dyDescent="0.2">
      <c r="AD863" s="98">
        <f t="shared" si="143"/>
        <v>45786</v>
      </c>
      <c r="AE863" s="7">
        <f t="shared" si="142"/>
        <v>401.995639136129</v>
      </c>
    </row>
    <row r="864" spans="30:31" ht="14" thickBot="1" x14ac:dyDescent="0.2">
      <c r="AD864" s="98">
        <f t="shared" si="143"/>
        <v>45787</v>
      </c>
      <c r="AE864" s="7">
        <f t="shared" si="142"/>
        <v>402.75195768413192</v>
      </c>
    </row>
    <row r="865" spans="30:31" ht="14" thickBot="1" x14ac:dyDescent="0.2">
      <c r="AD865" s="98">
        <f t="shared" si="143"/>
        <v>45788</v>
      </c>
      <c r="AE865" s="7">
        <f t="shared" si="142"/>
        <v>403.50969917728742</v>
      </c>
    </row>
    <row r="866" spans="30:31" ht="14" thickBot="1" x14ac:dyDescent="0.2">
      <c r="AD866" s="98">
        <f t="shared" si="143"/>
        <v>45789</v>
      </c>
      <c r="AE866" s="7">
        <f t="shared" si="142"/>
        <v>404.26886629273844</v>
      </c>
    </row>
    <row r="867" spans="30:31" ht="14" thickBot="1" x14ac:dyDescent="0.2">
      <c r="AD867" s="98">
        <f t="shared" si="143"/>
        <v>45790</v>
      </c>
      <c r="AE867" s="7">
        <f t="shared" si="142"/>
        <v>405.02946171266484</v>
      </c>
    </row>
    <row r="868" spans="30:31" ht="14" thickBot="1" x14ac:dyDescent="0.2">
      <c r="AD868" s="98">
        <f t="shared" si="143"/>
        <v>45791</v>
      </c>
      <c r="AE868" s="7">
        <f t="shared" si="142"/>
        <v>405.79148812429264</v>
      </c>
    </row>
    <row r="869" spans="30:31" ht="14" thickBot="1" x14ac:dyDescent="0.2">
      <c r="AD869" s="98">
        <f t="shared" si="143"/>
        <v>45792</v>
      </c>
      <c r="AE869" s="7">
        <f t="shared" si="142"/>
        <v>406.55494821990374</v>
      </c>
    </row>
    <row r="870" spans="30:31" ht="14" thickBot="1" x14ac:dyDescent="0.2">
      <c r="AD870" s="98">
        <f t="shared" si="143"/>
        <v>45793</v>
      </c>
      <c r="AE870" s="7">
        <f t="shared" ref="AE870:AE900" si="144">AE869*$AI$26</f>
        <v>407.34536601528578</v>
      </c>
    </row>
    <row r="871" spans="30:31" ht="14" thickBot="1" x14ac:dyDescent="0.2">
      <c r="AD871" s="98">
        <f t="shared" si="143"/>
        <v>45794</v>
      </c>
      <c r="AE871" s="7">
        <f t="shared" si="144"/>
        <v>408.13732052862929</v>
      </c>
    </row>
    <row r="872" spans="30:31" ht="14" thickBot="1" x14ac:dyDescent="0.2">
      <c r="AD872" s="98">
        <f t="shared" si="143"/>
        <v>45795</v>
      </c>
      <c r="AE872" s="7">
        <f t="shared" si="144"/>
        <v>408.93081474759742</v>
      </c>
    </row>
    <row r="873" spans="30:31" ht="14" thickBot="1" x14ac:dyDescent="0.2">
      <c r="AD873" s="98">
        <f t="shared" si="143"/>
        <v>45796</v>
      </c>
      <c r="AE873" s="7">
        <f t="shared" si="144"/>
        <v>409.72585166566182</v>
      </c>
    </row>
    <row r="874" spans="30:31" ht="14" thickBot="1" x14ac:dyDescent="0.2">
      <c r="AD874" s="98">
        <f t="shared" si="143"/>
        <v>45797</v>
      </c>
      <c r="AE874" s="7">
        <f t="shared" si="144"/>
        <v>410.52243428211403</v>
      </c>
    </row>
    <row r="875" spans="30:31" ht="14" thickBot="1" x14ac:dyDescent="0.2">
      <c r="AD875" s="98">
        <f t="shared" si="143"/>
        <v>45798</v>
      </c>
      <c r="AE875" s="7">
        <f t="shared" si="144"/>
        <v>411.32056560207678</v>
      </c>
    </row>
    <row r="876" spans="30:31" ht="14" thickBot="1" x14ac:dyDescent="0.2">
      <c r="AD876" s="98">
        <f t="shared" si="143"/>
        <v>45799</v>
      </c>
      <c r="AE876" s="7">
        <f t="shared" si="144"/>
        <v>412.12024863651533</v>
      </c>
    </row>
    <row r="877" spans="30:31" ht="14" thickBot="1" x14ac:dyDescent="0.2">
      <c r="AD877" s="98">
        <f t="shared" si="143"/>
        <v>45800</v>
      </c>
      <c r="AE877" s="7">
        <f t="shared" si="144"/>
        <v>412.92148640224872</v>
      </c>
    </row>
    <row r="878" spans="30:31" ht="14" thickBot="1" x14ac:dyDescent="0.2">
      <c r="AD878" s="98">
        <f t="shared" si="143"/>
        <v>45801</v>
      </c>
      <c r="AE878" s="7">
        <f t="shared" si="144"/>
        <v>413.72428192196134</v>
      </c>
    </row>
    <row r="879" spans="30:31" ht="14" thickBot="1" x14ac:dyDescent="0.2">
      <c r="AD879" s="98">
        <f t="shared" si="143"/>
        <v>45802</v>
      </c>
      <c r="AE879" s="7">
        <f t="shared" si="144"/>
        <v>414.52863822421421</v>
      </c>
    </row>
    <row r="880" spans="30:31" ht="14" thickBot="1" x14ac:dyDescent="0.2">
      <c r="AD880" s="98">
        <f t="shared" si="143"/>
        <v>45803</v>
      </c>
      <c r="AE880" s="7">
        <f t="shared" si="144"/>
        <v>415.33455834345642</v>
      </c>
    </row>
    <row r="881" spans="30:31" ht="14" thickBot="1" x14ac:dyDescent="0.2">
      <c r="AD881" s="98">
        <f t="shared" si="143"/>
        <v>45804</v>
      </c>
      <c r="AE881" s="7">
        <f t="shared" si="144"/>
        <v>416.14204532003663</v>
      </c>
    </row>
    <row r="882" spans="30:31" ht="14" thickBot="1" x14ac:dyDescent="0.2">
      <c r="AD882" s="98">
        <f t="shared" si="143"/>
        <v>45805</v>
      </c>
      <c r="AE882" s="7">
        <f t="shared" si="144"/>
        <v>416.95110220021445</v>
      </c>
    </row>
    <row r="883" spans="30:31" ht="14" thickBot="1" x14ac:dyDescent="0.2">
      <c r="AD883" s="98">
        <f t="shared" si="143"/>
        <v>45806</v>
      </c>
      <c r="AE883" s="7">
        <f t="shared" si="144"/>
        <v>417.76173203617196</v>
      </c>
    </row>
    <row r="884" spans="30:31" ht="14" thickBot="1" x14ac:dyDescent="0.2">
      <c r="AD884" s="98">
        <f t="shared" si="143"/>
        <v>45807</v>
      </c>
      <c r="AE884" s="7">
        <f t="shared" si="144"/>
        <v>418.57393788602531</v>
      </c>
    </row>
    <row r="885" spans="30:31" ht="14" thickBot="1" x14ac:dyDescent="0.2">
      <c r="AD885" s="98">
        <f t="shared" si="143"/>
        <v>45808</v>
      </c>
      <c r="AE885" s="7">
        <f t="shared" si="144"/>
        <v>419.38772281383609</v>
      </c>
    </row>
    <row r="886" spans="30:31" ht="14" thickBot="1" x14ac:dyDescent="0.2">
      <c r="AD886" s="98">
        <f t="shared" si="143"/>
        <v>45809</v>
      </c>
      <c r="AE886" s="7">
        <f t="shared" si="144"/>
        <v>420.20308988962313</v>
      </c>
    </row>
    <row r="887" spans="30:31" ht="14" thickBot="1" x14ac:dyDescent="0.2">
      <c r="AD887" s="98">
        <f t="shared" si="143"/>
        <v>45810</v>
      </c>
      <c r="AE887" s="7">
        <f t="shared" si="144"/>
        <v>421.02004218937384</v>
      </c>
    </row>
    <row r="888" spans="30:31" ht="14" thickBot="1" x14ac:dyDescent="0.2">
      <c r="AD888" s="98">
        <f t="shared" si="143"/>
        <v>45811</v>
      </c>
      <c r="AE888" s="7">
        <f t="shared" si="144"/>
        <v>421.83858279505597</v>
      </c>
    </row>
    <row r="889" spans="30:31" ht="14" thickBot="1" x14ac:dyDescent="0.2">
      <c r="AD889" s="98">
        <f t="shared" si="143"/>
        <v>45812</v>
      </c>
      <c r="AE889" s="7">
        <f t="shared" si="144"/>
        <v>422.65871479462913</v>
      </c>
    </row>
    <row r="890" spans="30:31" ht="14" thickBot="1" x14ac:dyDescent="0.2">
      <c r="AD890" s="98">
        <f t="shared" si="143"/>
        <v>45813</v>
      </c>
      <c r="AE890" s="7">
        <f t="shared" si="144"/>
        <v>423.48044128205657</v>
      </c>
    </row>
    <row r="891" spans="30:31" ht="14" thickBot="1" x14ac:dyDescent="0.2">
      <c r="AD891" s="98">
        <f t="shared" si="143"/>
        <v>45814</v>
      </c>
      <c r="AE891" s="7">
        <f t="shared" si="144"/>
        <v>424.30376535731671</v>
      </c>
    </row>
    <row r="892" spans="30:31" ht="14" thickBot="1" x14ac:dyDescent="0.2">
      <c r="AD892" s="98">
        <f t="shared" si="143"/>
        <v>45815</v>
      </c>
      <c r="AE892" s="7">
        <f t="shared" si="144"/>
        <v>425.12869012641488</v>
      </c>
    </row>
    <row r="893" spans="30:31" ht="14" thickBot="1" x14ac:dyDescent="0.2">
      <c r="AD893" s="98">
        <f t="shared" si="143"/>
        <v>45816</v>
      </c>
      <c r="AE893" s="7">
        <f t="shared" si="144"/>
        <v>425.95521870139515</v>
      </c>
    </row>
    <row r="894" spans="30:31" ht="14" thickBot="1" x14ac:dyDescent="0.2">
      <c r="AD894" s="98">
        <f t="shared" si="143"/>
        <v>45817</v>
      </c>
      <c r="AE894" s="7">
        <f t="shared" si="144"/>
        <v>426.78335420035194</v>
      </c>
    </row>
    <row r="895" spans="30:31" ht="14" thickBot="1" x14ac:dyDescent="0.2">
      <c r="AD895" s="98">
        <f t="shared" si="143"/>
        <v>45818</v>
      </c>
      <c r="AE895" s="7">
        <f t="shared" si="144"/>
        <v>427.61309974744177</v>
      </c>
    </row>
    <row r="896" spans="30:31" ht="14" thickBot="1" x14ac:dyDescent="0.2">
      <c r="AD896" s="98">
        <f t="shared" si="143"/>
        <v>45819</v>
      </c>
      <c r="AE896" s="7">
        <f t="shared" si="144"/>
        <v>428.44445847289512</v>
      </c>
    </row>
    <row r="897" spans="30:31" ht="14" thickBot="1" x14ac:dyDescent="0.2">
      <c r="AD897" s="98">
        <f t="shared" si="143"/>
        <v>45820</v>
      </c>
      <c r="AE897" s="7">
        <f t="shared" si="144"/>
        <v>429.27743351302826</v>
      </c>
    </row>
    <row r="898" spans="30:31" ht="14" thickBot="1" x14ac:dyDescent="0.2">
      <c r="AD898" s="98">
        <f t="shared" si="143"/>
        <v>45821</v>
      </c>
      <c r="AE898" s="7">
        <f t="shared" si="144"/>
        <v>430.11202801025502</v>
      </c>
    </row>
    <row r="899" spans="30:31" ht="14" thickBot="1" x14ac:dyDescent="0.2">
      <c r="AD899" s="98">
        <f t="shared" si="143"/>
        <v>45822</v>
      </c>
      <c r="AE899" s="7">
        <f t="shared" si="144"/>
        <v>430.94824511309861</v>
      </c>
    </row>
    <row r="900" spans="30:31" ht="14" thickBot="1" x14ac:dyDescent="0.2">
      <c r="AD900" s="98">
        <f t="shared" si="143"/>
        <v>45823</v>
      </c>
      <c r="AE900" s="7">
        <f t="shared" si="144"/>
        <v>431.78608797620359</v>
      </c>
    </row>
    <row r="901" spans="30:31" ht="14" thickBot="1" x14ac:dyDescent="0.2">
      <c r="AD901" s="98">
        <f t="shared" si="143"/>
        <v>45824</v>
      </c>
      <c r="AE901" s="7">
        <f t="shared" ref="AE901:AE930" si="145">AE900*$AI$27</f>
        <v>432.59845456756216</v>
      </c>
    </row>
    <row r="902" spans="30:31" ht="14" thickBot="1" x14ac:dyDescent="0.2">
      <c r="AD902" s="98">
        <f t="shared" si="143"/>
        <v>45825</v>
      </c>
      <c r="AE902" s="7">
        <f t="shared" si="145"/>
        <v>433.41234955341315</v>
      </c>
    </row>
    <row r="903" spans="30:31" ht="14" thickBot="1" x14ac:dyDescent="0.2">
      <c r="AD903" s="98">
        <f t="shared" si="143"/>
        <v>45826</v>
      </c>
      <c r="AE903" s="7">
        <f t="shared" si="145"/>
        <v>434.22777580929295</v>
      </c>
    </row>
    <row r="904" spans="30:31" ht="14" thickBot="1" x14ac:dyDescent="0.2">
      <c r="AD904" s="98">
        <f t="shared" si="143"/>
        <v>45827</v>
      </c>
      <c r="AE904" s="7">
        <f t="shared" si="145"/>
        <v>435.04473621614807</v>
      </c>
    </row>
    <row r="905" spans="30:31" ht="14" thickBot="1" x14ac:dyDescent="0.2">
      <c r="AD905" s="98">
        <f t="shared" ref="AD905:AD968" si="146">AD904+1</f>
        <v>45828</v>
      </c>
      <c r="AE905" s="7">
        <f t="shared" si="145"/>
        <v>435.8632336603452</v>
      </c>
    </row>
    <row r="906" spans="30:31" ht="14" thickBot="1" x14ac:dyDescent="0.2">
      <c r="AD906" s="98">
        <f t="shared" si="146"/>
        <v>45829</v>
      </c>
      <c r="AE906" s="7">
        <f t="shared" si="145"/>
        <v>436.68327103368154</v>
      </c>
    </row>
    <row r="907" spans="30:31" ht="14" thickBot="1" x14ac:dyDescent="0.2">
      <c r="AD907" s="98">
        <f t="shared" si="146"/>
        <v>45830</v>
      </c>
      <c r="AE907" s="7">
        <f t="shared" si="145"/>
        <v>437.5048512333949</v>
      </c>
    </row>
    <row r="908" spans="30:31" ht="14" thickBot="1" x14ac:dyDescent="0.2">
      <c r="AD908" s="98">
        <f t="shared" si="146"/>
        <v>45831</v>
      </c>
      <c r="AE908" s="7">
        <f t="shared" si="145"/>
        <v>438.32797716217402</v>
      </c>
    </row>
    <row r="909" spans="30:31" ht="14" thickBot="1" x14ac:dyDescent="0.2">
      <c r="AD909" s="98">
        <f t="shared" si="146"/>
        <v>45832</v>
      </c>
      <c r="AE909" s="7">
        <f t="shared" si="145"/>
        <v>439.15265172816873</v>
      </c>
    </row>
    <row r="910" spans="30:31" ht="14" thickBot="1" x14ac:dyDescent="0.2">
      <c r="AD910" s="98">
        <f t="shared" si="146"/>
        <v>45833</v>
      </c>
      <c r="AE910" s="7">
        <f t="shared" si="145"/>
        <v>439.97887784500034</v>
      </c>
    </row>
    <row r="911" spans="30:31" ht="14" thickBot="1" x14ac:dyDescent="0.2">
      <c r="AD911" s="98">
        <f t="shared" si="146"/>
        <v>45834</v>
      </c>
      <c r="AE911" s="7">
        <f t="shared" si="145"/>
        <v>440.80665843177184</v>
      </c>
    </row>
    <row r="912" spans="30:31" ht="14" thickBot="1" x14ac:dyDescent="0.2">
      <c r="AD912" s="98">
        <f t="shared" si="146"/>
        <v>45835</v>
      </c>
      <c r="AE912" s="7">
        <f t="shared" si="145"/>
        <v>441.63599641307826</v>
      </c>
    </row>
    <row r="913" spans="30:31" ht="14" thickBot="1" x14ac:dyDescent="0.2">
      <c r="AD913" s="98">
        <f t="shared" si="146"/>
        <v>45836</v>
      </c>
      <c r="AE913" s="7">
        <f t="shared" si="145"/>
        <v>442.46689471901698</v>
      </c>
    </row>
    <row r="914" spans="30:31" ht="14" thickBot="1" x14ac:dyDescent="0.2">
      <c r="AD914" s="98">
        <f t="shared" si="146"/>
        <v>45837</v>
      </c>
      <c r="AE914" s="7">
        <f t="shared" si="145"/>
        <v>443.29935628519814</v>
      </c>
    </row>
    <row r="915" spans="30:31" ht="14" thickBot="1" x14ac:dyDescent="0.2">
      <c r="AD915" s="98">
        <f t="shared" si="146"/>
        <v>45838</v>
      </c>
      <c r="AE915" s="7">
        <f t="shared" si="145"/>
        <v>444.13338405275488</v>
      </c>
    </row>
    <row r="916" spans="30:31" ht="14" thickBot="1" x14ac:dyDescent="0.2">
      <c r="AD916" s="98">
        <f t="shared" si="146"/>
        <v>45839</v>
      </c>
      <c r="AE916" s="7">
        <f t="shared" si="145"/>
        <v>444.96898096835389</v>
      </c>
    </row>
    <row r="917" spans="30:31" ht="14" thickBot="1" x14ac:dyDescent="0.2">
      <c r="AD917" s="98">
        <f t="shared" si="146"/>
        <v>45840</v>
      </c>
      <c r="AE917" s="7">
        <f t="shared" si="145"/>
        <v>445.80614998420572</v>
      </c>
    </row>
    <row r="918" spans="30:31" ht="14" thickBot="1" x14ac:dyDescent="0.2">
      <c r="AD918" s="98">
        <f t="shared" si="146"/>
        <v>45841</v>
      </c>
      <c r="AE918" s="7">
        <f t="shared" si="145"/>
        <v>446.64489405807529</v>
      </c>
    </row>
    <row r="919" spans="30:31" ht="14" thickBot="1" x14ac:dyDescent="0.2">
      <c r="AD919" s="98">
        <f t="shared" si="146"/>
        <v>45842</v>
      </c>
      <c r="AE919" s="7">
        <f t="shared" si="145"/>
        <v>447.48521615329219</v>
      </c>
    </row>
    <row r="920" spans="30:31" ht="14" thickBot="1" x14ac:dyDescent="0.2">
      <c r="AD920" s="98">
        <f t="shared" si="146"/>
        <v>45843</v>
      </c>
      <c r="AE920" s="7">
        <f t="shared" si="145"/>
        <v>448.32711923876133</v>
      </c>
    </row>
    <row r="921" spans="30:31" ht="14" thickBot="1" x14ac:dyDescent="0.2">
      <c r="AD921" s="98">
        <f t="shared" si="146"/>
        <v>45844</v>
      </c>
      <c r="AE921" s="7">
        <f t="shared" si="145"/>
        <v>449.17060628897326</v>
      </c>
    </row>
    <row r="922" spans="30:31" ht="14" thickBot="1" x14ac:dyDescent="0.2">
      <c r="AD922" s="98">
        <f t="shared" si="146"/>
        <v>45845</v>
      </c>
      <c r="AE922" s="7">
        <f t="shared" si="145"/>
        <v>450.01568028401488</v>
      </c>
    </row>
    <row r="923" spans="30:31" ht="14" thickBot="1" x14ac:dyDescent="0.2">
      <c r="AD923" s="98">
        <f t="shared" si="146"/>
        <v>45846</v>
      </c>
      <c r="AE923" s="7">
        <f t="shared" si="145"/>
        <v>450.86234420957976</v>
      </c>
    </row>
    <row r="924" spans="30:31" ht="14" thickBot="1" x14ac:dyDescent="0.2">
      <c r="AD924" s="98">
        <f t="shared" si="146"/>
        <v>45847</v>
      </c>
      <c r="AE924" s="7">
        <f t="shared" si="145"/>
        <v>451.71060105697882</v>
      </c>
    </row>
    <row r="925" spans="30:31" ht="14" thickBot="1" x14ac:dyDescent="0.2">
      <c r="AD925" s="98">
        <f t="shared" si="146"/>
        <v>45848</v>
      </c>
      <c r="AE925" s="7">
        <f t="shared" si="145"/>
        <v>452.56045382315091</v>
      </c>
    </row>
    <row r="926" spans="30:31" ht="14" thickBot="1" x14ac:dyDescent="0.2">
      <c r="AD926" s="98">
        <f t="shared" si="146"/>
        <v>45849</v>
      </c>
      <c r="AE926" s="7">
        <f t="shared" si="145"/>
        <v>453.41190551067325</v>
      </c>
    </row>
    <row r="927" spans="30:31" ht="14" thickBot="1" x14ac:dyDescent="0.2">
      <c r="AD927" s="98">
        <f t="shared" si="146"/>
        <v>45850</v>
      </c>
      <c r="AE927" s="7">
        <f t="shared" si="145"/>
        <v>454.26495912777222</v>
      </c>
    </row>
    <row r="928" spans="30:31" ht="14" thickBot="1" x14ac:dyDescent="0.2">
      <c r="AD928" s="98">
        <f t="shared" si="146"/>
        <v>45851</v>
      </c>
      <c r="AE928" s="7">
        <f t="shared" si="145"/>
        <v>455.11961768833385</v>
      </c>
    </row>
    <row r="929" spans="30:31" ht="14" thickBot="1" x14ac:dyDescent="0.2">
      <c r="AD929" s="98">
        <f t="shared" si="146"/>
        <v>45852</v>
      </c>
      <c r="AE929" s="7">
        <f t="shared" si="145"/>
        <v>455.97588421191455</v>
      </c>
    </row>
    <row r="930" spans="30:31" ht="14" thickBot="1" x14ac:dyDescent="0.2">
      <c r="AD930" s="98">
        <f t="shared" si="146"/>
        <v>45853</v>
      </c>
      <c r="AE930" s="7">
        <f t="shared" si="145"/>
        <v>456.83376172375176</v>
      </c>
    </row>
    <row r="931" spans="30:31" ht="14" thickBot="1" x14ac:dyDescent="0.2">
      <c r="AD931" s="98">
        <f t="shared" si="146"/>
        <v>45854</v>
      </c>
      <c r="AE931" s="7">
        <f t="shared" ref="AE931:AE961" si="147">AE930*$AI$28</f>
        <v>457.72193080490257</v>
      </c>
    </row>
    <row r="932" spans="30:31" ht="14" thickBot="1" x14ac:dyDescent="0.2">
      <c r="AD932" s="98">
        <f t="shared" si="146"/>
        <v>45855</v>
      </c>
      <c r="AE932" s="7">
        <f t="shared" si="147"/>
        <v>458.61182665054145</v>
      </c>
    </row>
    <row r="933" spans="30:31" ht="14" thickBot="1" x14ac:dyDescent="0.2">
      <c r="AD933" s="98">
        <f t="shared" si="146"/>
        <v>45856</v>
      </c>
      <c r="AE933" s="7">
        <f t="shared" si="147"/>
        <v>459.50345261781706</v>
      </c>
    </row>
    <row r="934" spans="30:31" ht="14" thickBot="1" x14ac:dyDescent="0.2">
      <c r="AD934" s="98">
        <f t="shared" si="146"/>
        <v>45857</v>
      </c>
      <c r="AE934" s="7">
        <f t="shared" si="147"/>
        <v>460.39681207040491</v>
      </c>
    </row>
    <row r="935" spans="30:31" ht="14" thickBot="1" x14ac:dyDescent="0.2">
      <c r="AD935" s="98">
        <f t="shared" si="146"/>
        <v>45858</v>
      </c>
      <c r="AE935" s="7">
        <f t="shared" si="147"/>
        <v>461.29190837852013</v>
      </c>
    </row>
    <row r="936" spans="30:31" ht="14" thickBot="1" x14ac:dyDescent="0.2">
      <c r="AD936" s="98">
        <f t="shared" si="146"/>
        <v>45859</v>
      </c>
      <c r="AE936" s="7">
        <f t="shared" si="147"/>
        <v>462.18874491893018</v>
      </c>
    </row>
    <row r="937" spans="30:31" ht="14" thickBot="1" x14ac:dyDescent="0.2">
      <c r="AD937" s="98">
        <f t="shared" si="146"/>
        <v>45860</v>
      </c>
      <c r="AE937" s="7">
        <f t="shared" si="147"/>
        <v>463.08732507496757</v>
      </c>
    </row>
    <row r="938" spans="30:31" ht="14" thickBot="1" x14ac:dyDescent="0.2">
      <c r="AD938" s="98">
        <f t="shared" si="146"/>
        <v>45861</v>
      </c>
      <c r="AE938" s="7">
        <f t="shared" si="147"/>
        <v>463.98765223654266</v>
      </c>
    </row>
    <row r="939" spans="30:31" ht="14" thickBot="1" x14ac:dyDescent="0.2">
      <c r="AD939" s="98">
        <f t="shared" si="146"/>
        <v>45862</v>
      </c>
      <c r="AE939" s="7">
        <f t="shared" si="147"/>
        <v>464.88972980015637</v>
      </c>
    </row>
    <row r="940" spans="30:31" ht="14" thickBot="1" x14ac:dyDescent="0.2">
      <c r="AD940" s="98">
        <f t="shared" si="146"/>
        <v>45863</v>
      </c>
      <c r="AE940" s="7">
        <f t="shared" si="147"/>
        <v>465.79356116891307</v>
      </c>
    </row>
    <row r="941" spans="30:31" ht="14" thickBot="1" x14ac:dyDescent="0.2">
      <c r="AD941" s="98">
        <f t="shared" si="146"/>
        <v>45864</v>
      </c>
      <c r="AE941" s="7">
        <f t="shared" si="147"/>
        <v>466.69914975253334</v>
      </c>
    </row>
    <row r="942" spans="30:31" ht="14" thickBot="1" x14ac:dyDescent="0.2">
      <c r="AD942" s="98">
        <f t="shared" si="146"/>
        <v>45865</v>
      </c>
      <c r="AE942" s="7">
        <f t="shared" si="147"/>
        <v>467.60649896736703</v>
      </c>
    </row>
    <row r="943" spans="30:31" ht="14" thickBot="1" x14ac:dyDescent="0.2">
      <c r="AD943" s="98">
        <f t="shared" si="146"/>
        <v>45866</v>
      </c>
      <c r="AE943" s="7">
        <f t="shared" si="147"/>
        <v>468.51561223640584</v>
      </c>
    </row>
    <row r="944" spans="30:31" ht="14" thickBot="1" x14ac:dyDescent="0.2">
      <c r="AD944" s="98">
        <f t="shared" si="146"/>
        <v>45867</v>
      </c>
      <c r="AE944" s="7">
        <f t="shared" si="147"/>
        <v>469.42649298929649</v>
      </c>
    </row>
    <row r="945" spans="30:31" ht="14" thickBot="1" x14ac:dyDescent="0.2">
      <c r="AD945" s="98">
        <f t="shared" si="146"/>
        <v>45868</v>
      </c>
      <c r="AE945" s="7">
        <f t="shared" si="147"/>
        <v>470.33914466235359</v>
      </c>
    </row>
    <row r="946" spans="30:31" ht="14" thickBot="1" x14ac:dyDescent="0.2">
      <c r="AD946" s="98">
        <f t="shared" si="146"/>
        <v>45869</v>
      </c>
      <c r="AE946" s="7">
        <f t="shared" si="147"/>
        <v>471.25357069857245</v>
      </c>
    </row>
    <row r="947" spans="30:31" ht="14" thickBot="1" x14ac:dyDescent="0.2">
      <c r="AD947" s="98">
        <f t="shared" si="146"/>
        <v>45870</v>
      </c>
      <c r="AE947" s="7">
        <f t="shared" si="147"/>
        <v>472.16977454764236</v>
      </c>
    </row>
    <row r="948" spans="30:31" ht="14" thickBot="1" x14ac:dyDescent="0.2">
      <c r="AD948" s="98">
        <f t="shared" si="146"/>
        <v>45871</v>
      </c>
      <c r="AE948" s="7">
        <f t="shared" si="147"/>
        <v>473.08775966595931</v>
      </c>
    </row>
    <row r="949" spans="30:31" ht="14" thickBot="1" x14ac:dyDescent="0.2">
      <c r="AD949" s="98">
        <f t="shared" si="146"/>
        <v>45872</v>
      </c>
      <c r="AE949" s="7">
        <f t="shared" si="147"/>
        <v>474.00752951663924</v>
      </c>
    </row>
    <row r="950" spans="30:31" ht="14" thickBot="1" x14ac:dyDescent="0.2">
      <c r="AD950" s="98">
        <f t="shared" si="146"/>
        <v>45873</v>
      </c>
      <c r="AE950" s="7">
        <f t="shared" si="147"/>
        <v>474.92908756953096</v>
      </c>
    </row>
    <row r="951" spans="30:31" ht="14" thickBot="1" x14ac:dyDescent="0.2">
      <c r="AD951" s="98">
        <f t="shared" si="146"/>
        <v>45874</v>
      </c>
      <c r="AE951" s="7">
        <f t="shared" si="147"/>
        <v>475.85243730122937</v>
      </c>
    </row>
    <row r="952" spans="30:31" ht="14" thickBot="1" x14ac:dyDescent="0.2">
      <c r="AD952" s="98">
        <f t="shared" si="146"/>
        <v>45875</v>
      </c>
      <c r="AE952" s="7">
        <f t="shared" si="147"/>
        <v>476.77758219508854</v>
      </c>
    </row>
    <row r="953" spans="30:31" ht="14" thickBot="1" x14ac:dyDescent="0.2">
      <c r="AD953" s="98">
        <f t="shared" si="146"/>
        <v>45876</v>
      </c>
      <c r="AE953" s="7">
        <f t="shared" si="147"/>
        <v>477.7045257412347</v>
      </c>
    </row>
    <row r="954" spans="30:31" ht="14" thickBot="1" x14ac:dyDescent="0.2">
      <c r="AD954" s="98">
        <f t="shared" si="146"/>
        <v>45877</v>
      </c>
      <c r="AE954" s="7">
        <f t="shared" si="147"/>
        <v>478.63327143657961</v>
      </c>
    </row>
    <row r="955" spans="30:31" ht="14" thickBot="1" x14ac:dyDescent="0.2">
      <c r="AD955" s="98">
        <f t="shared" si="146"/>
        <v>45878</v>
      </c>
      <c r="AE955" s="7">
        <f t="shared" si="147"/>
        <v>479.56382278483369</v>
      </c>
    </row>
    <row r="956" spans="30:31" ht="14" thickBot="1" x14ac:dyDescent="0.2">
      <c r="AD956" s="98">
        <f t="shared" si="146"/>
        <v>45879</v>
      </c>
      <c r="AE956" s="7">
        <f t="shared" si="147"/>
        <v>480.49618329651918</v>
      </c>
    </row>
    <row r="957" spans="30:31" ht="14" thickBot="1" x14ac:dyDescent="0.2">
      <c r="AD957" s="98">
        <f t="shared" si="146"/>
        <v>45880</v>
      </c>
      <c r="AE957" s="7">
        <f t="shared" si="147"/>
        <v>481.43035648898342</v>
      </c>
    </row>
    <row r="958" spans="30:31" ht="14" thickBot="1" x14ac:dyDescent="0.2">
      <c r="AD958" s="98">
        <f t="shared" si="146"/>
        <v>45881</v>
      </c>
      <c r="AE958" s="7">
        <f t="shared" si="147"/>
        <v>482.36634588641215</v>
      </c>
    </row>
    <row r="959" spans="30:31" ht="14" thickBot="1" x14ac:dyDescent="0.2">
      <c r="AD959" s="98">
        <f t="shared" si="146"/>
        <v>45882</v>
      </c>
      <c r="AE959" s="7">
        <f t="shared" si="147"/>
        <v>483.30415501984277</v>
      </c>
    </row>
    <row r="960" spans="30:31" ht="14" thickBot="1" x14ac:dyDescent="0.2">
      <c r="AD960" s="98">
        <f t="shared" si="146"/>
        <v>45883</v>
      </c>
      <c r="AE960" s="7">
        <f t="shared" si="147"/>
        <v>484.24378742717761</v>
      </c>
    </row>
    <row r="961" spans="30:31" ht="14" thickBot="1" x14ac:dyDescent="0.2">
      <c r="AD961" s="98">
        <f t="shared" si="146"/>
        <v>45884</v>
      </c>
      <c r="AE961" s="7">
        <f t="shared" si="147"/>
        <v>485.18524665319745</v>
      </c>
    </row>
    <row r="962" spans="30:31" ht="14" thickBot="1" x14ac:dyDescent="0.2">
      <c r="AD962" s="98">
        <f t="shared" si="146"/>
        <v>45885</v>
      </c>
      <c r="AE962" s="7">
        <f t="shared" ref="AE962:AE992" si="148">AE961*$AI$29</f>
        <v>486.09807894672622</v>
      </c>
    </row>
    <row r="963" spans="30:31" ht="14" thickBot="1" x14ac:dyDescent="0.2">
      <c r="AD963" s="98">
        <f t="shared" si="146"/>
        <v>45886</v>
      </c>
      <c r="AE963" s="7">
        <f t="shared" si="148"/>
        <v>487.01262865190722</v>
      </c>
    </row>
    <row r="964" spans="30:31" ht="14" thickBot="1" x14ac:dyDescent="0.2">
      <c r="AD964" s="98">
        <f t="shared" si="146"/>
        <v>45887</v>
      </c>
      <c r="AE964" s="7">
        <f t="shared" si="148"/>
        <v>487.92889899989569</v>
      </c>
    </row>
    <row r="965" spans="30:31" ht="14" thickBot="1" x14ac:dyDescent="0.2">
      <c r="AD965" s="98">
        <f t="shared" si="146"/>
        <v>45888</v>
      </c>
      <c r="AE965" s="7">
        <f t="shared" si="148"/>
        <v>488.84689322792588</v>
      </c>
    </row>
    <row r="966" spans="30:31" ht="14" thickBot="1" x14ac:dyDescent="0.2">
      <c r="AD966" s="98">
        <f t="shared" si="146"/>
        <v>45889</v>
      </c>
      <c r="AE966" s="7">
        <f t="shared" si="148"/>
        <v>489.76661457932266</v>
      </c>
    </row>
    <row r="967" spans="30:31" ht="14" thickBot="1" x14ac:dyDescent="0.2">
      <c r="AD967" s="98">
        <f t="shared" si="146"/>
        <v>45890</v>
      </c>
      <c r="AE967" s="7">
        <f t="shared" si="148"/>
        <v>490.68806630351293</v>
      </c>
    </row>
    <row r="968" spans="30:31" ht="14" thickBot="1" x14ac:dyDescent="0.2">
      <c r="AD968" s="98">
        <f t="shared" si="146"/>
        <v>45891</v>
      </c>
      <c r="AE968" s="7">
        <f t="shared" si="148"/>
        <v>491.61125165603704</v>
      </c>
    </row>
    <row r="969" spans="30:31" ht="14" thickBot="1" x14ac:dyDescent="0.2">
      <c r="AD969" s="98">
        <f t="shared" ref="AD969:AD1032" si="149">AD968+1</f>
        <v>45892</v>
      </c>
      <c r="AE969" s="7">
        <f t="shared" si="148"/>
        <v>492.53617389856038</v>
      </c>
    </row>
    <row r="970" spans="30:31" ht="14" thickBot="1" x14ac:dyDescent="0.2">
      <c r="AD970" s="98">
        <f t="shared" si="149"/>
        <v>45893</v>
      </c>
      <c r="AE970" s="7">
        <f t="shared" si="148"/>
        <v>493.46283629888489</v>
      </c>
    </row>
    <row r="971" spans="30:31" ht="14" thickBot="1" x14ac:dyDescent="0.2">
      <c r="AD971" s="98">
        <f t="shared" si="149"/>
        <v>45894</v>
      </c>
      <c r="AE971" s="7">
        <f t="shared" si="148"/>
        <v>494.39124213096062</v>
      </c>
    </row>
    <row r="972" spans="30:31" ht="14" thickBot="1" x14ac:dyDescent="0.2">
      <c r="AD972" s="98">
        <f t="shared" si="149"/>
        <v>45895</v>
      </c>
      <c r="AE972" s="7">
        <f t="shared" si="148"/>
        <v>495.32139467489714</v>
      </c>
    </row>
    <row r="973" spans="30:31" ht="14" thickBot="1" x14ac:dyDescent="0.2">
      <c r="AD973" s="98">
        <f t="shared" si="149"/>
        <v>45896</v>
      </c>
      <c r="AE973" s="7">
        <f t="shared" si="148"/>
        <v>496.25329721697534</v>
      </c>
    </row>
    <row r="974" spans="30:31" ht="14" thickBot="1" x14ac:dyDescent="0.2">
      <c r="AD974" s="98">
        <f t="shared" si="149"/>
        <v>45897</v>
      </c>
      <c r="AE974" s="7">
        <f t="shared" si="148"/>
        <v>497.18695304965894</v>
      </c>
    </row>
    <row r="975" spans="30:31" ht="14" thickBot="1" x14ac:dyDescent="0.2">
      <c r="AD975" s="98">
        <f t="shared" si="149"/>
        <v>45898</v>
      </c>
      <c r="AE975" s="7">
        <f t="shared" si="148"/>
        <v>498.12236547160609</v>
      </c>
    </row>
    <row r="976" spans="30:31" ht="14" thickBot="1" x14ac:dyDescent="0.2">
      <c r="AD976" s="98">
        <f t="shared" si="149"/>
        <v>45899</v>
      </c>
      <c r="AE976" s="7">
        <f t="shared" si="148"/>
        <v>499.05953778768111</v>
      </c>
    </row>
    <row r="977" spans="30:31" ht="14" thickBot="1" x14ac:dyDescent="0.2">
      <c r="AD977" s="98">
        <f t="shared" si="149"/>
        <v>45900</v>
      </c>
      <c r="AE977" s="7">
        <f t="shared" si="148"/>
        <v>499.99847330896614</v>
      </c>
    </row>
    <row r="978" spans="30:31" ht="14" thickBot="1" x14ac:dyDescent="0.2">
      <c r="AD978" s="98">
        <f t="shared" si="149"/>
        <v>45901</v>
      </c>
      <c r="AE978" s="7">
        <f t="shared" si="148"/>
        <v>500.93917535277279</v>
      </c>
    </row>
    <row r="979" spans="30:31" ht="14" thickBot="1" x14ac:dyDescent="0.2">
      <c r="AD979" s="98">
        <f t="shared" si="149"/>
        <v>45902</v>
      </c>
      <c r="AE979" s="7">
        <f t="shared" si="148"/>
        <v>501.88164724265391</v>
      </c>
    </row>
    <row r="980" spans="30:31" ht="14" thickBot="1" x14ac:dyDescent="0.2">
      <c r="AD980" s="98">
        <f t="shared" si="149"/>
        <v>45903</v>
      </c>
      <c r="AE980" s="7">
        <f t="shared" si="148"/>
        <v>502.82589230841529</v>
      </c>
    </row>
    <row r="981" spans="30:31" ht="14" thickBot="1" x14ac:dyDescent="0.2">
      <c r="AD981" s="98">
        <f t="shared" si="149"/>
        <v>45904</v>
      </c>
      <c r="AE981" s="7">
        <f t="shared" si="148"/>
        <v>503.77191388612749</v>
      </c>
    </row>
    <row r="982" spans="30:31" ht="14" thickBot="1" x14ac:dyDescent="0.2">
      <c r="AD982" s="98">
        <f t="shared" si="149"/>
        <v>45905</v>
      </c>
      <c r="AE982" s="7">
        <f t="shared" si="148"/>
        <v>504.71971531813756</v>
      </c>
    </row>
    <row r="983" spans="30:31" ht="14" thickBot="1" x14ac:dyDescent="0.2">
      <c r="AD983" s="98">
        <f t="shared" si="149"/>
        <v>45906</v>
      </c>
      <c r="AE983" s="7">
        <f t="shared" si="148"/>
        <v>505.66929995308084</v>
      </c>
    </row>
    <row r="984" spans="30:31" ht="14" thickBot="1" x14ac:dyDescent="0.2">
      <c r="AD984" s="98">
        <f t="shared" si="149"/>
        <v>45907</v>
      </c>
      <c r="AE984" s="7">
        <f t="shared" si="148"/>
        <v>506.62067114589286</v>
      </c>
    </row>
    <row r="985" spans="30:31" ht="14" thickBot="1" x14ac:dyDescent="0.2">
      <c r="AD985" s="98">
        <f t="shared" si="149"/>
        <v>45908</v>
      </c>
      <c r="AE985" s="7">
        <f t="shared" si="148"/>
        <v>507.57383225782121</v>
      </c>
    </row>
    <row r="986" spans="30:31" ht="14" thickBot="1" x14ac:dyDescent="0.2">
      <c r="AD986" s="98">
        <f t="shared" si="149"/>
        <v>45909</v>
      </c>
      <c r="AE986" s="7">
        <f t="shared" si="148"/>
        <v>508.52878665643726</v>
      </c>
    </row>
    <row r="987" spans="30:31" ht="14" thickBot="1" x14ac:dyDescent="0.2">
      <c r="AD987" s="98">
        <f t="shared" si="149"/>
        <v>45910</v>
      </c>
      <c r="AE987" s="7">
        <f t="shared" si="148"/>
        <v>509.48553771564826</v>
      </c>
    </row>
    <row r="988" spans="30:31" ht="14" thickBot="1" x14ac:dyDescent="0.2">
      <c r="AD988" s="98">
        <f t="shared" si="149"/>
        <v>45911</v>
      </c>
      <c r="AE988" s="7">
        <f t="shared" si="148"/>
        <v>510.44408881570911</v>
      </c>
    </row>
    <row r="989" spans="30:31" ht="14" thickBot="1" x14ac:dyDescent="0.2">
      <c r="AD989" s="98">
        <f t="shared" si="149"/>
        <v>45912</v>
      </c>
      <c r="AE989" s="7">
        <f t="shared" si="148"/>
        <v>511.40444334323433</v>
      </c>
    </row>
    <row r="990" spans="30:31" ht="14" thickBot="1" x14ac:dyDescent="0.2">
      <c r="AD990" s="98">
        <f t="shared" si="149"/>
        <v>45913</v>
      </c>
      <c r="AE990" s="7">
        <f t="shared" si="148"/>
        <v>512.36660469121011</v>
      </c>
    </row>
    <row r="991" spans="30:31" ht="14" thickBot="1" x14ac:dyDescent="0.2">
      <c r="AD991" s="98">
        <f t="shared" si="149"/>
        <v>45914</v>
      </c>
      <c r="AE991" s="7">
        <f t="shared" si="148"/>
        <v>513.33057625900619</v>
      </c>
    </row>
    <row r="992" spans="30:31" ht="14" thickBot="1" x14ac:dyDescent="0.2">
      <c r="AD992" s="98">
        <f t="shared" si="149"/>
        <v>45915</v>
      </c>
      <c r="AE992" s="7">
        <f t="shared" si="148"/>
        <v>514.29636145238794</v>
      </c>
    </row>
    <row r="993" spans="30:31" ht="14" thickBot="1" x14ac:dyDescent="0.2">
      <c r="AD993" s="98">
        <f t="shared" si="149"/>
        <v>45916</v>
      </c>
      <c r="AE993" s="7">
        <f t="shared" ref="AE993:AE1022" si="150">AE992*$AI$30</f>
        <v>515.26396368352846</v>
      </c>
    </row>
    <row r="994" spans="30:31" ht="14" thickBot="1" x14ac:dyDescent="0.2">
      <c r="AD994" s="98">
        <f t="shared" si="149"/>
        <v>45917</v>
      </c>
      <c r="AE994" s="7">
        <f t="shared" si="150"/>
        <v>516.23338637102029</v>
      </c>
    </row>
    <row r="995" spans="30:31" ht="14" thickBot="1" x14ac:dyDescent="0.2">
      <c r="AD995" s="98">
        <f t="shared" si="149"/>
        <v>45918</v>
      </c>
      <c r="AE995" s="7">
        <f t="shared" si="150"/>
        <v>517.20463293988803</v>
      </c>
    </row>
    <row r="996" spans="30:31" ht="14" thickBot="1" x14ac:dyDescent="0.2">
      <c r="AD996" s="98">
        <f t="shared" si="149"/>
        <v>45919</v>
      </c>
      <c r="AE996" s="7">
        <f t="shared" si="150"/>
        <v>518.17770682160005</v>
      </c>
    </row>
    <row r="997" spans="30:31" ht="14" thickBot="1" x14ac:dyDescent="0.2">
      <c r="AD997" s="98">
        <f t="shared" si="149"/>
        <v>45920</v>
      </c>
      <c r="AE997" s="7">
        <f t="shared" si="150"/>
        <v>519.15261145408067</v>
      </c>
    </row>
    <row r="998" spans="30:31" ht="14" thickBot="1" x14ac:dyDescent="0.2">
      <c r="AD998" s="98">
        <f t="shared" si="149"/>
        <v>45921</v>
      </c>
      <c r="AE998" s="7">
        <f t="shared" si="150"/>
        <v>520.12935028172228</v>
      </c>
    </row>
    <row r="999" spans="30:31" ht="14" thickBot="1" x14ac:dyDescent="0.2">
      <c r="AD999" s="98">
        <f t="shared" si="149"/>
        <v>45922</v>
      </c>
      <c r="AE999" s="7">
        <f t="shared" si="150"/>
        <v>521.10792675539778</v>
      </c>
    </row>
    <row r="1000" spans="30:31" ht="14" thickBot="1" x14ac:dyDescent="0.2">
      <c r="AD1000" s="98">
        <f t="shared" si="149"/>
        <v>45923</v>
      </c>
      <c r="AE1000" s="7">
        <f t="shared" si="150"/>
        <v>522.0883443324725</v>
      </c>
    </row>
    <row r="1001" spans="30:31" ht="14" thickBot="1" x14ac:dyDescent="0.2">
      <c r="AD1001" s="98">
        <f t="shared" si="149"/>
        <v>45924</v>
      </c>
      <c r="AE1001" s="7">
        <f t="shared" si="150"/>
        <v>523.07060647681647</v>
      </c>
    </row>
    <row r="1002" spans="30:31" ht="14" thickBot="1" x14ac:dyDescent="0.2">
      <c r="AD1002" s="98">
        <f t="shared" si="149"/>
        <v>45925</v>
      </c>
      <c r="AE1002" s="7">
        <f t="shared" si="150"/>
        <v>524.05471665881669</v>
      </c>
    </row>
    <row r="1003" spans="30:31" ht="14" thickBot="1" x14ac:dyDescent="0.2">
      <c r="AD1003" s="98">
        <f t="shared" si="149"/>
        <v>45926</v>
      </c>
      <c r="AE1003" s="7">
        <f t="shared" si="150"/>
        <v>525.04067835538933</v>
      </c>
    </row>
    <row r="1004" spans="30:31" ht="14" thickBot="1" x14ac:dyDescent="0.2">
      <c r="AD1004" s="98">
        <f t="shared" si="149"/>
        <v>45927</v>
      </c>
      <c r="AE1004" s="7">
        <f t="shared" si="150"/>
        <v>526.02849504999222</v>
      </c>
    </row>
    <row r="1005" spans="30:31" ht="14" thickBot="1" x14ac:dyDescent="0.2">
      <c r="AD1005" s="98">
        <f t="shared" si="149"/>
        <v>45928</v>
      </c>
      <c r="AE1005" s="7">
        <f t="shared" si="150"/>
        <v>527.01817023263686</v>
      </c>
    </row>
    <row r="1006" spans="30:31" ht="14" thickBot="1" x14ac:dyDescent="0.2">
      <c r="AD1006" s="98">
        <f t="shared" si="149"/>
        <v>45929</v>
      </c>
      <c r="AE1006" s="7">
        <f t="shared" si="150"/>
        <v>528.00970739990089</v>
      </c>
    </row>
    <row r="1007" spans="30:31" ht="14" thickBot="1" x14ac:dyDescent="0.2">
      <c r="AD1007" s="98">
        <f t="shared" si="149"/>
        <v>45930</v>
      </c>
      <c r="AE1007" s="7">
        <f t="shared" si="150"/>
        <v>529.00311005494041</v>
      </c>
    </row>
    <row r="1008" spans="30:31" ht="14" thickBot="1" x14ac:dyDescent="0.2">
      <c r="AD1008" s="98">
        <f t="shared" si="149"/>
        <v>45931</v>
      </c>
      <c r="AE1008" s="7">
        <f t="shared" si="150"/>
        <v>529.99838170750252</v>
      </c>
    </row>
    <row r="1009" spans="30:31" ht="14" thickBot="1" x14ac:dyDescent="0.2">
      <c r="AD1009" s="98">
        <f t="shared" si="149"/>
        <v>45932</v>
      </c>
      <c r="AE1009" s="7">
        <f t="shared" si="150"/>
        <v>530.99552587393759</v>
      </c>
    </row>
    <row r="1010" spans="30:31" ht="14" thickBot="1" x14ac:dyDescent="0.2">
      <c r="AD1010" s="98">
        <f t="shared" si="149"/>
        <v>45933</v>
      </c>
      <c r="AE1010" s="7">
        <f t="shared" si="150"/>
        <v>531.99454607721157</v>
      </c>
    </row>
    <row r="1011" spans="30:31" ht="14" thickBot="1" x14ac:dyDescent="0.2">
      <c r="AD1011" s="98">
        <f t="shared" si="149"/>
        <v>45934</v>
      </c>
      <c r="AE1011" s="7">
        <f t="shared" si="150"/>
        <v>532.99544584691864</v>
      </c>
    </row>
    <row r="1012" spans="30:31" ht="14" thickBot="1" x14ac:dyDescent="0.2">
      <c r="AD1012" s="98">
        <f t="shared" si="149"/>
        <v>45935</v>
      </c>
      <c r="AE1012" s="7">
        <f t="shared" si="150"/>
        <v>533.99822871929359</v>
      </c>
    </row>
    <row r="1013" spans="30:31" ht="14" thickBot="1" x14ac:dyDescent="0.2">
      <c r="AD1013" s="98">
        <f t="shared" si="149"/>
        <v>45936</v>
      </c>
      <c r="AE1013" s="7">
        <f t="shared" si="150"/>
        <v>535.00289823722426</v>
      </c>
    </row>
    <row r="1014" spans="30:31" ht="14" thickBot="1" x14ac:dyDescent="0.2">
      <c r="AD1014" s="98">
        <f t="shared" si="149"/>
        <v>45937</v>
      </c>
      <c r="AE1014" s="7">
        <f t="shared" si="150"/>
        <v>536.00945795026416</v>
      </c>
    </row>
    <row r="1015" spans="30:31" ht="14" thickBot="1" x14ac:dyDescent="0.2">
      <c r="AD1015" s="98">
        <f t="shared" si="149"/>
        <v>45938</v>
      </c>
      <c r="AE1015" s="7">
        <f t="shared" si="150"/>
        <v>537.01791141464491</v>
      </c>
    </row>
    <row r="1016" spans="30:31" ht="14" thickBot="1" x14ac:dyDescent="0.2">
      <c r="AD1016" s="98">
        <f t="shared" si="149"/>
        <v>45939</v>
      </c>
      <c r="AE1016" s="7">
        <f t="shared" si="150"/>
        <v>538.02826219328892</v>
      </c>
    </row>
    <row r="1017" spans="30:31" ht="14" thickBot="1" x14ac:dyDescent="0.2">
      <c r="AD1017" s="98">
        <f t="shared" si="149"/>
        <v>45940</v>
      </c>
      <c r="AE1017" s="7">
        <f t="shared" si="150"/>
        <v>539.04051385582193</v>
      </c>
    </row>
    <row r="1018" spans="30:31" ht="14" thickBot="1" x14ac:dyDescent="0.2">
      <c r="AD1018" s="98">
        <f t="shared" si="149"/>
        <v>45941</v>
      </c>
      <c r="AE1018" s="7">
        <f t="shared" si="150"/>
        <v>540.05466997858559</v>
      </c>
    </row>
    <row r="1019" spans="30:31" ht="14" thickBot="1" x14ac:dyDescent="0.2">
      <c r="AD1019" s="98">
        <f t="shared" si="149"/>
        <v>45942</v>
      </c>
      <c r="AE1019" s="7">
        <f t="shared" si="150"/>
        <v>541.07073414465003</v>
      </c>
    </row>
    <row r="1020" spans="30:31" ht="14" thickBot="1" x14ac:dyDescent="0.2">
      <c r="AD1020" s="98">
        <f t="shared" si="149"/>
        <v>45943</v>
      </c>
      <c r="AE1020" s="7">
        <f t="shared" si="150"/>
        <v>542.08870994382676</v>
      </c>
    </row>
    <row r="1021" spans="30:31" ht="14" thickBot="1" x14ac:dyDescent="0.2">
      <c r="AD1021" s="98">
        <f t="shared" si="149"/>
        <v>45944</v>
      </c>
      <c r="AE1021" s="7">
        <f t="shared" si="150"/>
        <v>543.10860097268107</v>
      </c>
    </row>
    <row r="1022" spans="30:31" ht="14" thickBot="1" x14ac:dyDescent="0.2">
      <c r="AD1022" s="98">
        <f t="shared" si="149"/>
        <v>45945</v>
      </c>
      <c r="AE1022" s="7">
        <f t="shared" si="150"/>
        <v>544.13041083454493</v>
      </c>
    </row>
    <row r="1023" spans="30:31" ht="14" thickBot="1" x14ac:dyDescent="0.2">
      <c r="AD1023" s="98">
        <f t="shared" si="149"/>
        <v>45946</v>
      </c>
      <c r="AE1023" s="7">
        <f t="shared" ref="AE1023:AE1053" si="151">AE1022*$AI$31</f>
        <v>545.18830070063882</v>
      </c>
    </row>
    <row r="1024" spans="30:31" ht="14" thickBot="1" x14ac:dyDescent="0.2">
      <c r="AD1024" s="98">
        <f t="shared" si="149"/>
        <v>45947</v>
      </c>
      <c r="AE1024" s="7">
        <f t="shared" si="151"/>
        <v>546.24824729972636</v>
      </c>
    </row>
    <row r="1025" spans="30:31" ht="14" thickBot="1" x14ac:dyDescent="0.2">
      <c r="AD1025" s="98">
        <f t="shared" si="149"/>
        <v>45948</v>
      </c>
      <c r="AE1025" s="7">
        <f t="shared" si="151"/>
        <v>547.3102546304757</v>
      </c>
    </row>
    <row r="1026" spans="30:31" ht="14" thickBot="1" x14ac:dyDescent="0.2">
      <c r="AD1026" s="98">
        <f t="shared" si="149"/>
        <v>45949</v>
      </c>
      <c r="AE1026" s="7">
        <f t="shared" si="151"/>
        <v>548.37432669932923</v>
      </c>
    </row>
    <row r="1027" spans="30:31" ht="14" thickBot="1" x14ac:dyDescent="0.2">
      <c r="AD1027" s="98">
        <f t="shared" si="149"/>
        <v>45950</v>
      </c>
      <c r="AE1027" s="7">
        <f t="shared" si="151"/>
        <v>549.44046752051872</v>
      </c>
    </row>
    <row r="1028" spans="30:31" ht="14" thickBot="1" x14ac:dyDescent="0.2">
      <c r="AD1028" s="98">
        <f t="shared" si="149"/>
        <v>45951</v>
      </c>
      <c r="AE1028" s="7">
        <f t="shared" si="151"/>
        <v>550.50868111608008</v>
      </c>
    </row>
    <row r="1029" spans="30:31" ht="14" thickBot="1" x14ac:dyDescent="0.2">
      <c r="AD1029" s="98">
        <f t="shared" si="149"/>
        <v>45952</v>
      </c>
      <c r="AE1029" s="7">
        <f t="shared" si="151"/>
        <v>551.57897151586906</v>
      </c>
    </row>
    <row r="1030" spans="30:31" ht="14" thickBot="1" x14ac:dyDescent="0.2">
      <c r="AD1030" s="98">
        <f t="shared" si="149"/>
        <v>45953</v>
      </c>
      <c r="AE1030" s="7">
        <f t="shared" si="151"/>
        <v>552.651342757576</v>
      </c>
    </row>
    <row r="1031" spans="30:31" ht="14" thickBot="1" x14ac:dyDescent="0.2">
      <c r="AD1031" s="98">
        <f t="shared" si="149"/>
        <v>45954</v>
      </c>
      <c r="AE1031" s="7">
        <f t="shared" si="151"/>
        <v>553.72579888674136</v>
      </c>
    </row>
    <row r="1032" spans="30:31" ht="14" thickBot="1" x14ac:dyDescent="0.2">
      <c r="AD1032" s="98">
        <f t="shared" si="149"/>
        <v>45955</v>
      </c>
      <c r="AE1032" s="7">
        <f t="shared" si="151"/>
        <v>554.80234395677087</v>
      </c>
    </row>
    <row r="1033" spans="30:31" ht="14" thickBot="1" x14ac:dyDescent="0.2">
      <c r="AD1033" s="98">
        <f t="shared" ref="AD1033:AD1096" si="152">AD1032+1</f>
        <v>45956</v>
      </c>
      <c r="AE1033" s="7">
        <f t="shared" si="151"/>
        <v>555.88098202895071</v>
      </c>
    </row>
    <row r="1034" spans="30:31" ht="14" thickBot="1" x14ac:dyDescent="0.2">
      <c r="AD1034" s="98">
        <f t="shared" si="152"/>
        <v>45957</v>
      </c>
      <c r="AE1034" s="7">
        <f t="shared" si="151"/>
        <v>556.96171717246318</v>
      </c>
    </row>
    <row r="1035" spans="30:31" ht="14" thickBot="1" x14ac:dyDescent="0.2">
      <c r="AD1035" s="98">
        <f t="shared" si="152"/>
        <v>45958</v>
      </c>
      <c r="AE1035" s="7">
        <f t="shared" si="151"/>
        <v>558.04455346440159</v>
      </c>
    </row>
    <row r="1036" spans="30:31" ht="14" thickBot="1" x14ac:dyDescent="0.2">
      <c r="AD1036" s="98">
        <f t="shared" si="152"/>
        <v>45959</v>
      </c>
      <c r="AE1036" s="7">
        <f t="shared" si="151"/>
        <v>559.12949498978605</v>
      </c>
    </row>
    <row r="1037" spans="30:31" ht="14" thickBot="1" x14ac:dyDescent="0.2">
      <c r="AD1037" s="98">
        <f t="shared" si="152"/>
        <v>45960</v>
      </c>
      <c r="AE1037" s="7">
        <f t="shared" si="151"/>
        <v>560.21654584157852</v>
      </c>
    </row>
    <row r="1038" spans="30:31" ht="14" thickBot="1" x14ac:dyDescent="0.2">
      <c r="AD1038" s="98">
        <f t="shared" si="152"/>
        <v>45961</v>
      </c>
      <c r="AE1038" s="7">
        <f t="shared" si="151"/>
        <v>561.30571012069868</v>
      </c>
    </row>
    <row r="1039" spans="30:31" ht="14" thickBot="1" x14ac:dyDescent="0.2">
      <c r="AD1039" s="98">
        <f t="shared" si="152"/>
        <v>45962</v>
      </c>
      <c r="AE1039" s="7">
        <f t="shared" si="151"/>
        <v>562.39699193603883</v>
      </c>
    </row>
    <row r="1040" spans="30:31" ht="14" thickBot="1" x14ac:dyDescent="0.2">
      <c r="AD1040" s="98">
        <f t="shared" si="152"/>
        <v>45963</v>
      </c>
      <c r="AE1040" s="7">
        <f t="shared" si="151"/>
        <v>563.49039540448007</v>
      </c>
    </row>
    <row r="1041" spans="30:31" ht="14" thickBot="1" x14ac:dyDescent="0.2">
      <c r="AD1041" s="98">
        <f t="shared" si="152"/>
        <v>45964</v>
      </c>
      <c r="AE1041" s="7">
        <f t="shared" si="151"/>
        <v>564.58592465090715</v>
      </c>
    </row>
    <row r="1042" spans="30:31" ht="14" thickBot="1" x14ac:dyDescent="0.2">
      <c r="AD1042" s="98">
        <f t="shared" si="152"/>
        <v>45965</v>
      </c>
      <c r="AE1042" s="7">
        <f t="shared" si="151"/>
        <v>565.68358380822463</v>
      </c>
    </row>
    <row r="1043" spans="30:31" ht="14" thickBot="1" x14ac:dyDescent="0.2">
      <c r="AD1043" s="98">
        <f t="shared" si="152"/>
        <v>45966</v>
      </c>
      <c r="AE1043" s="7">
        <f t="shared" si="151"/>
        <v>566.783377017372</v>
      </c>
    </row>
    <row r="1044" spans="30:31" ht="14" thickBot="1" x14ac:dyDescent="0.2">
      <c r="AD1044" s="98">
        <f t="shared" si="152"/>
        <v>45967</v>
      </c>
      <c r="AE1044" s="7">
        <f t="shared" si="151"/>
        <v>567.88530842733962</v>
      </c>
    </row>
    <row r="1045" spans="30:31" ht="14" thickBot="1" x14ac:dyDescent="0.2">
      <c r="AD1045" s="98">
        <f t="shared" si="152"/>
        <v>45968</v>
      </c>
      <c r="AE1045" s="7">
        <f t="shared" si="151"/>
        <v>568.98938219518413</v>
      </c>
    </row>
    <row r="1046" spans="30:31" ht="14" thickBot="1" x14ac:dyDescent="0.2">
      <c r="AD1046" s="98">
        <f t="shared" si="152"/>
        <v>45969</v>
      </c>
      <c r="AE1046" s="7">
        <f t="shared" si="151"/>
        <v>570.09560248604441</v>
      </c>
    </row>
    <row r="1047" spans="30:31" ht="14" thickBot="1" x14ac:dyDescent="0.2">
      <c r="AD1047" s="98">
        <f t="shared" si="152"/>
        <v>45970</v>
      </c>
      <c r="AE1047" s="7">
        <f t="shared" si="151"/>
        <v>571.20397347315702</v>
      </c>
    </row>
    <row r="1048" spans="30:31" ht="14" thickBot="1" x14ac:dyDescent="0.2">
      <c r="AD1048" s="98">
        <f t="shared" si="152"/>
        <v>45971</v>
      </c>
      <c r="AE1048" s="7">
        <f t="shared" si="151"/>
        <v>572.31449933787212</v>
      </c>
    </row>
    <row r="1049" spans="30:31" ht="14" thickBot="1" x14ac:dyDescent="0.2">
      <c r="AD1049" s="98">
        <f t="shared" si="152"/>
        <v>45972</v>
      </c>
      <c r="AE1049" s="7">
        <f t="shared" si="151"/>
        <v>573.42718426966917</v>
      </c>
    </row>
    <row r="1050" spans="30:31" ht="14" thickBot="1" x14ac:dyDescent="0.2">
      <c r="AD1050" s="98">
        <f t="shared" si="152"/>
        <v>45973</v>
      </c>
      <c r="AE1050" s="7">
        <f t="shared" si="151"/>
        <v>574.54203246617271</v>
      </c>
    </row>
    <row r="1051" spans="30:31" ht="14" thickBot="1" x14ac:dyDescent="0.2">
      <c r="AD1051" s="98">
        <f t="shared" si="152"/>
        <v>45974</v>
      </c>
      <c r="AE1051" s="7">
        <f t="shared" si="151"/>
        <v>575.65904813316831</v>
      </c>
    </row>
    <row r="1052" spans="30:31" ht="14" thickBot="1" x14ac:dyDescent="0.2">
      <c r="AD1052" s="98">
        <f t="shared" si="152"/>
        <v>45975</v>
      </c>
      <c r="AE1052" s="7">
        <f t="shared" si="151"/>
        <v>576.77823548461834</v>
      </c>
    </row>
    <row r="1053" spans="30:31" ht="14" thickBot="1" x14ac:dyDescent="0.2">
      <c r="AD1053" s="98">
        <f t="shared" si="152"/>
        <v>45976</v>
      </c>
      <c r="AE1053" s="7">
        <f t="shared" si="151"/>
        <v>577.89959874267788</v>
      </c>
    </row>
    <row r="1054" spans="30:31" ht="14" thickBot="1" x14ac:dyDescent="0.2">
      <c r="AD1054" s="98">
        <f t="shared" si="152"/>
        <v>45977</v>
      </c>
      <c r="AE1054" s="7">
        <f t="shared" ref="AE1054:AE1083" si="153">AE1053*$AI$32</f>
        <v>578.98686472982092</v>
      </c>
    </row>
    <row r="1055" spans="30:31" ht="14" thickBot="1" x14ac:dyDescent="0.2">
      <c r="AD1055" s="98">
        <f t="shared" si="152"/>
        <v>45978</v>
      </c>
      <c r="AE1055" s="7">
        <f t="shared" si="153"/>
        <v>580.0761763098825</v>
      </c>
    </row>
    <row r="1056" spans="30:31" ht="14" thickBot="1" x14ac:dyDescent="0.2">
      <c r="AD1056" s="98">
        <f t="shared" si="152"/>
        <v>45979</v>
      </c>
      <c r="AE1056" s="7">
        <f t="shared" si="153"/>
        <v>581.16753733146118</v>
      </c>
    </row>
    <row r="1057" spans="30:31" ht="14" thickBot="1" x14ac:dyDescent="0.2">
      <c r="AD1057" s="98">
        <f t="shared" si="152"/>
        <v>45980</v>
      </c>
      <c r="AE1057" s="7">
        <f t="shared" si="153"/>
        <v>582.26095165039646</v>
      </c>
    </row>
    <row r="1058" spans="30:31" ht="14" thickBot="1" x14ac:dyDescent="0.2">
      <c r="AD1058" s="98">
        <f t="shared" si="152"/>
        <v>45981</v>
      </c>
      <c r="AE1058" s="7">
        <f t="shared" si="153"/>
        <v>583.35642312978212</v>
      </c>
    </row>
    <row r="1059" spans="30:31" ht="14" thickBot="1" x14ac:dyDescent="0.2">
      <c r="AD1059" s="98">
        <f t="shared" si="152"/>
        <v>45982</v>
      </c>
      <c r="AE1059" s="7">
        <f t="shared" si="153"/>
        <v>584.45395563998011</v>
      </c>
    </row>
    <row r="1060" spans="30:31" ht="14" thickBot="1" x14ac:dyDescent="0.2">
      <c r="AD1060" s="98">
        <f t="shared" si="152"/>
        <v>45983</v>
      </c>
      <c r="AE1060" s="7">
        <f t="shared" si="153"/>
        <v>585.55355305863395</v>
      </c>
    </row>
    <row r="1061" spans="30:31" ht="14" thickBot="1" x14ac:dyDescent="0.2">
      <c r="AD1061" s="98">
        <f t="shared" si="152"/>
        <v>45984</v>
      </c>
      <c r="AE1061" s="7">
        <f t="shared" si="153"/>
        <v>586.65521927068278</v>
      </c>
    </row>
    <row r="1062" spans="30:31" ht="14" thickBot="1" x14ac:dyDescent="0.2">
      <c r="AD1062" s="98">
        <f t="shared" si="152"/>
        <v>45985</v>
      </c>
      <c r="AE1062" s="7">
        <f t="shared" si="153"/>
        <v>587.75895816837487</v>
      </c>
    </row>
    <row r="1063" spans="30:31" ht="14" thickBot="1" x14ac:dyDescent="0.2">
      <c r="AD1063" s="98">
        <f t="shared" si="152"/>
        <v>45986</v>
      </c>
      <c r="AE1063" s="7">
        <f t="shared" si="153"/>
        <v>588.86477365128133</v>
      </c>
    </row>
    <row r="1064" spans="30:31" ht="14" thickBot="1" x14ac:dyDescent="0.2">
      <c r="AD1064" s="98">
        <f t="shared" si="152"/>
        <v>45987</v>
      </c>
      <c r="AE1064" s="7">
        <f t="shared" si="153"/>
        <v>589.97266962630999</v>
      </c>
    </row>
    <row r="1065" spans="30:31" ht="14" thickBot="1" x14ac:dyDescent="0.2">
      <c r="AD1065" s="98">
        <f t="shared" si="152"/>
        <v>45988</v>
      </c>
      <c r="AE1065" s="7">
        <f t="shared" si="153"/>
        <v>591.08265000771928</v>
      </c>
    </row>
    <row r="1066" spans="30:31" ht="14" thickBot="1" x14ac:dyDescent="0.2">
      <c r="AD1066" s="98">
        <f t="shared" si="152"/>
        <v>45989</v>
      </c>
      <c r="AE1066" s="7">
        <f t="shared" si="153"/>
        <v>592.19471871713176</v>
      </c>
    </row>
    <row r="1067" spans="30:31" ht="14" thickBot="1" x14ac:dyDescent="0.2">
      <c r="AD1067" s="98">
        <f t="shared" si="152"/>
        <v>45990</v>
      </c>
      <c r="AE1067" s="7">
        <f t="shared" si="153"/>
        <v>593.3088796835483</v>
      </c>
    </row>
    <row r="1068" spans="30:31" ht="14" thickBot="1" x14ac:dyDescent="0.2">
      <c r="AD1068" s="98">
        <f t="shared" si="152"/>
        <v>45991</v>
      </c>
      <c r="AE1068" s="7">
        <f t="shared" si="153"/>
        <v>594.42513684336177</v>
      </c>
    </row>
    <row r="1069" spans="30:31" ht="14" thickBot="1" x14ac:dyDescent="0.2">
      <c r="AD1069" s="98">
        <f t="shared" si="152"/>
        <v>45992</v>
      </c>
      <c r="AE1069" s="7">
        <f t="shared" si="153"/>
        <v>595.54349414037108</v>
      </c>
    </row>
    <row r="1070" spans="30:31" ht="14" thickBot="1" x14ac:dyDescent="0.2">
      <c r="AD1070" s="98">
        <f t="shared" si="152"/>
        <v>45993</v>
      </c>
      <c r="AE1070" s="7">
        <f t="shared" si="153"/>
        <v>596.66395552579502</v>
      </c>
    </row>
    <row r="1071" spans="30:31" ht="14" thickBot="1" x14ac:dyDescent="0.2">
      <c r="AD1071" s="98">
        <f t="shared" si="152"/>
        <v>45994</v>
      </c>
      <c r="AE1071" s="7">
        <f t="shared" si="153"/>
        <v>597.78652495828612</v>
      </c>
    </row>
    <row r="1072" spans="30:31" ht="14" thickBot="1" x14ac:dyDescent="0.2">
      <c r="AD1072" s="98">
        <f t="shared" si="152"/>
        <v>45995</v>
      </c>
      <c r="AE1072" s="7">
        <f t="shared" si="153"/>
        <v>598.91120640394502</v>
      </c>
    </row>
    <row r="1073" spans="30:31" ht="14" thickBot="1" x14ac:dyDescent="0.2">
      <c r="AD1073" s="98">
        <f t="shared" si="152"/>
        <v>45996</v>
      </c>
      <c r="AE1073" s="7">
        <f t="shared" si="153"/>
        <v>600.03800383633393</v>
      </c>
    </row>
    <row r="1074" spans="30:31" ht="14" thickBot="1" x14ac:dyDescent="0.2">
      <c r="AD1074" s="98">
        <f t="shared" si="152"/>
        <v>45997</v>
      </c>
      <c r="AE1074" s="7">
        <f t="shared" si="153"/>
        <v>601.16692123649113</v>
      </c>
    </row>
    <row r="1075" spans="30:31" ht="14" thickBot="1" x14ac:dyDescent="0.2">
      <c r="AD1075" s="98">
        <f t="shared" si="152"/>
        <v>45998</v>
      </c>
      <c r="AE1075" s="7">
        <f t="shared" si="153"/>
        <v>602.29796259294483</v>
      </c>
    </row>
    <row r="1076" spans="30:31" ht="14" thickBot="1" x14ac:dyDescent="0.2">
      <c r="AD1076" s="98">
        <f t="shared" si="152"/>
        <v>45999</v>
      </c>
      <c r="AE1076" s="7">
        <f t="shared" si="153"/>
        <v>603.43113190172721</v>
      </c>
    </row>
    <row r="1077" spans="30:31" ht="14" thickBot="1" x14ac:dyDescent="0.2">
      <c r="AD1077" s="98">
        <f t="shared" si="152"/>
        <v>46000</v>
      </c>
      <c r="AE1077" s="7">
        <f t="shared" si="153"/>
        <v>604.56643316638872</v>
      </c>
    </row>
    <row r="1078" spans="30:31" ht="14" thickBot="1" x14ac:dyDescent="0.2">
      <c r="AD1078" s="98">
        <f t="shared" si="152"/>
        <v>46001</v>
      </c>
      <c r="AE1078" s="7">
        <f t="shared" si="153"/>
        <v>605.70387039801221</v>
      </c>
    </row>
    <row r="1079" spans="30:31" ht="14" thickBot="1" x14ac:dyDescent="0.2">
      <c r="AD1079" s="98">
        <f t="shared" si="152"/>
        <v>46002</v>
      </c>
      <c r="AE1079" s="7">
        <f t="shared" si="153"/>
        <v>606.84344761522686</v>
      </c>
    </row>
    <row r="1080" spans="30:31" ht="14" thickBot="1" x14ac:dyDescent="0.2">
      <c r="AD1080" s="98">
        <f t="shared" si="152"/>
        <v>46003</v>
      </c>
      <c r="AE1080" s="7">
        <f t="shared" si="153"/>
        <v>607.98516884422258</v>
      </c>
    </row>
    <row r="1081" spans="30:31" ht="14" thickBot="1" x14ac:dyDescent="0.2">
      <c r="AD1081" s="98">
        <f t="shared" si="152"/>
        <v>46004</v>
      </c>
      <c r="AE1081" s="7">
        <f t="shared" si="153"/>
        <v>609.12903811876436</v>
      </c>
    </row>
    <row r="1082" spans="30:31" ht="14" thickBot="1" x14ac:dyDescent="0.2">
      <c r="AD1082" s="98">
        <f t="shared" si="152"/>
        <v>46005</v>
      </c>
      <c r="AE1082" s="7">
        <f t="shared" si="153"/>
        <v>610.2750594802061</v>
      </c>
    </row>
    <row r="1083" spans="30:31" ht="14" thickBot="1" x14ac:dyDescent="0.2">
      <c r="AD1083" s="98">
        <f t="shared" si="152"/>
        <v>46006</v>
      </c>
      <c r="AE1083" s="7">
        <f t="shared" si="153"/>
        <v>611.42323697750521</v>
      </c>
    </row>
    <row r="1084" spans="30:31" ht="14" thickBot="1" x14ac:dyDescent="0.2">
      <c r="AD1084" s="98">
        <f t="shared" si="152"/>
        <v>46007</v>
      </c>
      <c r="AE1084" s="7">
        <f t="shared" ref="AE1084:AE1114" si="154">AE1083*$AI$33</f>
        <v>612.61195650762818</v>
      </c>
    </row>
    <row r="1085" spans="30:31" ht="14" thickBot="1" x14ac:dyDescent="0.2">
      <c r="AD1085" s="98">
        <f t="shared" si="152"/>
        <v>46008</v>
      </c>
      <c r="AE1085" s="7">
        <f t="shared" si="154"/>
        <v>613.8029871277389</v>
      </c>
    </row>
    <row r="1086" spans="30:31" ht="14" thickBot="1" x14ac:dyDescent="0.2">
      <c r="AD1086" s="98">
        <f t="shared" si="152"/>
        <v>46009</v>
      </c>
      <c r="AE1086" s="7">
        <f t="shared" si="154"/>
        <v>614.99633333102258</v>
      </c>
    </row>
    <row r="1087" spans="30:31" ht="14" thickBot="1" x14ac:dyDescent="0.2">
      <c r="AD1087" s="98">
        <f t="shared" si="152"/>
        <v>46010</v>
      </c>
      <c r="AE1087" s="7">
        <f t="shared" si="154"/>
        <v>616.19199961940001</v>
      </c>
    </row>
    <row r="1088" spans="30:31" ht="14" thickBot="1" x14ac:dyDescent="0.2">
      <c r="AD1088" s="98">
        <f t="shared" si="152"/>
        <v>46011</v>
      </c>
      <c r="AE1088" s="7">
        <f t="shared" si="154"/>
        <v>617.38999050354437</v>
      </c>
    </row>
    <row r="1089" spans="30:31" ht="14" thickBot="1" x14ac:dyDescent="0.2">
      <c r="AD1089" s="98">
        <f t="shared" si="152"/>
        <v>46012</v>
      </c>
      <c r="AE1089" s="7">
        <f t="shared" si="154"/>
        <v>618.59031050289855</v>
      </c>
    </row>
    <row r="1090" spans="30:31" ht="14" thickBot="1" x14ac:dyDescent="0.2">
      <c r="AD1090" s="98">
        <f t="shared" si="152"/>
        <v>46013</v>
      </c>
      <c r="AE1090" s="7">
        <f t="shared" si="154"/>
        <v>619.79296414569205</v>
      </c>
    </row>
    <row r="1091" spans="30:31" ht="14" thickBot="1" x14ac:dyDescent="0.2">
      <c r="AD1091" s="98">
        <f t="shared" si="152"/>
        <v>46014</v>
      </c>
      <c r="AE1091" s="7">
        <f t="shared" si="154"/>
        <v>620.99795596895808</v>
      </c>
    </row>
    <row r="1092" spans="30:31" ht="14" thickBot="1" x14ac:dyDescent="0.2">
      <c r="AD1092" s="98">
        <f t="shared" si="152"/>
        <v>46015</v>
      </c>
      <c r="AE1092" s="7">
        <f t="shared" si="154"/>
        <v>622.20529051855078</v>
      </c>
    </row>
    <row r="1093" spans="30:31" ht="14" thickBot="1" x14ac:dyDescent="0.2">
      <c r="AD1093" s="98">
        <f t="shared" si="152"/>
        <v>46016</v>
      </c>
      <c r="AE1093" s="7">
        <f t="shared" si="154"/>
        <v>623.4149723491621</v>
      </c>
    </row>
    <row r="1094" spans="30:31" ht="14" thickBot="1" x14ac:dyDescent="0.2">
      <c r="AD1094" s="98">
        <f t="shared" si="152"/>
        <v>46017</v>
      </c>
      <c r="AE1094" s="7">
        <f t="shared" si="154"/>
        <v>624.62700602433915</v>
      </c>
    </row>
    <row r="1095" spans="30:31" ht="14" thickBot="1" x14ac:dyDescent="0.2">
      <c r="AD1095" s="98">
        <f t="shared" si="152"/>
        <v>46018</v>
      </c>
      <c r="AE1095" s="7">
        <f t="shared" si="154"/>
        <v>625.84139611650153</v>
      </c>
    </row>
    <row r="1096" spans="30:31" ht="14" thickBot="1" x14ac:dyDescent="0.2">
      <c r="AD1096" s="98">
        <f t="shared" si="152"/>
        <v>46019</v>
      </c>
      <c r="AE1096" s="7">
        <f t="shared" si="154"/>
        <v>627.05814720695844</v>
      </c>
    </row>
    <row r="1097" spans="30:31" ht="14" thickBot="1" x14ac:dyDescent="0.2">
      <c r="AD1097" s="98">
        <f t="shared" ref="AD1097:AD1160" si="155">AD1096+1</f>
        <v>46020</v>
      </c>
      <c r="AE1097" s="7">
        <f t="shared" si="154"/>
        <v>628.277263885926</v>
      </c>
    </row>
    <row r="1098" spans="30:31" ht="14" thickBot="1" x14ac:dyDescent="0.2">
      <c r="AD1098" s="98">
        <f t="shared" si="155"/>
        <v>46021</v>
      </c>
      <c r="AE1098" s="7">
        <f t="shared" si="154"/>
        <v>629.49875075254454</v>
      </c>
    </row>
    <row r="1099" spans="30:31" ht="14" thickBot="1" x14ac:dyDescent="0.2">
      <c r="AD1099" s="98">
        <f t="shared" si="155"/>
        <v>46022</v>
      </c>
      <c r="AE1099" s="7">
        <f t="shared" si="154"/>
        <v>630.72261241489593</v>
      </c>
    </row>
    <row r="1100" spans="30:31" ht="14" thickBot="1" x14ac:dyDescent="0.2">
      <c r="AD1100" s="98">
        <f t="shared" si="155"/>
        <v>46023</v>
      </c>
      <c r="AE1100" s="7">
        <f t="shared" si="154"/>
        <v>631.94885349002095</v>
      </c>
    </row>
    <row r="1101" spans="30:31" ht="14" thickBot="1" x14ac:dyDescent="0.2">
      <c r="AD1101" s="98">
        <f t="shared" si="155"/>
        <v>46024</v>
      </c>
      <c r="AE1101" s="7">
        <f t="shared" si="154"/>
        <v>633.17747860393695</v>
      </c>
    </row>
    <row r="1102" spans="30:31" ht="14" thickBot="1" x14ac:dyDescent="0.2">
      <c r="AD1102" s="98">
        <f t="shared" si="155"/>
        <v>46025</v>
      </c>
      <c r="AE1102" s="7">
        <f t="shared" si="154"/>
        <v>634.40849239165493</v>
      </c>
    </row>
    <row r="1103" spans="30:31" ht="14" thickBot="1" x14ac:dyDescent="0.2">
      <c r="AD1103" s="98">
        <f t="shared" si="155"/>
        <v>46026</v>
      </c>
      <c r="AE1103" s="7">
        <f t="shared" si="154"/>
        <v>635.6418994971973</v>
      </c>
    </row>
    <row r="1104" spans="30:31" ht="14" thickBot="1" x14ac:dyDescent="0.2">
      <c r="AD1104" s="98">
        <f t="shared" si="155"/>
        <v>46027</v>
      </c>
      <c r="AE1104" s="7">
        <f t="shared" si="154"/>
        <v>636.87770457361535</v>
      </c>
    </row>
    <row r="1105" spans="30:31" ht="14" thickBot="1" x14ac:dyDescent="0.2">
      <c r="AD1105" s="98">
        <f t="shared" si="155"/>
        <v>46028</v>
      </c>
      <c r="AE1105" s="7">
        <f t="shared" si="154"/>
        <v>638.11591228300665</v>
      </c>
    </row>
    <row r="1106" spans="30:31" ht="14" thickBot="1" x14ac:dyDescent="0.2">
      <c r="AD1106" s="98">
        <f t="shared" si="155"/>
        <v>46029</v>
      </c>
      <c r="AE1106" s="7">
        <f t="shared" si="154"/>
        <v>639.3565272965327</v>
      </c>
    </row>
    <row r="1107" spans="30:31" ht="14" thickBot="1" x14ac:dyDescent="0.2">
      <c r="AD1107" s="98">
        <f t="shared" si="155"/>
        <v>46030</v>
      </c>
      <c r="AE1107" s="7">
        <f t="shared" si="154"/>
        <v>640.59955429443687</v>
      </c>
    </row>
    <row r="1108" spans="30:31" ht="14" thickBot="1" x14ac:dyDescent="0.2">
      <c r="AD1108" s="98">
        <f t="shared" si="155"/>
        <v>46031</v>
      </c>
      <c r="AE1108" s="7">
        <f t="shared" si="154"/>
        <v>641.84499796606144</v>
      </c>
    </row>
    <row r="1109" spans="30:31" ht="14" thickBot="1" x14ac:dyDescent="0.2">
      <c r="AD1109" s="98">
        <f t="shared" si="155"/>
        <v>46032</v>
      </c>
      <c r="AE1109" s="7">
        <f t="shared" si="154"/>
        <v>643.09286300986582</v>
      </c>
    </row>
    <row r="1110" spans="30:31" ht="14" thickBot="1" x14ac:dyDescent="0.2">
      <c r="AD1110" s="98">
        <f t="shared" si="155"/>
        <v>46033</v>
      </c>
      <c r="AE1110" s="7">
        <f t="shared" si="154"/>
        <v>644.34315413344416</v>
      </c>
    </row>
    <row r="1111" spans="30:31" ht="14" thickBot="1" x14ac:dyDescent="0.2">
      <c r="AD1111" s="98">
        <f t="shared" si="155"/>
        <v>46034</v>
      </c>
      <c r="AE1111" s="7">
        <f t="shared" si="154"/>
        <v>645.59587605354284</v>
      </c>
    </row>
    <row r="1112" spans="30:31" ht="14" thickBot="1" x14ac:dyDescent="0.2">
      <c r="AD1112" s="98">
        <f t="shared" si="155"/>
        <v>46035</v>
      </c>
      <c r="AE1112" s="7">
        <f t="shared" si="154"/>
        <v>646.85103349607868</v>
      </c>
    </row>
    <row r="1113" spans="30:31" ht="14" thickBot="1" x14ac:dyDescent="0.2">
      <c r="AD1113" s="98">
        <f t="shared" si="155"/>
        <v>46036</v>
      </c>
      <c r="AE1113" s="7">
        <f t="shared" si="154"/>
        <v>648.10863119615647</v>
      </c>
    </row>
    <row r="1114" spans="30:31" ht="14" thickBot="1" x14ac:dyDescent="0.2">
      <c r="AD1114" s="98">
        <f t="shared" si="155"/>
        <v>46037</v>
      </c>
      <c r="AE1114" s="7">
        <f t="shared" si="154"/>
        <v>649.36867389808674</v>
      </c>
    </row>
    <row r="1115" spans="30:31" ht="14" thickBot="1" x14ac:dyDescent="0.2">
      <c r="AD1115" s="98">
        <f t="shared" si="155"/>
        <v>46038</v>
      </c>
      <c r="AE1115" s="7">
        <f t="shared" ref="AE1115:AE1145" si="156">AE1114*$AI$34</f>
        <v>650.59040250593091</v>
      </c>
    </row>
    <row r="1116" spans="30:31" ht="14" thickBot="1" x14ac:dyDescent="0.2">
      <c r="AD1116" s="98">
        <f t="shared" si="155"/>
        <v>46039</v>
      </c>
      <c r="AE1116" s="7">
        <f t="shared" si="156"/>
        <v>651.81442968599015</v>
      </c>
    </row>
    <row r="1117" spans="30:31" ht="14" thickBot="1" x14ac:dyDescent="0.2">
      <c r="AD1117" s="98">
        <f t="shared" si="155"/>
        <v>46040</v>
      </c>
      <c r="AE1117" s="7">
        <f t="shared" si="156"/>
        <v>653.04075976282093</v>
      </c>
    </row>
    <row r="1118" spans="30:31" ht="14" thickBot="1" x14ac:dyDescent="0.2">
      <c r="AD1118" s="98">
        <f t="shared" si="155"/>
        <v>46041</v>
      </c>
      <c r="AE1118" s="7">
        <f t="shared" si="156"/>
        <v>654.26939706911594</v>
      </c>
    </row>
    <row r="1119" spans="30:31" ht="14" thickBot="1" x14ac:dyDescent="0.2">
      <c r="AD1119" s="98">
        <f t="shared" si="155"/>
        <v>46042</v>
      </c>
      <c r="AE1119" s="7">
        <f t="shared" si="156"/>
        <v>655.50034594571935</v>
      </c>
    </row>
    <row r="1120" spans="30:31" ht="14" thickBot="1" x14ac:dyDescent="0.2">
      <c r="AD1120" s="98">
        <f t="shared" si="155"/>
        <v>46043</v>
      </c>
      <c r="AE1120" s="7">
        <f t="shared" si="156"/>
        <v>656.73361074164222</v>
      </c>
    </row>
    <row r="1121" spans="30:31" ht="14" thickBot="1" x14ac:dyDescent="0.2">
      <c r="AD1121" s="98">
        <f t="shared" si="155"/>
        <v>46044</v>
      </c>
      <c r="AE1121" s="7">
        <f t="shared" si="156"/>
        <v>657.96919581407792</v>
      </c>
    </row>
    <row r="1122" spans="30:31" ht="14" thickBot="1" x14ac:dyDescent="0.2">
      <c r="AD1122" s="98">
        <f t="shared" si="155"/>
        <v>46045</v>
      </c>
      <c r="AE1122" s="7">
        <f t="shared" si="156"/>
        <v>659.20710552841751</v>
      </c>
    </row>
    <row r="1123" spans="30:31" ht="14" thickBot="1" x14ac:dyDescent="0.2">
      <c r="AD1123" s="98">
        <f t="shared" si="155"/>
        <v>46046</v>
      </c>
      <c r="AE1123" s="7">
        <f t="shared" si="156"/>
        <v>660.44734425826516</v>
      </c>
    </row>
    <row r="1124" spans="30:31" ht="14" thickBot="1" x14ac:dyDescent="0.2">
      <c r="AD1124" s="98">
        <f t="shared" si="155"/>
        <v>46047</v>
      </c>
      <c r="AE1124" s="7">
        <f t="shared" si="156"/>
        <v>661.68991638545344</v>
      </c>
    </row>
    <row r="1125" spans="30:31" ht="14" thickBot="1" x14ac:dyDescent="0.2">
      <c r="AD1125" s="98">
        <f t="shared" si="155"/>
        <v>46048</v>
      </c>
      <c r="AE1125" s="7">
        <f t="shared" si="156"/>
        <v>662.93482630005917</v>
      </c>
    </row>
    <row r="1126" spans="30:31" ht="14" thickBot="1" x14ac:dyDescent="0.2">
      <c r="AD1126" s="98">
        <f t="shared" si="155"/>
        <v>46049</v>
      </c>
      <c r="AE1126" s="7">
        <f t="shared" si="156"/>
        <v>664.1820784004185</v>
      </c>
    </row>
    <row r="1127" spans="30:31" ht="14" thickBot="1" x14ac:dyDescent="0.2">
      <c r="AD1127" s="98">
        <f t="shared" si="155"/>
        <v>46050</v>
      </c>
      <c r="AE1127" s="7">
        <f t="shared" si="156"/>
        <v>665.43167709314275</v>
      </c>
    </row>
    <row r="1128" spans="30:31" ht="14" thickBot="1" x14ac:dyDescent="0.2">
      <c r="AD1128" s="98">
        <f t="shared" si="155"/>
        <v>46051</v>
      </c>
      <c r="AE1128" s="7">
        <f t="shared" si="156"/>
        <v>666.68362679313395</v>
      </c>
    </row>
    <row r="1129" spans="30:31" ht="14" thickBot="1" x14ac:dyDescent="0.2">
      <c r="AD1129" s="98">
        <f t="shared" si="155"/>
        <v>46052</v>
      </c>
      <c r="AE1129" s="7">
        <f t="shared" si="156"/>
        <v>667.93793192360022</v>
      </c>
    </row>
    <row r="1130" spans="30:31" ht="14" thickBot="1" x14ac:dyDescent="0.2">
      <c r="AD1130" s="98">
        <f t="shared" si="155"/>
        <v>46053</v>
      </c>
      <c r="AE1130" s="7">
        <f t="shared" si="156"/>
        <v>669.19459691607165</v>
      </c>
    </row>
    <row r="1131" spans="30:31" ht="14" thickBot="1" x14ac:dyDescent="0.2">
      <c r="AD1131" s="98">
        <f t="shared" si="155"/>
        <v>46054</v>
      </c>
      <c r="AE1131" s="7">
        <f t="shared" si="156"/>
        <v>670.45362621041579</v>
      </c>
    </row>
    <row r="1132" spans="30:31" ht="14" thickBot="1" x14ac:dyDescent="0.2">
      <c r="AD1132" s="98">
        <f t="shared" si="155"/>
        <v>46055</v>
      </c>
      <c r="AE1132" s="7">
        <f t="shared" si="156"/>
        <v>671.71502425485346</v>
      </c>
    </row>
    <row r="1133" spans="30:31" ht="14" thickBot="1" x14ac:dyDescent="0.2">
      <c r="AD1133" s="98">
        <f t="shared" si="155"/>
        <v>46056</v>
      </c>
      <c r="AE1133" s="7">
        <f t="shared" si="156"/>
        <v>672.97879550597429</v>
      </c>
    </row>
    <row r="1134" spans="30:31" ht="14" thickBot="1" x14ac:dyDescent="0.2">
      <c r="AD1134" s="98">
        <f t="shared" si="155"/>
        <v>46057</v>
      </c>
      <c r="AE1134" s="7">
        <f t="shared" si="156"/>
        <v>674.24494442875277</v>
      </c>
    </row>
    <row r="1135" spans="30:31" ht="14" thickBot="1" x14ac:dyDescent="0.2">
      <c r="AD1135" s="98">
        <f t="shared" si="155"/>
        <v>46058</v>
      </c>
      <c r="AE1135" s="7">
        <f t="shared" si="156"/>
        <v>675.51347549656361</v>
      </c>
    </row>
    <row r="1136" spans="30:31" ht="14" thickBot="1" x14ac:dyDescent="0.2">
      <c r="AD1136" s="98">
        <f t="shared" si="155"/>
        <v>46059</v>
      </c>
      <c r="AE1136" s="7">
        <f t="shared" si="156"/>
        <v>676.78439319119798</v>
      </c>
    </row>
    <row r="1137" spans="30:31" ht="14" thickBot="1" x14ac:dyDescent="0.2">
      <c r="AD1137" s="98">
        <f t="shared" si="155"/>
        <v>46060</v>
      </c>
      <c r="AE1137" s="7">
        <f t="shared" si="156"/>
        <v>678.05770200287907</v>
      </c>
    </row>
    <row r="1138" spans="30:31" ht="14" thickBot="1" x14ac:dyDescent="0.2">
      <c r="AD1138" s="98">
        <f t="shared" si="155"/>
        <v>46061</v>
      </c>
      <c r="AE1138" s="7">
        <f t="shared" si="156"/>
        <v>679.33340643027805</v>
      </c>
    </row>
    <row r="1139" spans="30:31" ht="14" thickBot="1" x14ac:dyDescent="0.2">
      <c r="AD1139" s="98">
        <f t="shared" si="155"/>
        <v>46062</v>
      </c>
      <c r="AE1139" s="7">
        <f t="shared" si="156"/>
        <v>680.61151098052972</v>
      </c>
    </row>
    <row r="1140" spans="30:31" ht="14" thickBot="1" x14ac:dyDescent="0.2">
      <c r="AD1140" s="98">
        <f t="shared" si="155"/>
        <v>46063</v>
      </c>
      <c r="AE1140" s="7">
        <f t="shared" si="156"/>
        <v>681.89202016924901</v>
      </c>
    </row>
    <row r="1141" spans="30:31" ht="14" thickBot="1" x14ac:dyDescent="0.2">
      <c r="AD1141" s="98">
        <f t="shared" si="155"/>
        <v>46064</v>
      </c>
      <c r="AE1141" s="7">
        <f t="shared" si="156"/>
        <v>683.17493852054622</v>
      </c>
    </row>
    <row r="1142" spans="30:31" ht="14" thickBot="1" x14ac:dyDescent="0.2">
      <c r="AD1142" s="98">
        <f t="shared" si="155"/>
        <v>46065</v>
      </c>
      <c r="AE1142" s="7">
        <f t="shared" si="156"/>
        <v>684.46027056704361</v>
      </c>
    </row>
    <row r="1143" spans="30:31" ht="14" thickBot="1" x14ac:dyDescent="0.2">
      <c r="AD1143" s="98">
        <f t="shared" si="155"/>
        <v>46066</v>
      </c>
      <c r="AE1143" s="7">
        <f t="shared" si="156"/>
        <v>685.74802084989096</v>
      </c>
    </row>
    <row r="1144" spans="30:31" ht="14" thickBot="1" x14ac:dyDescent="0.2">
      <c r="AD1144" s="98">
        <f t="shared" si="155"/>
        <v>46067</v>
      </c>
      <c r="AE1144" s="7">
        <f t="shared" si="156"/>
        <v>687.03819391878199</v>
      </c>
    </row>
    <row r="1145" spans="30:31" ht="14" thickBot="1" x14ac:dyDescent="0.2">
      <c r="AD1145" s="98">
        <f t="shared" si="155"/>
        <v>46068</v>
      </c>
      <c r="AE1145" s="7">
        <f t="shared" si="156"/>
        <v>688.3307943319702</v>
      </c>
    </row>
    <row r="1146" spans="30:31" ht="14" thickBot="1" x14ac:dyDescent="0.2">
      <c r="AD1146" s="98">
        <f t="shared" si="155"/>
        <v>46069</v>
      </c>
      <c r="AE1146" s="7">
        <f t="shared" ref="AE1146:AE1173" si="157">AE1145*$AI$35</f>
        <v>689.62582665628497</v>
      </c>
    </row>
    <row r="1147" spans="30:31" ht="14" thickBot="1" x14ac:dyDescent="0.2">
      <c r="AD1147" s="98">
        <f t="shared" si="155"/>
        <v>46070</v>
      </c>
      <c r="AE1147" s="7">
        <f t="shared" si="157"/>
        <v>690.9232954671478</v>
      </c>
    </row>
    <row r="1148" spans="30:31" ht="14" thickBot="1" x14ac:dyDescent="0.2">
      <c r="AD1148" s="98">
        <f t="shared" si="155"/>
        <v>46071</v>
      </c>
      <c r="AE1148" s="7">
        <f t="shared" si="157"/>
        <v>692.22320534858852</v>
      </c>
    </row>
    <row r="1149" spans="30:31" ht="14" thickBot="1" x14ac:dyDescent="0.2">
      <c r="AD1149" s="98">
        <f t="shared" si="155"/>
        <v>46072</v>
      </c>
      <c r="AE1149" s="7">
        <f t="shared" si="157"/>
        <v>693.52556089326117</v>
      </c>
    </row>
    <row r="1150" spans="30:31" ht="14" thickBot="1" x14ac:dyDescent="0.2">
      <c r="AD1150" s="98">
        <f t="shared" si="155"/>
        <v>46073</v>
      </c>
      <c r="AE1150" s="7">
        <f t="shared" si="157"/>
        <v>694.83036670246076</v>
      </c>
    </row>
    <row r="1151" spans="30:31" ht="14" thickBot="1" x14ac:dyDescent="0.2">
      <c r="AD1151" s="98">
        <f t="shared" si="155"/>
        <v>46074</v>
      </c>
      <c r="AE1151" s="7">
        <f t="shared" si="157"/>
        <v>696.137627386139</v>
      </c>
    </row>
    <row r="1152" spans="30:31" ht="14" thickBot="1" x14ac:dyDescent="0.2">
      <c r="AD1152" s="98">
        <f t="shared" si="155"/>
        <v>46075</v>
      </c>
      <c r="AE1152" s="7">
        <f t="shared" si="157"/>
        <v>697.44734756292087</v>
      </c>
    </row>
    <row r="1153" spans="30:31" ht="14" thickBot="1" x14ac:dyDescent="0.2">
      <c r="AD1153" s="98">
        <f t="shared" si="155"/>
        <v>46076</v>
      </c>
      <c r="AE1153" s="7">
        <f t="shared" si="157"/>
        <v>698.75953186012077</v>
      </c>
    </row>
    <row r="1154" spans="30:31" ht="14" thickBot="1" x14ac:dyDescent="0.2">
      <c r="AD1154" s="98">
        <f t="shared" si="155"/>
        <v>46077</v>
      </c>
      <c r="AE1154" s="7">
        <f t="shared" si="157"/>
        <v>700.07418491375927</v>
      </c>
    </row>
    <row r="1155" spans="30:31" ht="14" thickBot="1" x14ac:dyDescent="0.2">
      <c r="AD1155" s="98">
        <f t="shared" si="155"/>
        <v>46078</v>
      </c>
      <c r="AE1155" s="7">
        <f t="shared" si="157"/>
        <v>701.39131136857884</v>
      </c>
    </row>
    <row r="1156" spans="30:31" ht="14" thickBot="1" x14ac:dyDescent="0.2">
      <c r="AD1156" s="98">
        <f t="shared" si="155"/>
        <v>46079</v>
      </c>
      <c r="AE1156" s="7">
        <f t="shared" si="157"/>
        <v>702.71091587806086</v>
      </c>
    </row>
    <row r="1157" spans="30:31" ht="14" thickBot="1" x14ac:dyDescent="0.2">
      <c r="AD1157" s="98">
        <f t="shared" si="155"/>
        <v>46080</v>
      </c>
      <c r="AE1157" s="7">
        <f t="shared" si="157"/>
        <v>704.03300310444172</v>
      </c>
    </row>
    <row r="1158" spans="30:31" ht="14" thickBot="1" x14ac:dyDescent="0.2">
      <c r="AD1158" s="98">
        <f t="shared" si="155"/>
        <v>46081</v>
      </c>
      <c r="AE1158" s="7">
        <f t="shared" si="157"/>
        <v>705.35757771872943</v>
      </c>
    </row>
    <row r="1159" spans="30:31" ht="14" thickBot="1" x14ac:dyDescent="0.2">
      <c r="AD1159" s="98">
        <f t="shared" si="155"/>
        <v>46082</v>
      </c>
      <c r="AE1159" s="7">
        <f t="shared" si="157"/>
        <v>706.68464440072012</v>
      </c>
    </row>
    <row r="1160" spans="30:31" ht="14" thickBot="1" x14ac:dyDescent="0.2">
      <c r="AD1160" s="98">
        <f t="shared" si="155"/>
        <v>46083</v>
      </c>
      <c r="AE1160" s="7">
        <f t="shared" si="157"/>
        <v>708.01420783901438</v>
      </c>
    </row>
    <row r="1161" spans="30:31" ht="14" thickBot="1" x14ac:dyDescent="0.2">
      <c r="AD1161" s="98">
        <f t="shared" ref="AD1161:AD1224" si="158">AD1160+1</f>
        <v>46084</v>
      </c>
      <c r="AE1161" s="7">
        <f t="shared" si="157"/>
        <v>709.34627273103411</v>
      </c>
    </row>
    <row r="1162" spans="30:31" ht="14" thickBot="1" x14ac:dyDescent="0.2">
      <c r="AD1162" s="98">
        <f t="shared" si="158"/>
        <v>46085</v>
      </c>
      <c r="AE1162" s="7">
        <f t="shared" si="157"/>
        <v>710.68084378303888</v>
      </c>
    </row>
    <row r="1163" spans="30:31" ht="14" thickBot="1" x14ac:dyDescent="0.2">
      <c r="AD1163" s="98">
        <f t="shared" si="158"/>
        <v>46086</v>
      </c>
      <c r="AE1163" s="7">
        <f t="shared" si="157"/>
        <v>712.01792571014278</v>
      </c>
    </row>
    <row r="1164" spans="30:31" ht="14" thickBot="1" x14ac:dyDescent="0.2">
      <c r="AD1164" s="98">
        <f t="shared" si="158"/>
        <v>46087</v>
      </c>
      <c r="AE1164" s="7">
        <f t="shared" si="157"/>
        <v>713.35752323633085</v>
      </c>
    </row>
    <row r="1165" spans="30:31" ht="14" thickBot="1" x14ac:dyDescent="0.2">
      <c r="AD1165" s="98">
        <f t="shared" si="158"/>
        <v>46088</v>
      </c>
      <c r="AE1165" s="7">
        <f t="shared" si="157"/>
        <v>714.69964109447596</v>
      </c>
    </row>
    <row r="1166" spans="30:31" ht="14" thickBot="1" x14ac:dyDescent="0.2">
      <c r="AD1166" s="98">
        <f t="shared" si="158"/>
        <v>46089</v>
      </c>
      <c r="AE1166" s="7">
        <f t="shared" si="157"/>
        <v>716.04428402635551</v>
      </c>
    </row>
    <row r="1167" spans="30:31" ht="14" thickBot="1" x14ac:dyDescent="0.2">
      <c r="AD1167" s="98">
        <f t="shared" si="158"/>
        <v>46090</v>
      </c>
      <c r="AE1167" s="7">
        <f t="shared" si="157"/>
        <v>717.391456782668</v>
      </c>
    </row>
    <row r="1168" spans="30:31" ht="14" thickBot="1" x14ac:dyDescent="0.2">
      <c r="AD1168" s="98">
        <f t="shared" si="158"/>
        <v>46091</v>
      </c>
      <c r="AE1168" s="7">
        <f t="shared" si="157"/>
        <v>718.74116412305</v>
      </c>
    </row>
    <row r="1169" spans="30:31" ht="14" thickBot="1" x14ac:dyDescent="0.2">
      <c r="AD1169" s="98">
        <f t="shared" si="158"/>
        <v>46092</v>
      </c>
      <c r="AE1169" s="7">
        <f t="shared" si="157"/>
        <v>720.09341081609284</v>
      </c>
    </row>
    <row r="1170" spans="30:31" ht="14" thickBot="1" x14ac:dyDescent="0.2">
      <c r="AD1170" s="98">
        <f t="shared" si="158"/>
        <v>46093</v>
      </c>
      <c r="AE1170" s="7">
        <f t="shared" si="157"/>
        <v>721.4482016393597</v>
      </c>
    </row>
    <row r="1171" spans="30:31" ht="14" thickBot="1" x14ac:dyDescent="0.2">
      <c r="AD1171" s="98">
        <f t="shared" si="158"/>
        <v>46094</v>
      </c>
      <c r="AE1171" s="7">
        <f t="shared" si="157"/>
        <v>722.80554137940203</v>
      </c>
    </row>
    <row r="1172" spans="30:31" ht="14" thickBot="1" x14ac:dyDescent="0.2">
      <c r="AD1172" s="98">
        <f t="shared" si="158"/>
        <v>46095</v>
      </c>
      <c r="AE1172" s="7">
        <f t="shared" si="157"/>
        <v>724.16543483177702</v>
      </c>
    </row>
    <row r="1173" spans="30:31" ht="14" thickBot="1" x14ac:dyDescent="0.2">
      <c r="AD1173" s="98">
        <f t="shared" si="158"/>
        <v>46096</v>
      </c>
      <c r="AE1173" s="7">
        <f t="shared" si="157"/>
        <v>725.52788680106426</v>
      </c>
    </row>
    <row r="1174" spans="30:31" ht="14" thickBot="1" x14ac:dyDescent="0.2">
      <c r="AD1174" s="98">
        <f t="shared" si="158"/>
        <v>46097</v>
      </c>
      <c r="AE1174" s="7">
        <f t="shared" ref="AE1174:AE1204" si="159">AE1173*$AI$36</f>
        <v>727.03930597524527</v>
      </c>
    </row>
    <row r="1175" spans="30:31" ht="14" thickBot="1" x14ac:dyDescent="0.2">
      <c r="AD1175" s="98">
        <f t="shared" si="158"/>
        <v>46098</v>
      </c>
      <c r="AE1175" s="7">
        <f t="shared" si="159"/>
        <v>728.55387373676751</v>
      </c>
    </row>
    <row r="1176" spans="30:31" ht="14" thickBot="1" x14ac:dyDescent="0.2">
      <c r="AD1176" s="98">
        <f t="shared" si="158"/>
        <v>46099</v>
      </c>
      <c r="AE1176" s="7">
        <f t="shared" si="159"/>
        <v>730.0715966447658</v>
      </c>
    </row>
    <row r="1177" spans="30:31" ht="14" thickBot="1" x14ac:dyDescent="0.2">
      <c r="AD1177" s="98">
        <f t="shared" si="158"/>
        <v>46100</v>
      </c>
      <c r="AE1177" s="7">
        <f t="shared" si="159"/>
        <v>731.59248127203909</v>
      </c>
    </row>
    <row r="1178" spans="30:31" ht="14" thickBot="1" x14ac:dyDescent="0.2">
      <c r="AD1178" s="98">
        <f t="shared" si="158"/>
        <v>46101</v>
      </c>
      <c r="AE1178" s="7">
        <f t="shared" si="159"/>
        <v>733.11653420507878</v>
      </c>
    </row>
    <row r="1179" spans="30:31" ht="14" thickBot="1" x14ac:dyDescent="0.2">
      <c r="AD1179" s="98">
        <f t="shared" si="158"/>
        <v>46102</v>
      </c>
      <c r="AE1179" s="7">
        <f t="shared" si="159"/>
        <v>734.643762044097</v>
      </c>
    </row>
    <row r="1180" spans="30:31" ht="14" thickBot="1" x14ac:dyDescent="0.2">
      <c r="AD1180" s="98">
        <f t="shared" si="158"/>
        <v>46103</v>
      </c>
      <c r="AE1180" s="7">
        <f t="shared" si="159"/>
        <v>736.17417140305577</v>
      </c>
    </row>
    <row r="1181" spans="30:31" ht="14" thickBot="1" x14ac:dyDescent="0.2">
      <c r="AD1181" s="98">
        <f t="shared" si="158"/>
        <v>46104</v>
      </c>
      <c r="AE1181" s="7">
        <f t="shared" si="159"/>
        <v>737.70776890969512</v>
      </c>
    </row>
    <row r="1182" spans="30:31" ht="14" thickBot="1" x14ac:dyDescent="0.2">
      <c r="AD1182" s="98">
        <f t="shared" si="158"/>
        <v>46105</v>
      </c>
      <c r="AE1182" s="7">
        <f t="shared" si="159"/>
        <v>739.24456120556192</v>
      </c>
    </row>
    <row r="1183" spans="30:31" ht="14" thickBot="1" x14ac:dyDescent="0.2">
      <c r="AD1183" s="98">
        <f t="shared" si="158"/>
        <v>46106</v>
      </c>
      <c r="AE1183" s="7">
        <f t="shared" si="159"/>
        <v>740.78455494603884</v>
      </c>
    </row>
    <row r="1184" spans="30:31" ht="14" thickBot="1" x14ac:dyDescent="0.2">
      <c r="AD1184" s="98">
        <f t="shared" si="158"/>
        <v>46107</v>
      </c>
      <c r="AE1184" s="7">
        <f t="shared" si="159"/>
        <v>742.32775680037309</v>
      </c>
    </row>
    <row r="1185" spans="30:31" ht="14" thickBot="1" x14ac:dyDescent="0.2">
      <c r="AD1185" s="98">
        <f t="shared" si="158"/>
        <v>46108</v>
      </c>
      <c r="AE1185" s="7">
        <f t="shared" si="159"/>
        <v>743.87417345170502</v>
      </c>
    </row>
    <row r="1186" spans="30:31" ht="14" thickBot="1" x14ac:dyDescent="0.2">
      <c r="AD1186" s="98">
        <f t="shared" si="158"/>
        <v>46109</v>
      </c>
      <c r="AE1186" s="7">
        <f t="shared" si="159"/>
        <v>745.4238115970976</v>
      </c>
    </row>
    <row r="1187" spans="30:31" ht="14" thickBot="1" x14ac:dyDescent="0.2">
      <c r="AD1187" s="98">
        <f t="shared" si="158"/>
        <v>46110</v>
      </c>
      <c r="AE1187" s="7">
        <f t="shared" si="159"/>
        <v>746.97667794756478</v>
      </c>
    </row>
    <row r="1188" spans="30:31" ht="14" thickBot="1" x14ac:dyDescent="0.2">
      <c r="AD1188" s="98">
        <f t="shared" si="158"/>
        <v>46111</v>
      </c>
      <c r="AE1188" s="7">
        <f t="shared" si="159"/>
        <v>748.53277922810116</v>
      </c>
    </row>
    <row r="1189" spans="30:31" ht="14" thickBot="1" x14ac:dyDescent="0.2">
      <c r="AD1189" s="98">
        <f t="shared" si="158"/>
        <v>46112</v>
      </c>
      <c r="AE1189" s="7">
        <f t="shared" si="159"/>
        <v>750.09212217771073</v>
      </c>
    </row>
    <row r="1190" spans="30:31" ht="14" thickBot="1" x14ac:dyDescent="0.2">
      <c r="AD1190" s="98">
        <f t="shared" si="158"/>
        <v>46113</v>
      </c>
      <c r="AE1190" s="7">
        <f t="shared" si="159"/>
        <v>751.65471354943611</v>
      </c>
    </row>
    <row r="1191" spans="30:31" ht="14" thickBot="1" x14ac:dyDescent="0.2">
      <c r="AD1191" s="98">
        <f t="shared" si="158"/>
        <v>46114</v>
      </c>
      <c r="AE1191" s="7">
        <f t="shared" si="159"/>
        <v>753.22056011038808</v>
      </c>
    </row>
    <row r="1192" spans="30:31" ht="14" thickBot="1" x14ac:dyDescent="0.2">
      <c r="AD1192" s="98">
        <f t="shared" si="158"/>
        <v>46115</v>
      </c>
      <c r="AE1192" s="7">
        <f t="shared" si="159"/>
        <v>754.78966864177437</v>
      </c>
    </row>
    <row r="1193" spans="30:31" ht="14" thickBot="1" x14ac:dyDescent="0.2">
      <c r="AD1193" s="98">
        <f t="shared" si="158"/>
        <v>46116</v>
      </c>
      <c r="AE1193" s="7">
        <f t="shared" si="159"/>
        <v>756.36204593892944</v>
      </c>
    </row>
    <row r="1194" spans="30:31" ht="14" thickBot="1" x14ac:dyDescent="0.2">
      <c r="AD1194" s="98">
        <f t="shared" si="158"/>
        <v>46117</v>
      </c>
      <c r="AE1194" s="7">
        <f t="shared" si="159"/>
        <v>757.93769881134392</v>
      </c>
    </row>
    <row r="1195" spans="30:31" ht="14" thickBot="1" x14ac:dyDescent="0.2">
      <c r="AD1195" s="98">
        <f t="shared" si="158"/>
        <v>46118</v>
      </c>
      <c r="AE1195" s="7">
        <f t="shared" si="159"/>
        <v>759.51663408269371</v>
      </c>
    </row>
    <row r="1196" spans="30:31" ht="14" thickBot="1" x14ac:dyDescent="0.2">
      <c r="AD1196" s="98">
        <f t="shared" si="158"/>
        <v>46119</v>
      </c>
      <c r="AE1196" s="7">
        <f t="shared" si="159"/>
        <v>761.09885859087001</v>
      </c>
    </row>
    <row r="1197" spans="30:31" ht="14" thickBot="1" x14ac:dyDescent="0.2">
      <c r="AD1197" s="98">
        <f t="shared" si="158"/>
        <v>46120</v>
      </c>
      <c r="AE1197" s="7">
        <f t="shared" si="159"/>
        <v>762.68437918800862</v>
      </c>
    </row>
    <row r="1198" spans="30:31" ht="14" thickBot="1" x14ac:dyDescent="0.2">
      <c r="AD1198" s="98">
        <f t="shared" si="158"/>
        <v>46121</v>
      </c>
      <c r="AE1198" s="7">
        <f t="shared" si="159"/>
        <v>764.27320274051965</v>
      </c>
    </row>
    <row r="1199" spans="30:31" ht="14" thickBot="1" x14ac:dyDescent="0.2">
      <c r="AD1199" s="98">
        <f t="shared" si="158"/>
        <v>46122</v>
      </c>
      <c r="AE1199" s="7">
        <f t="shared" si="159"/>
        <v>765.8653361291174</v>
      </c>
    </row>
    <row r="1200" spans="30:31" ht="14" thickBot="1" x14ac:dyDescent="0.2">
      <c r="AD1200" s="98">
        <f t="shared" si="158"/>
        <v>46123</v>
      </c>
      <c r="AE1200" s="7">
        <f t="shared" si="159"/>
        <v>767.46078624885001</v>
      </c>
    </row>
    <row r="1201" spans="30:31" ht="14" thickBot="1" x14ac:dyDescent="0.2">
      <c r="AD1201" s="98">
        <f t="shared" si="158"/>
        <v>46124</v>
      </c>
      <c r="AE1201" s="7">
        <f t="shared" si="159"/>
        <v>769.05956000912943</v>
      </c>
    </row>
    <row r="1202" spans="30:31" ht="14" thickBot="1" x14ac:dyDescent="0.2">
      <c r="AD1202" s="98">
        <f t="shared" si="158"/>
        <v>46125</v>
      </c>
      <c r="AE1202" s="7">
        <f t="shared" si="159"/>
        <v>770.66166433376134</v>
      </c>
    </row>
    <row r="1203" spans="30:31" ht="14" thickBot="1" x14ac:dyDescent="0.2">
      <c r="AD1203" s="98">
        <f t="shared" si="158"/>
        <v>46126</v>
      </c>
      <c r="AE1203" s="7">
        <f t="shared" si="159"/>
        <v>772.26710616097489</v>
      </c>
    </row>
    <row r="1204" spans="30:31" ht="14" thickBot="1" x14ac:dyDescent="0.2">
      <c r="AD1204" s="98">
        <f t="shared" si="158"/>
        <v>46127</v>
      </c>
      <c r="AE1204" s="7">
        <f t="shared" si="159"/>
        <v>773.87589244345315</v>
      </c>
    </row>
    <row r="1205" spans="30:31" ht="14" thickBot="1" x14ac:dyDescent="0.2">
      <c r="AD1205" s="98">
        <f t="shared" si="158"/>
        <v>46128</v>
      </c>
      <c r="AE1205" s="7">
        <f t="shared" ref="AE1205:AE1234" si="160">AE1204*$AI$37</f>
        <v>775.33187015645785</v>
      </c>
    </row>
    <row r="1206" spans="30:31" ht="14" thickBot="1" x14ac:dyDescent="0.2">
      <c r="AD1206" s="98">
        <f t="shared" si="158"/>
        <v>46129</v>
      </c>
      <c r="AE1206" s="7">
        <f t="shared" si="160"/>
        <v>776.79058716024747</v>
      </c>
    </row>
    <row r="1207" spans="30:31" ht="14" thickBot="1" x14ac:dyDescent="0.2">
      <c r="AD1207" s="98">
        <f t="shared" si="158"/>
        <v>46130</v>
      </c>
      <c r="AE1207" s="7">
        <f t="shared" si="160"/>
        <v>778.25204860855047</v>
      </c>
    </row>
    <row r="1208" spans="30:31" ht="14" thickBot="1" x14ac:dyDescent="0.2">
      <c r="AD1208" s="98">
        <f t="shared" si="158"/>
        <v>46131</v>
      </c>
      <c r="AE1208" s="7">
        <f t="shared" si="160"/>
        <v>779.71625966479178</v>
      </c>
    </row>
    <row r="1209" spans="30:31" ht="14" thickBot="1" x14ac:dyDescent="0.2">
      <c r="AD1209" s="98">
        <f t="shared" si="158"/>
        <v>46132</v>
      </c>
      <c r="AE1209" s="7">
        <f t="shared" si="160"/>
        <v>781.18322550211087</v>
      </c>
    </row>
    <row r="1210" spans="30:31" ht="14" thickBot="1" x14ac:dyDescent="0.2">
      <c r="AD1210" s="98">
        <f t="shared" si="158"/>
        <v>46133</v>
      </c>
      <c r="AE1210" s="7">
        <f t="shared" si="160"/>
        <v>782.65295130337995</v>
      </c>
    </row>
    <row r="1211" spans="30:31" ht="14" thickBot="1" x14ac:dyDescent="0.2">
      <c r="AD1211" s="98">
        <f t="shared" si="158"/>
        <v>46134</v>
      </c>
      <c r="AE1211" s="7">
        <f t="shared" si="160"/>
        <v>784.12544226122225</v>
      </c>
    </row>
    <row r="1212" spans="30:31" ht="14" thickBot="1" x14ac:dyDescent="0.2">
      <c r="AD1212" s="98">
        <f t="shared" si="158"/>
        <v>46135</v>
      </c>
      <c r="AE1212" s="7">
        <f t="shared" si="160"/>
        <v>785.60070357803056</v>
      </c>
    </row>
    <row r="1213" spans="30:31" ht="14" thickBot="1" x14ac:dyDescent="0.2">
      <c r="AD1213" s="98">
        <f t="shared" si="158"/>
        <v>46136</v>
      </c>
      <c r="AE1213" s="7">
        <f t="shared" si="160"/>
        <v>787.07874046598545</v>
      </c>
    </row>
    <row r="1214" spans="30:31" ht="14" thickBot="1" x14ac:dyDescent="0.2">
      <c r="AD1214" s="98">
        <f t="shared" si="158"/>
        <v>46137</v>
      </c>
      <c r="AE1214" s="7">
        <f t="shared" si="160"/>
        <v>788.55955814707386</v>
      </c>
    </row>
    <row r="1215" spans="30:31" ht="14" thickBot="1" x14ac:dyDescent="0.2">
      <c r="AD1215" s="98">
        <f t="shared" si="158"/>
        <v>46138</v>
      </c>
      <c r="AE1215" s="7">
        <f t="shared" si="160"/>
        <v>790.04316185310722</v>
      </c>
    </row>
    <row r="1216" spans="30:31" ht="14" thickBot="1" x14ac:dyDescent="0.2">
      <c r="AD1216" s="98">
        <f t="shared" si="158"/>
        <v>46139</v>
      </c>
      <c r="AE1216" s="7">
        <f t="shared" si="160"/>
        <v>791.52955682574031</v>
      </c>
    </row>
    <row r="1217" spans="30:31" ht="14" thickBot="1" x14ac:dyDescent="0.2">
      <c r="AD1217" s="98">
        <f t="shared" si="158"/>
        <v>46140</v>
      </c>
      <c r="AE1217" s="7">
        <f t="shared" si="160"/>
        <v>793.01874831648956</v>
      </c>
    </row>
    <row r="1218" spans="30:31" ht="14" thickBot="1" x14ac:dyDescent="0.2">
      <c r="AD1218" s="98">
        <f t="shared" si="158"/>
        <v>46141</v>
      </c>
      <c r="AE1218" s="7">
        <f t="shared" si="160"/>
        <v>794.51074158675169</v>
      </c>
    </row>
    <row r="1219" spans="30:31" ht="14" thickBot="1" x14ac:dyDescent="0.2">
      <c r="AD1219" s="98">
        <f t="shared" si="158"/>
        <v>46142</v>
      </c>
      <c r="AE1219" s="7">
        <f t="shared" si="160"/>
        <v>796.00554190782213</v>
      </c>
    </row>
    <row r="1220" spans="30:31" ht="14" thickBot="1" x14ac:dyDescent="0.2">
      <c r="AD1220" s="98">
        <f t="shared" si="158"/>
        <v>46143</v>
      </c>
      <c r="AE1220" s="7">
        <f t="shared" si="160"/>
        <v>797.50315456091403</v>
      </c>
    </row>
    <row r="1221" spans="30:31" ht="14" thickBot="1" x14ac:dyDescent="0.2">
      <c r="AD1221" s="98">
        <f t="shared" si="158"/>
        <v>46144</v>
      </c>
      <c r="AE1221" s="7">
        <f t="shared" si="160"/>
        <v>799.00358483717639</v>
      </c>
    </row>
    <row r="1222" spans="30:31" ht="14" thickBot="1" x14ac:dyDescent="0.2">
      <c r="AD1222" s="98">
        <f t="shared" si="158"/>
        <v>46145</v>
      </c>
      <c r="AE1222" s="7">
        <f t="shared" si="160"/>
        <v>800.50683803771312</v>
      </c>
    </row>
    <row r="1223" spans="30:31" ht="14" thickBot="1" x14ac:dyDescent="0.2">
      <c r="AD1223" s="98">
        <f t="shared" si="158"/>
        <v>46146</v>
      </c>
      <c r="AE1223" s="7">
        <f t="shared" si="160"/>
        <v>802.01291947360176</v>
      </c>
    </row>
    <row r="1224" spans="30:31" ht="14" thickBot="1" x14ac:dyDescent="0.2">
      <c r="AD1224" s="98">
        <f t="shared" si="158"/>
        <v>46147</v>
      </c>
      <c r="AE1224" s="7">
        <f t="shared" si="160"/>
        <v>803.52183446591209</v>
      </c>
    </row>
    <row r="1225" spans="30:31" ht="14" thickBot="1" x14ac:dyDescent="0.2">
      <c r="AD1225" s="98">
        <f t="shared" ref="AD1225:AD1288" si="161">AD1224+1</f>
        <v>46148</v>
      </c>
      <c r="AE1225" s="7">
        <f t="shared" si="160"/>
        <v>805.03358834572498</v>
      </c>
    </row>
    <row r="1226" spans="30:31" ht="14" thickBot="1" x14ac:dyDescent="0.2">
      <c r="AD1226" s="98">
        <f t="shared" si="161"/>
        <v>46149</v>
      </c>
      <c r="AE1226" s="7">
        <f t="shared" si="160"/>
        <v>806.54818645415139</v>
      </c>
    </row>
    <row r="1227" spans="30:31" ht="14" thickBot="1" x14ac:dyDescent="0.2">
      <c r="AD1227" s="98">
        <f t="shared" si="161"/>
        <v>46150</v>
      </c>
      <c r="AE1227" s="7">
        <f t="shared" si="160"/>
        <v>808.06563414235086</v>
      </c>
    </row>
    <row r="1228" spans="30:31" ht="14" thickBot="1" x14ac:dyDescent="0.2">
      <c r="AD1228" s="98">
        <f t="shared" si="161"/>
        <v>46151</v>
      </c>
      <c r="AE1228" s="7">
        <f t="shared" si="160"/>
        <v>809.58593677155091</v>
      </c>
    </row>
    <row r="1229" spans="30:31" ht="14" thickBot="1" x14ac:dyDescent="0.2">
      <c r="AD1229" s="98">
        <f t="shared" si="161"/>
        <v>46152</v>
      </c>
      <c r="AE1229" s="7">
        <f t="shared" si="160"/>
        <v>811.10909971306558</v>
      </c>
    </row>
    <row r="1230" spans="30:31" ht="14" thickBot="1" x14ac:dyDescent="0.2">
      <c r="AD1230" s="98">
        <f t="shared" si="161"/>
        <v>46153</v>
      </c>
      <c r="AE1230" s="7">
        <f t="shared" si="160"/>
        <v>812.63512834831454</v>
      </c>
    </row>
    <row r="1231" spans="30:31" ht="14" thickBot="1" x14ac:dyDescent="0.2">
      <c r="AD1231" s="98">
        <f t="shared" si="161"/>
        <v>46154</v>
      </c>
      <c r="AE1231" s="7">
        <f t="shared" si="160"/>
        <v>814.16402806884219</v>
      </c>
    </row>
    <row r="1232" spans="30:31" ht="14" thickBot="1" x14ac:dyDescent="0.2">
      <c r="AD1232" s="98">
        <f t="shared" si="161"/>
        <v>46155</v>
      </c>
      <c r="AE1232" s="7">
        <f t="shared" si="160"/>
        <v>815.69580427633662</v>
      </c>
    </row>
    <row r="1233" spans="30:31" ht="14" thickBot="1" x14ac:dyDescent="0.2">
      <c r="AD1233" s="98">
        <f t="shared" si="161"/>
        <v>46156</v>
      </c>
      <c r="AE1233" s="7">
        <f t="shared" si="160"/>
        <v>817.23046238264874</v>
      </c>
    </row>
    <row r="1234" spans="30:31" ht="14" thickBot="1" x14ac:dyDescent="0.2">
      <c r="AD1234" s="98">
        <f t="shared" si="161"/>
        <v>46157</v>
      </c>
      <c r="AE1234" s="7">
        <f t="shared" si="160"/>
        <v>818.76800780981125</v>
      </c>
    </row>
    <row r="1235" spans="30:31" ht="14" thickBot="1" x14ac:dyDescent="0.2">
      <c r="AD1235" s="98">
        <f t="shared" si="161"/>
        <v>46158</v>
      </c>
      <c r="AE1235" s="7">
        <f t="shared" ref="AE1235:AE1265" si="162">AE1234*$AI$38</f>
        <v>820.35984381253616</v>
      </c>
    </row>
    <row r="1236" spans="30:31" ht="14" thickBot="1" x14ac:dyDescent="0.2">
      <c r="AD1236" s="98">
        <f t="shared" si="161"/>
        <v>46159</v>
      </c>
      <c r="AE1236" s="7">
        <f t="shared" si="162"/>
        <v>821.95477463801353</v>
      </c>
    </row>
    <row r="1237" spans="30:31" ht="14" thickBot="1" x14ac:dyDescent="0.2">
      <c r="AD1237" s="98">
        <f t="shared" si="161"/>
        <v>46160</v>
      </c>
      <c r="AE1237" s="7">
        <f t="shared" si="162"/>
        <v>823.55280630314951</v>
      </c>
    </row>
    <row r="1238" spans="30:31" ht="14" thickBot="1" x14ac:dyDescent="0.2">
      <c r="AD1238" s="98">
        <f t="shared" si="161"/>
        <v>46161</v>
      </c>
      <c r="AE1238" s="7">
        <f t="shared" si="162"/>
        <v>825.15394483654825</v>
      </c>
    </row>
    <row r="1239" spans="30:31" ht="14" thickBot="1" x14ac:dyDescent="0.2">
      <c r="AD1239" s="98">
        <f t="shared" si="161"/>
        <v>46162</v>
      </c>
      <c r="AE1239" s="7">
        <f t="shared" si="162"/>
        <v>826.75819627853468</v>
      </c>
    </row>
    <row r="1240" spans="30:31" ht="14" thickBot="1" x14ac:dyDescent="0.2">
      <c r="AD1240" s="98">
        <f t="shared" si="161"/>
        <v>46163</v>
      </c>
      <c r="AE1240" s="7">
        <f t="shared" si="162"/>
        <v>828.36556668117714</v>
      </c>
    </row>
    <row r="1241" spans="30:31" ht="14" thickBot="1" x14ac:dyDescent="0.2">
      <c r="AD1241" s="98">
        <f t="shared" si="161"/>
        <v>46164</v>
      </c>
      <c r="AE1241" s="7">
        <f t="shared" si="162"/>
        <v>829.97606210831032</v>
      </c>
    </row>
    <row r="1242" spans="30:31" ht="14" thickBot="1" x14ac:dyDescent="0.2">
      <c r="AD1242" s="98">
        <f t="shared" si="161"/>
        <v>46165</v>
      </c>
      <c r="AE1242" s="7">
        <f t="shared" si="162"/>
        <v>831.58968863555822</v>
      </c>
    </row>
    <row r="1243" spans="30:31" ht="14" thickBot="1" x14ac:dyDescent="0.2">
      <c r="AD1243" s="98">
        <f t="shared" si="161"/>
        <v>46166</v>
      </c>
      <c r="AE1243" s="7">
        <f t="shared" si="162"/>
        <v>833.20645235035681</v>
      </c>
    </row>
    <row r="1244" spans="30:31" ht="14" thickBot="1" x14ac:dyDescent="0.2">
      <c r="AD1244" s="98">
        <f t="shared" si="161"/>
        <v>46167</v>
      </c>
      <c r="AE1244" s="7">
        <f t="shared" si="162"/>
        <v>834.82635935197732</v>
      </c>
    </row>
    <row r="1245" spans="30:31" ht="14" thickBot="1" x14ac:dyDescent="0.2">
      <c r="AD1245" s="98">
        <f t="shared" si="161"/>
        <v>46168</v>
      </c>
      <c r="AE1245" s="7">
        <f t="shared" si="162"/>
        <v>836.44941575154894</v>
      </c>
    </row>
    <row r="1246" spans="30:31" ht="14" thickBot="1" x14ac:dyDescent="0.2">
      <c r="AD1246" s="98">
        <f t="shared" si="161"/>
        <v>46169</v>
      </c>
      <c r="AE1246" s="7">
        <f t="shared" si="162"/>
        <v>838.07562767208208</v>
      </c>
    </row>
    <row r="1247" spans="30:31" ht="14" thickBot="1" x14ac:dyDescent="0.2">
      <c r="AD1247" s="98">
        <f t="shared" si="161"/>
        <v>46170</v>
      </c>
      <c r="AE1247" s="7">
        <f t="shared" si="162"/>
        <v>839.7050012484915</v>
      </c>
    </row>
    <row r="1248" spans="30:31" ht="14" thickBot="1" x14ac:dyDescent="0.2">
      <c r="AD1248" s="98">
        <f t="shared" si="161"/>
        <v>46171</v>
      </c>
      <c r="AE1248" s="7">
        <f t="shared" si="162"/>
        <v>841.3375426276192</v>
      </c>
    </row>
    <row r="1249" spans="30:31" ht="14" thickBot="1" x14ac:dyDescent="0.2">
      <c r="AD1249" s="98">
        <f t="shared" si="161"/>
        <v>46172</v>
      </c>
      <c r="AE1249" s="7">
        <f t="shared" si="162"/>
        <v>842.97325796825794</v>
      </c>
    </row>
    <row r="1250" spans="30:31" ht="14" thickBot="1" x14ac:dyDescent="0.2">
      <c r="AD1250" s="98">
        <f t="shared" si="161"/>
        <v>46173</v>
      </c>
      <c r="AE1250" s="7">
        <f t="shared" si="162"/>
        <v>844.6121534411742</v>
      </c>
    </row>
    <row r="1251" spans="30:31" ht="14" thickBot="1" x14ac:dyDescent="0.2">
      <c r="AD1251" s="98">
        <f t="shared" si="161"/>
        <v>46174</v>
      </c>
      <c r="AE1251" s="7">
        <f t="shared" si="162"/>
        <v>846.25423522913161</v>
      </c>
    </row>
    <row r="1252" spans="30:31" ht="14" thickBot="1" x14ac:dyDescent="0.2">
      <c r="AD1252" s="98">
        <f t="shared" si="161"/>
        <v>46175</v>
      </c>
      <c r="AE1252" s="7">
        <f t="shared" si="162"/>
        <v>847.89950952691413</v>
      </c>
    </row>
    <row r="1253" spans="30:31" ht="14" thickBot="1" x14ac:dyDescent="0.2">
      <c r="AD1253" s="98">
        <f t="shared" si="161"/>
        <v>46176</v>
      </c>
      <c r="AE1253" s="7">
        <f t="shared" si="162"/>
        <v>849.54798254134971</v>
      </c>
    </row>
    <row r="1254" spans="30:31" ht="14" thickBot="1" x14ac:dyDescent="0.2">
      <c r="AD1254" s="98">
        <f t="shared" si="161"/>
        <v>46177</v>
      </c>
      <c r="AE1254" s="7">
        <f t="shared" si="162"/>
        <v>851.19966049133347</v>
      </c>
    </row>
    <row r="1255" spans="30:31" ht="14" thickBot="1" x14ac:dyDescent="0.2">
      <c r="AD1255" s="98">
        <f t="shared" si="161"/>
        <v>46178</v>
      </c>
      <c r="AE1255" s="7">
        <f t="shared" si="162"/>
        <v>852.85454960785114</v>
      </c>
    </row>
    <row r="1256" spans="30:31" ht="14" thickBot="1" x14ac:dyDescent="0.2">
      <c r="AD1256" s="98">
        <f t="shared" si="161"/>
        <v>46179</v>
      </c>
      <c r="AE1256" s="7">
        <f t="shared" si="162"/>
        <v>854.51265613400255</v>
      </c>
    </row>
    <row r="1257" spans="30:31" ht="14" thickBot="1" x14ac:dyDescent="0.2">
      <c r="AD1257" s="98">
        <f t="shared" si="161"/>
        <v>46180</v>
      </c>
      <c r="AE1257" s="7">
        <f t="shared" si="162"/>
        <v>856.17398632502545</v>
      </c>
    </row>
    <row r="1258" spans="30:31" ht="14" thickBot="1" x14ac:dyDescent="0.2">
      <c r="AD1258" s="98">
        <f t="shared" si="161"/>
        <v>46181</v>
      </c>
      <c r="AE1258" s="7">
        <f t="shared" si="162"/>
        <v>857.83854644831888</v>
      </c>
    </row>
    <row r="1259" spans="30:31" ht="14" thickBot="1" x14ac:dyDescent="0.2">
      <c r="AD1259" s="98">
        <f t="shared" si="161"/>
        <v>46182</v>
      </c>
      <c r="AE1259" s="7">
        <f t="shared" si="162"/>
        <v>859.50634278346683</v>
      </c>
    </row>
    <row r="1260" spans="30:31" ht="14" thickBot="1" x14ac:dyDescent="0.2">
      <c r="AD1260" s="98">
        <f t="shared" si="161"/>
        <v>46183</v>
      </c>
      <c r="AE1260" s="7">
        <f t="shared" si="162"/>
        <v>861.17738162226192</v>
      </c>
    </row>
    <row r="1261" spans="30:31" ht="14" thickBot="1" x14ac:dyDescent="0.2">
      <c r="AD1261" s="98">
        <f t="shared" si="161"/>
        <v>46184</v>
      </c>
      <c r="AE1261" s="7">
        <f t="shared" si="162"/>
        <v>862.85166926872921</v>
      </c>
    </row>
    <row r="1262" spans="30:31" ht="14" thickBot="1" x14ac:dyDescent="0.2">
      <c r="AD1262" s="98">
        <f t="shared" si="161"/>
        <v>46185</v>
      </c>
      <c r="AE1262" s="7">
        <f t="shared" si="162"/>
        <v>864.52921203915002</v>
      </c>
    </row>
    <row r="1263" spans="30:31" ht="14" thickBot="1" x14ac:dyDescent="0.2">
      <c r="AD1263" s="98">
        <f t="shared" si="161"/>
        <v>46186</v>
      </c>
      <c r="AE1263" s="7">
        <f t="shared" si="162"/>
        <v>866.21001626208556</v>
      </c>
    </row>
    <row r="1264" spans="30:31" ht="14" thickBot="1" x14ac:dyDescent="0.2">
      <c r="AD1264" s="98">
        <f t="shared" si="161"/>
        <v>46187</v>
      </c>
      <c r="AE1264" s="7">
        <f t="shared" si="162"/>
        <v>867.894088278401</v>
      </c>
    </row>
    <row r="1265" spans="30:31" ht="14" thickBot="1" x14ac:dyDescent="0.2">
      <c r="AD1265" s="98">
        <f t="shared" si="161"/>
        <v>46188</v>
      </c>
      <c r="AE1265" s="7">
        <f t="shared" si="162"/>
        <v>869.58143444128939</v>
      </c>
    </row>
    <row r="1266" spans="30:31" ht="14" thickBot="1" x14ac:dyDescent="0.2">
      <c r="AD1266" s="98">
        <f t="shared" si="161"/>
        <v>46189</v>
      </c>
      <c r="AE1266" s="7">
        <f t="shared" ref="AE1266:AE1295" si="163">AE1265*$AI$39</f>
        <v>871.21747350201224</v>
      </c>
    </row>
    <row r="1267" spans="30:31" ht="14" thickBot="1" x14ac:dyDescent="0.2">
      <c r="AD1267" s="98">
        <f t="shared" si="161"/>
        <v>46190</v>
      </c>
      <c r="AE1267" s="7">
        <f t="shared" si="163"/>
        <v>872.85659062270986</v>
      </c>
    </row>
    <row r="1268" spans="30:31" ht="14" thickBot="1" x14ac:dyDescent="0.2">
      <c r="AD1268" s="98">
        <f t="shared" si="161"/>
        <v>46191</v>
      </c>
      <c r="AE1268" s="7">
        <f t="shared" si="163"/>
        <v>874.4987915944746</v>
      </c>
    </row>
    <row r="1269" spans="30:31" ht="14" thickBot="1" x14ac:dyDescent="0.2">
      <c r="AD1269" s="98">
        <f t="shared" si="161"/>
        <v>46192</v>
      </c>
      <c r="AE1269" s="7">
        <f t="shared" si="163"/>
        <v>876.14408221929421</v>
      </c>
    </row>
    <row r="1270" spans="30:31" ht="14" thickBot="1" x14ac:dyDescent="0.2">
      <c r="AD1270" s="98">
        <f t="shared" si="161"/>
        <v>46193</v>
      </c>
      <c r="AE1270" s="7">
        <f t="shared" si="163"/>
        <v>877.79246831007231</v>
      </c>
    </row>
    <row r="1271" spans="30:31" ht="14" thickBot="1" x14ac:dyDescent="0.2">
      <c r="AD1271" s="98">
        <f t="shared" si="161"/>
        <v>46194</v>
      </c>
      <c r="AE1271" s="7">
        <f t="shared" si="163"/>
        <v>879.44395569064898</v>
      </c>
    </row>
    <row r="1272" spans="30:31" ht="14" thickBot="1" x14ac:dyDescent="0.2">
      <c r="AD1272" s="98">
        <f t="shared" si="161"/>
        <v>46195</v>
      </c>
      <c r="AE1272" s="7">
        <f t="shared" si="163"/>
        <v>881.09855019582142</v>
      </c>
    </row>
    <row r="1273" spans="30:31" ht="14" thickBot="1" x14ac:dyDescent="0.2">
      <c r="AD1273" s="98">
        <f t="shared" si="161"/>
        <v>46196</v>
      </c>
      <c r="AE1273" s="7">
        <f t="shared" si="163"/>
        <v>882.75625767136432</v>
      </c>
    </row>
    <row r="1274" spans="30:31" ht="14" thickBot="1" x14ac:dyDescent="0.2">
      <c r="AD1274" s="98">
        <f t="shared" si="161"/>
        <v>46197</v>
      </c>
      <c r="AE1274" s="7">
        <f t="shared" si="163"/>
        <v>884.41708397405068</v>
      </c>
    </row>
    <row r="1275" spans="30:31" ht="14" thickBot="1" x14ac:dyDescent="0.2">
      <c r="AD1275" s="98">
        <f t="shared" si="161"/>
        <v>46198</v>
      </c>
      <c r="AE1275" s="7">
        <f t="shared" si="163"/>
        <v>886.08103497167269</v>
      </c>
    </row>
    <row r="1276" spans="30:31" ht="14" thickBot="1" x14ac:dyDescent="0.2">
      <c r="AD1276" s="98">
        <f t="shared" si="161"/>
        <v>46199</v>
      </c>
      <c r="AE1276" s="7">
        <f t="shared" si="163"/>
        <v>887.748116543062</v>
      </c>
    </row>
    <row r="1277" spans="30:31" ht="14" thickBot="1" x14ac:dyDescent="0.2">
      <c r="AD1277" s="98">
        <f t="shared" si="161"/>
        <v>46200</v>
      </c>
      <c r="AE1277" s="7">
        <f t="shared" si="163"/>
        <v>889.41833457811094</v>
      </c>
    </row>
    <row r="1278" spans="30:31" ht="14" thickBot="1" x14ac:dyDescent="0.2">
      <c r="AD1278" s="98">
        <f t="shared" si="161"/>
        <v>46201</v>
      </c>
      <c r="AE1278" s="7">
        <f t="shared" si="163"/>
        <v>891.09169497779305</v>
      </c>
    </row>
    <row r="1279" spans="30:31" ht="14" thickBot="1" x14ac:dyDescent="0.2">
      <c r="AD1279" s="98">
        <f t="shared" si="161"/>
        <v>46202</v>
      </c>
      <c r="AE1279" s="7">
        <f t="shared" si="163"/>
        <v>892.76820365418405</v>
      </c>
    </row>
    <row r="1280" spans="30:31" ht="14" thickBot="1" x14ac:dyDescent="0.2">
      <c r="AD1280" s="98">
        <f t="shared" si="161"/>
        <v>46203</v>
      </c>
      <c r="AE1280" s="7">
        <f t="shared" si="163"/>
        <v>894.44786653048277</v>
      </c>
    </row>
    <row r="1281" spans="30:31" ht="14" thickBot="1" x14ac:dyDescent="0.2">
      <c r="AD1281" s="98">
        <f t="shared" si="161"/>
        <v>46204</v>
      </c>
      <c r="AE1281" s="7">
        <f t="shared" si="163"/>
        <v>896.13068954103187</v>
      </c>
    </row>
    <row r="1282" spans="30:31" ht="14" thickBot="1" x14ac:dyDescent="0.2">
      <c r="AD1282" s="98">
        <f t="shared" si="161"/>
        <v>46205</v>
      </c>
      <c r="AE1282" s="7">
        <f t="shared" si="163"/>
        <v>897.81667863133896</v>
      </c>
    </row>
    <row r="1283" spans="30:31" ht="14" thickBot="1" x14ac:dyDescent="0.2">
      <c r="AD1283" s="98">
        <f t="shared" si="161"/>
        <v>46206</v>
      </c>
      <c r="AE1283" s="7">
        <f t="shared" si="163"/>
        <v>899.50583975809764</v>
      </c>
    </row>
    <row r="1284" spans="30:31" ht="14" thickBot="1" x14ac:dyDescent="0.2">
      <c r="AD1284" s="98">
        <f t="shared" si="161"/>
        <v>46207</v>
      </c>
      <c r="AE1284" s="7">
        <f t="shared" si="163"/>
        <v>901.19817888920852</v>
      </c>
    </row>
    <row r="1285" spans="30:31" ht="14" thickBot="1" x14ac:dyDescent="0.2">
      <c r="AD1285" s="98">
        <f t="shared" si="161"/>
        <v>46208</v>
      </c>
      <c r="AE1285" s="7">
        <f t="shared" si="163"/>
        <v>902.89370200380017</v>
      </c>
    </row>
    <row r="1286" spans="30:31" ht="14" thickBot="1" x14ac:dyDescent="0.2">
      <c r="AD1286" s="98">
        <f t="shared" si="161"/>
        <v>46209</v>
      </c>
      <c r="AE1286" s="7">
        <f t="shared" si="163"/>
        <v>904.59241509225058</v>
      </c>
    </row>
    <row r="1287" spans="30:31" ht="14" thickBot="1" x14ac:dyDescent="0.2">
      <c r="AD1287" s="98">
        <f t="shared" si="161"/>
        <v>46210</v>
      </c>
      <c r="AE1287" s="7">
        <f t="shared" si="163"/>
        <v>906.29432415620772</v>
      </c>
    </row>
    <row r="1288" spans="30:31" ht="14" thickBot="1" x14ac:dyDescent="0.2">
      <c r="AD1288" s="98">
        <f t="shared" si="161"/>
        <v>46211</v>
      </c>
      <c r="AE1288" s="7">
        <f t="shared" si="163"/>
        <v>907.99943520861143</v>
      </c>
    </row>
    <row r="1289" spans="30:31" ht="14" thickBot="1" x14ac:dyDescent="0.2">
      <c r="AD1289" s="98">
        <f t="shared" ref="AD1289:AD1352" si="164">AD1288+1</f>
        <v>46212</v>
      </c>
      <c r="AE1289" s="7">
        <f t="shared" si="163"/>
        <v>909.70775427371427</v>
      </c>
    </row>
    <row r="1290" spans="30:31" ht="14" thickBot="1" x14ac:dyDescent="0.2">
      <c r="AD1290" s="98">
        <f t="shared" si="164"/>
        <v>46213</v>
      </c>
      <c r="AE1290" s="7">
        <f t="shared" si="163"/>
        <v>911.41928738710294</v>
      </c>
    </row>
    <row r="1291" spans="30:31" ht="14" thickBot="1" x14ac:dyDescent="0.2">
      <c r="AD1291" s="98">
        <f t="shared" si="164"/>
        <v>46214</v>
      </c>
      <c r="AE1291" s="7">
        <f t="shared" si="163"/>
        <v>913.1340405957194</v>
      </c>
    </row>
    <row r="1292" spans="30:31" ht="14" thickBot="1" x14ac:dyDescent="0.2">
      <c r="AD1292" s="98">
        <f t="shared" si="164"/>
        <v>46215</v>
      </c>
      <c r="AE1292" s="7">
        <f t="shared" si="163"/>
        <v>914.85201995788248</v>
      </c>
    </row>
    <row r="1293" spans="30:31" ht="14" thickBot="1" x14ac:dyDescent="0.2">
      <c r="AD1293" s="98">
        <f t="shared" si="164"/>
        <v>46216</v>
      </c>
      <c r="AE1293" s="7">
        <f t="shared" si="163"/>
        <v>916.57323154330913</v>
      </c>
    </row>
    <row r="1294" spans="30:31" ht="14" thickBot="1" x14ac:dyDescent="0.2">
      <c r="AD1294" s="98">
        <f t="shared" si="164"/>
        <v>46217</v>
      </c>
      <c r="AE1294" s="7">
        <f t="shared" si="163"/>
        <v>918.29768143313606</v>
      </c>
    </row>
    <row r="1295" spans="30:31" ht="14" thickBot="1" x14ac:dyDescent="0.2">
      <c r="AD1295" s="98">
        <f t="shared" si="164"/>
        <v>46218</v>
      </c>
      <c r="AE1295" s="7">
        <f t="shared" si="163"/>
        <v>920.02537571994094</v>
      </c>
    </row>
    <row r="1296" spans="30:31" ht="14" thickBot="1" x14ac:dyDescent="0.2">
      <c r="AD1296" s="98">
        <f t="shared" si="164"/>
        <v>46219</v>
      </c>
      <c r="AE1296" s="7">
        <f t="shared" ref="AE1296:AE1326" si="165">AE1295*$AI$40</f>
        <v>921.81407471956243</v>
      </c>
    </row>
    <row r="1297" spans="30:31" ht="14" thickBot="1" x14ac:dyDescent="0.2">
      <c r="AD1297" s="98">
        <f t="shared" si="164"/>
        <v>46220</v>
      </c>
      <c r="AE1297" s="7">
        <f t="shared" si="165"/>
        <v>923.60625127990738</v>
      </c>
    </row>
    <row r="1298" spans="30:31" ht="14" thickBot="1" x14ac:dyDescent="0.2">
      <c r="AD1298" s="98">
        <f t="shared" si="164"/>
        <v>46221</v>
      </c>
      <c r="AE1298" s="7">
        <f t="shared" si="165"/>
        <v>925.40191216199526</v>
      </c>
    </row>
    <row r="1299" spans="30:31" ht="14" thickBot="1" x14ac:dyDescent="0.2">
      <c r="AD1299" s="98">
        <f t="shared" si="164"/>
        <v>46222</v>
      </c>
      <c r="AE1299" s="7">
        <f t="shared" si="165"/>
        <v>927.20106413999008</v>
      </c>
    </row>
    <row r="1300" spans="30:31" ht="14" thickBot="1" x14ac:dyDescent="0.2">
      <c r="AD1300" s="98">
        <f t="shared" si="164"/>
        <v>46223</v>
      </c>
      <c r="AE1300" s="7">
        <f t="shared" si="165"/>
        <v>929.00371400122606</v>
      </c>
    </row>
    <row r="1301" spans="30:31" ht="14" thickBot="1" x14ac:dyDescent="0.2">
      <c r="AD1301" s="98">
        <f t="shared" si="164"/>
        <v>46224</v>
      </c>
      <c r="AE1301" s="7">
        <f t="shared" si="165"/>
        <v>930.80986854623336</v>
      </c>
    </row>
    <row r="1302" spans="30:31" ht="14" thickBot="1" x14ac:dyDescent="0.2">
      <c r="AD1302" s="98">
        <f t="shared" si="164"/>
        <v>46225</v>
      </c>
      <c r="AE1302" s="7">
        <f t="shared" si="165"/>
        <v>932.61953458876349</v>
      </c>
    </row>
    <row r="1303" spans="30:31" ht="14" thickBot="1" x14ac:dyDescent="0.2">
      <c r="AD1303" s="98">
        <f t="shared" si="164"/>
        <v>46226</v>
      </c>
      <c r="AE1303" s="7">
        <f t="shared" si="165"/>
        <v>934.43271895581529</v>
      </c>
    </row>
    <row r="1304" spans="30:31" ht="14" thickBot="1" x14ac:dyDescent="0.2">
      <c r="AD1304" s="98">
        <f t="shared" si="164"/>
        <v>46227</v>
      </c>
      <c r="AE1304" s="7">
        <f t="shared" si="165"/>
        <v>936.24942848766045</v>
      </c>
    </row>
    <row r="1305" spans="30:31" ht="14" thickBot="1" x14ac:dyDescent="0.2">
      <c r="AD1305" s="98">
        <f t="shared" si="164"/>
        <v>46228</v>
      </c>
      <c r="AE1305" s="7">
        <f t="shared" si="165"/>
        <v>938.0696700378694</v>
      </c>
    </row>
    <row r="1306" spans="30:31" ht="14" thickBot="1" x14ac:dyDescent="0.2">
      <c r="AD1306" s="98">
        <f t="shared" si="164"/>
        <v>46229</v>
      </c>
      <c r="AE1306" s="7">
        <f t="shared" si="165"/>
        <v>939.89345047333723</v>
      </c>
    </row>
    <row r="1307" spans="30:31" ht="14" thickBot="1" x14ac:dyDescent="0.2">
      <c r="AD1307" s="98">
        <f t="shared" si="164"/>
        <v>46230</v>
      </c>
      <c r="AE1307" s="7">
        <f t="shared" si="165"/>
        <v>941.72077667430949</v>
      </c>
    </row>
    <row r="1308" spans="30:31" ht="14" thickBot="1" x14ac:dyDescent="0.2">
      <c r="AD1308" s="98">
        <f t="shared" si="164"/>
        <v>46231</v>
      </c>
      <c r="AE1308" s="7">
        <f t="shared" si="165"/>
        <v>943.55165553440827</v>
      </c>
    </row>
    <row r="1309" spans="30:31" ht="14" thickBot="1" x14ac:dyDescent="0.2">
      <c r="AD1309" s="98">
        <f t="shared" si="164"/>
        <v>46232</v>
      </c>
      <c r="AE1309" s="7">
        <f t="shared" si="165"/>
        <v>945.38609396065806</v>
      </c>
    </row>
    <row r="1310" spans="30:31" ht="14" thickBot="1" x14ac:dyDescent="0.2">
      <c r="AD1310" s="98">
        <f t="shared" si="164"/>
        <v>46233</v>
      </c>
      <c r="AE1310" s="7">
        <f t="shared" si="165"/>
        <v>947.22409887351193</v>
      </c>
    </row>
    <row r="1311" spans="30:31" ht="14" thickBot="1" x14ac:dyDescent="0.2">
      <c r="AD1311" s="98">
        <f t="shared" si="164"/>
        <v>46234</v>
      </c>
      <c r="AE1311" s="7">
        <f t="shared" si="165"/>
        <v>949.06567720687758</v>
      </c>
    </row>
    <row r="1312" spans="30:31" ht="14" thickBot="1" x14ac:dyDescent="0.2">
      <c r="AD1312" s="98">
        <f t="shared" si="164"/>
        <v>46235</v>
      </c>
      <c r="AE1312" s="7">
        <f t="shared" si="165"/>
        <v>950.91083590814344</v>
      </c>
    </row>
    <row r="1313" spans="30:31" ht="14" thickBot="1" x14ac:dyDescent="0.2">
      <c r="AD1313" s="98">
        <f t="shared" si="164"/>
        <v>46236</v>
      </c>
      <c r="AE1313" s="7">
        <f t="shared" si="165"/>
        <v>952.75958193820497</v>
      </c>
    </row>
    <row r="1314" spans="30:31" ht="14" thickBot="1" x14ac:dyDescent="0.2">
      <c r="AD1314" s="98">
        <f t="shared" si="164"/>
        <v>46237</v>
      </c>
      <c r="AE1314" s="7">
        <f t="shared" si="165"/>
        <v>954.61192227149093</v>
      </c>
    </row>
    <row r="1315" spans="30:31" ht="14" thickBot="1" x14ac:dyDescent="0.2">
      <c r="AD1315" s="98">
        <f t="shared" si="164"/>
        <v>46238</v>
      </c>
      <c r="AE1315" s="7">
        <f t="shared" si="165"/>
        <v>956.46786389598969</v>
      </c>
    </row>
    <row r="1316" spans="30:31" ht="14" thickBot="1" x14ac:dyDescent="0.2">
      <c r="AD1316" s="98">
        <f t="shared" si="164"/>
        <v>46239</v>
      </c>
      <c r="AE1316" s="7">
        <f t="shared" si="165"/>
        <v>958.32741381327548</v>
      </c>
    </row>
    <row r="1317" spans="30:31" ht="14" thickBot="1" x14ac:dyDescent="0.2">
      <c r="AD1317" s="98">
        <f t="shared" si="164"/>
        <v>46240</v>
      </c>
      <c r="AE1317" s="7">
        <f t="shared" si="165"/>
        <v>960.19057903853491</v>
      </c>
    </row>
    <row r="1318" spans="30:31" ht="14" thickBot="1" x14ac:dyDescent="0.2">
      <c r="AD1318" s="98">
        <f t="shared" si="164"/>
        <v>46241</v>
      </c>
      <c r="AE1318" s="7">
        <f t="shared" si="165"/>
        <v>962.05736660059335</v>
      </c>
    </row>
    <row r="1319" spans="30:31" ht="14" thickBot="1" x14ac:dyDescent="0.2">
      <c r="AD1319" s="98">
        <f t="shared" si="164"/>
        <v>46242</v>
      </c>
      <c r="AE1319" s="7">
        <f t="shared" si="165"/>
        <v>963.92778354194172</v>
      </c>
    </row>
    <row r="1320" spans="30:31" ht="14" thickBot="1" x14ac:dyDescent="0.2">
      <c r="AD1320" s="98">
        <f t="shared" si="164"/>
        <v>46243</v>
      </c>
      <c r="AE1320" s="7">
        <f t="shared" si="165"/>
        <v>965.80183691876255</v>
      </c>
    </row>
    <row r="1321" spans="30:31" ht="14" thickBot="1" x14ac:dyDescent="0.2">
      <c r="AD1321" s="98">
        <f t="shared" si="164"/>
        <v>46244</v>
      </c>
      <c r="AE1321" s="7">
        <f t="shared" si="165"/>
        <v>967.67953380095707</v>
      </c>
    </row>
    <row r="1322" spans="30:31" ht="14" thickBot="1" x14ac:dyDescent="0.2">
      <c r="AD1322" s="98">
        <f t="shared" si="164"/>
        <v>46245</v>
      </c>
      <c r="AE1322" s="7">
        <f t="shared" si="165"/>
        <v>969.56088127217163</v>
      </c>
    </row>
    <row r="1323" spans="30:31" ht="14" thickBot="1" x14ac:dyDescent="0.2">
      <c r="AD1323" s="98">
        <f t="shared" si="164"/>
        <v>46246</v>
      </c>
      <c r="AE1323" s="7">
        <f t="shared" si="165"/>
        <v>971.44588642982455</v>
      </c>
    </row>
    <row r="1324" spans="30:31" ht="14" thickBot="1" x14ac:dyDescent="0.2">
      <c r="AD1324" s="98">
        <f t="shared" si="164"/>
        <v>46247</v>
      </c>
      <c r="AE1324" s="7">
        <f t="shared" si="165"/>
        <v>973.33455638513283</v>
      </c>
    </row>
    <row r="1325" spans="30:31" ht="14" thickBot="1" x14ac:dyDescent="0.2">
      <c r="AD1325" s="98">
        <f t="shared" si="164"/>
        <v>46248</v>
      </c>
      <c r="AE1325" s="7">
        <f t="shared" si="165"/>
        <v>975.22689826313888</v>
      </c>
    </row>
    <row r="1326" spans="30:31" ht="14" thickBot="1" x14ac:dyDescent="0.2">
      <c r="AD1326" s="98">
        <f t="shared" si="164"/>
        <v>46249</v>
      </c>
      <c r="AE1326" s="7">
        <f t="shared" si="165"/>
        <v>977.12291920273765</v>
      </c>
    </row>
    <row r="1327" spans="30:31" ht="14" thickBot="1" x14ac:dyDescent="0.2">
      <c r="AD1327" s="98">
        <f t="shared" si="164"/>
        <v>46250</v>
      </c>
      <c r="AE1327" s="7">
        <f t="shared" ref="AE1327:AE1357" si="166">AE1326*$AI$41</f>
        <v>978.96128787026828</v>
      </c>
    </row>
    <row r="1328" spans="30:31" ht="14" thickBot="1" x14ac:dyDescent="0.2">
      <c r="AD1328" s="98">
        <f t="shared" si="164"/>
        <v>46251</v>
      </c>
      <c r="AE1328" s="7">
        <f t="shared" si="166"/>
        <v>980.80311526268531</v>
      </c>
    </row>
    <row r="1329" spans="30:31" ht="14" thickBot="1" x14ac:dyDescent="0.2">
      <c r="AD1329" s="98">
        <f t="shared" si="164"/>
        <v>46252</v>
      </c>
      <c r="AE1329" s="7">
        <f t="shared" si="166"/>
        <v>982.64840788726781</v>
      </c>
    </row>
    <row r="1330" spans="30:31" ht="14" thickBot="1" x14ac:dyDescent="0.2">
      <c r="AD1330" s="98">
        <f t="shared" si="164"/>
        <v>46253</v>
      </c>
      <c r="AE1330" s="7">
        <f t="shared" si="166"/>
        <v>984.49717226353766</v>
      </c>
    </row>
    <row r="1331" spans="30:31" ht="14" thickBot="1" x14ac:dyDescent="0.2">
      <c r="AD1331" s="98">
        <f t="shared" si="164"/>
        <v>46254</v>
      </c>
      <c r="AE1331" s="7">
        <f t="shared" si="166"/>
        <v>986.34941492328255</v>
      </c>
    </row>
    <row r="1332" spans="30:31" ht="14" thickBot="1" x14ac:dyDescent="0.2">
      <c r="AD1332" s="98">
        <f t="shared" si="164"/>
        <v>46255</v>
      </c>
      <c r="AE1332" s="7">
        <f t="shared" si="166"/>
        <v>988.20514241057924</v>
      </c>
    </row>
    <row r="1333" spans="30:31" ht="14" thickBot="1" x14ac:dyDescent="0.2">
      <c r="AD1333" s="98">
        <f t="shared" si="164"/>
        <v>46256</v>
      </c>
      <c r="AE1333" s="7">
        <f t="shared" si="166"/>
        <v>990.06436128181656</v>
      </c>
    </row>
    <row r="1334" spans="30:31" ht="14" thickBot="1" x14ac:dyDescent="0.2">
      <c r="AD1334" s="98">
        <f t="shared" si="164"/>
        <v>46257</v>
      </c>
      <c r="AE1334" s="7">
        <f t="shared" si="166"/>
        <v>991.92707810571858</v>
      </c>
    </row>
    <row r="1335" spans="30:31" ht="14" thickBot="1" x14ac:dyDescent="0.2">
      <c r="AD1335" s="98">
        <f t="shared" si="164"/>
        <v>46258</v>
      </c>
      <c r="AE1335" s="7">
        <f t="shared" si="166"/>
        <v>993.79329946336782</v>
      </c>
    </row>
    <row r="1336" spans="30:31" ht="14" thickBot="1" x14ac:dyDescent="0.2">
      <c r="AD1336" s="98">
        <f t="shared" si="164"/>
        <v>46259</v>
      </c>
      <c r="AE1336" s="7">
        <f t="shared" si="166"/>
        <v>995.66303194822854</v>
      </c>
    </row>
    <row r="1337" spans="30:31" ht="14" thickBot="1" x14ac:dyDescent="0.2">
      <c r="AD1337" s="98">
        <f t="shared" si="164"/>
        <v>46260</v>
      </c>
      <c r="AE1337" s="7">
        <f t="shared" si="166"/>
        <v>997.53628216617005</v>
      </c>
    </row>
    <row r="1338" spans="30:31" ht="14" thickBot="1" x14ac:dyDescent="0.2">
      <c r="AD1338" s="98">
        <f t="shared" si="164"/>
        <v>46261</v>
      </c>
      <c r="AE1338" s="7">
        <f t="shared" si="166"/>
        <v>999.41305673548993</v>
      </c>
    </row>
    <row r="1339" spans="30:31" ht="14" thickBot="1" x14ac:dyDescent="0.2">
      <c r="AD1339" s="98">
        <f t="shared" si="164"/>
        <v>46262</v>
      </c>
      <c r="AE1339" s="7">
        <f t="shared" si="166"/>
        <v>1001.2933622869375</v>
      </c>
    </row>
    <row r="1340" spans="30:31" ht="14" thickBot="1" x14ac:dyDescent="0.2">
      <c r="AD1340" s="98">
        <f t="shared" si="164"/>
        <v>46263</v>
      </c>
      <c r="AE1340" s="7">
        <f t="shared" si="166"/>
        <v>1003.1772054637372</v>
      </c>
    </row>
    <row r="1341" spans="30:31" ht="14" thickBot="1" x14ac:dyDescent="0.2">
      <c r="AD1341" s="98">
        <f t="shared" si="164"/>
        <v>46264</v>
      </c>
      <c r="AE1341" s="7">
        <f t="shared" si="166"/>
        <v>1005.0645929216122</v>
      </c>
    </row>
    <row r="1342" spans="30:31" ht="14" thickBot="1" x14ac:dyDescent="0.2">
      <c r="AD1342" s="98">
        <f t="shared" si="164"/>
        <v>46265</v>
      </c>
      <c r="AE1342" s="7">
        <f t="shared" si="166"/>
        <v>1006.9555313288078</v>
      </c>
    </row>
    <row r="1343" spans="30:31" ht="14" thickBot="1" x14ac:dyDescent="0.2">
      <c r="AD1343" s="98">
        <f t="shared" si="164"/>
        <v>46266</v>
      </c>
      <c r="AE1343" s="7">
        <f t="shared" si="166"/>
        <v>1008.8500273661149</v>
      </c>
    </row>
    <row r="1344" spans="30:31" ht="14" thickBot="1" x14ac:dyDescent="0.2">
      <c r="AD1344" s="98">
        <f t="shared" si="164"/>
        <v>46267</v>
      </c>
      <c r="AE1344" s="7">
        <f t="shared" si="166"/>
        <v>1010.7480877268938</v>
      </c>
    </row>
    <row r="1345" spans="30:31" ht="14" thickBot="1" x14ac:dyDescent="0.2">
      <c r="AD1345" s="98">
        <f t="shared" si="164"/>
        <v>46268</v>
      </c>
      <c r="AE1345" s="7">
        <f t="shared" si="166"/>
        <v>1012.6497191170977</v>
      </c>
    </row>
    <row r="1346" spans="30:31" ht="14" thickBot="1" x14ac:dyDescent="0.2">
      <c r="AD1346" s="98">
        <f t="shared" si="164"/>
        <v>46269</v>
      </c>
      <c r="AE1346" s="7">
        <f t="shared" si="166"/>
        <v>1014.5549282552964</v>
      </c>
    </row>
    <row r="1347" spans="30:31" ht="14" thickBot="1" x14ac:dyDescent="0.2">
      <c r="AD1347" s="98">
        <f t="shared" si="164"/>
        <v>46270</v>
      </c>
      <c r="AE1347" s="7">
        <f t="shared" si="166"/>
        <v>1016.4637218727004</v>
      </c>
    </row>
    <row r="1348" spans="30:31" ht="14" thickBot="1" x14ac:dyDescent="0.2">
      <c r="AD1348" s="98">
        <f t="shared" si="164"/>
        <v>46271</v>
      </c>
      <c r="AE1348" s="7">
        <f t="shared" si="166"/>
        <v>1018.3761067131838</v>
      </c>
    </row>
    <row r="1349" spans="30:31" ht="14" thickBot="1" x14ac:dyDescent="0.2">
      <c r="AD1349" s="98">
        <f t="shared" si="164"/>
        <v>46272</v>
      </c>
      <c r="AE1349" s="7">
        <f t="shared" si="166"/>
        <v>1020.2920895333093</v>
      </c>
    </row>
    <row r="1350" spans="30:31" ht="14" thickBot="1" x14ac:dyDescent="0.2">
      <c r="AD1350" s="98">
        <f t="shared" si="164"/>
        <v>46273</v>
      </c>
      <c r="AE1350" s="7">
        <f t="shared" si="166"/>
        <v>1022.211677102351</v>
      </c>
    </row>
    <row r="1351" spans="30:31" ht="14" thickBot="1" x14ac:dyDescent="0.2">
      <c r="AD1351" s="98">
        <f t="shared" si="164"/>
        <v>46274</v>
      </c>
      <c r="AE1351" s="7">
        <f t="shared" si="166"/>
        <v>1024.134876202319</v>
      </c>
    </row>
    <row r="1352" spans="30:31" ht="14" thickBot="1" x14ac:dyDescent="0.2">
      <c r="AD1352" s="98">
        <f t="shared" si="164"/>
        <v>46275</v>
      </c>
      <c r="AE1352" s="7">
        <f t="shared" si="166"/>
        <v>1026.0616936279832</v>
      </c>
    </row>
    <row r="1353" spans="30:31" ht="14" thickBot="1" x14ac:dyDescent="0.2">
      <c r="AD1353" s="98">
        <f t="shared" ref="AD1353:AD1416" si="167">AD1352+1</f>
        <v>46276</v>
      </c>
      <c r="AE1353" s="7">
        <f t="shared" si="166"/>
        <v>1027.9921361868971</v>
      </c>
    </row>
    <row r="1354" spans="30:31" ht="14" thickBot="1" x14ac:dyDescent="0.2">
      <c r="AD1354" s="98">
        <f t="shared" si="167"/>
        <v>46277</v>
      </c>
      <c r="AE1354" s="7">
        <f t="shared" si="166"/>
        <v>1029.926210699422</v>
      </c>
    </row>
    <row r="1355" spans="30:31" ht="14" thickBot="1" x14ac:dyDescent="0.2">
      <c r="AD1355" s="98">
        <f t="shared" si="167"/>
        <v>46278</v>
      </c>
      <c r="AE1355" s="7">
        <f t="shared" si="166"/>
        <v>1031.863923998751</v>
      </c>
    </row>
    <row r="1356" spans="30:31" ht="14" thickBot="1" x14ac:dyDescent="0.2">
      <c r="AD1356" s="98">
        <f t="shared" si="167"/>
        <v>46279</v>
      </c>
      <c r="AE1356" s="7">
        <f t="shared" si="166"/>
        <v>1033.8052829309336</v>
      </c>
    </row>
    <row r="1357" spans="30:31" ht="14" thickBot="1" x14ac:dyDescent="0.2">
      <c r="AD1357" s="98">
        <f t="shared" si="167"/>
        <v>46280</v>
      </c>
      <c r="AE1357" s="7">
        <f t="shared" si="166"/>
        <v>1035.7502943548991</v>
      </c>
    </row>
    <row r="1358" spans="30:31" ht="14" thickBot="1" x14ac:dyDescent="0.2">
      <c r="AD1358" s="98">
        <f t="shared" si="167"/>
        <v>46281</v>
      </c>
      <c r="AE1358" s="7">
        <f t="shared" ref="AE1358:AE1387" si="168">AE1357*$AI$42</f>
        <v>1037.6989651424815</v>
      </c>
    </row>
    <row r="1359" spans="30:31" ht="14" thickBot="1" x14ac:dyDescent="0.2">
      <c r="AD1359" s="98">
        <f t="shared" si="167"/>
        <v>46282</v>
      </c>
      <c r="AE1359" s="7">
        <f t="shared" si="168"/>
        <v>1039.6513021784435</v>
      </c>
    </row>
    <row r="1360" spans="30:31" ht="14" thickBot="1" x14ac:dyDescent="0.2">
      <c r="AD1360" s="98">
        <f t="shared" si="167"/>
        <v>46283</v>
      </c>
      <c r="AE1360" s="7">
        <f t="shared" si="168"/>
        <v>1041.6073123605011</v>
      </c>
    </row>
    <row r="1361" spans="30:31" ht="14" thickBot="1" x14ac:dyDescent="0.2">
      <c r="AD1361" s="98">
        <f t="shared" si="167"/>
        <v>46284</v>
      </c>
      <c r="AE1361" s="7">
        <f t="shared" si="168"/>
        <v>1043.567002599347</v>
      </c>
    </row>
    <row r="1362" spans="30:31" ht="14" thickBot="1" x14ac:dyDescent="0.2">
      <c r="AD1362" s="98">
        <f t="shared" si="167"/>
        <v>46285</v>
      </c>
      <c r="AE1362" s="7">
        <f t="shared" si="168"/>
        <v>1045.5303798186767</v>
      </c>
    </row>
    <row r="1363" spans="30:31" ht="14" thickBot="1" x14ac:dyDescent="0.2">
      <c r="AD1363" s="98">
        <f t="shared" si="167"/>
        <v>46286</v>
      </c>
      <c r="AE1363" s="7">
        <f t="shared" si="168"/>
        <v>1047.4974509552112</v>
      </c>
    </row>
    <row r="1364" spans="30:31" ht="14" thickBot="1" x14ac:dyDescent="0.2">
      <c r="AD1364" s="98">
        <f t="shared" si="167"/>
        <v>46287</v>
      </c>
      <c r="AE1364" s="7">
        <f t="shared" si="168"/>
        <v>1049.4682229587227</v>
      </c>
    </row>
    <row r="1365" spans="30:31" ht="14" thickBot="1" x14ac:dyDescent="0.2">
      <c r="AD1365" s="98">
        <f t="shared" si="167"/>
        <v>46288</v>
      </c>
      <c r="AE1365" s="7">
        <f t="shared" si="168"/>
        <v>1051.4427027920588</v>
      </c>
    </row>
    <row r="1366" spans="30:31" ht="14" thickBot="1" x14ac:dyDescent="0.2">
      <c r="AD1366" s="98">
        <f t="shared" si="167"/>
        <v>46289</v>
      </c>
      <c r="AE1366" s="7">
        <f t="shared" si="168"/>
        <v>1053.4208974311668</v>
      </c>
    </row>
    <row r="1367" spans="30:31" ht="14" thickBot="1" x14ac:dyDescent="0.2">
      <c r="AD1367" s="98">
        <f t="shared" si="167"/>
        <v>46290</v>
      </c>
      <c r="AE1367" s="7">
        <f t="shared" si="168"/>
        <v>1055.4028138651192</v>
      </c>
    </row>
    <row r="1368" spans="30:31" ht="14" thickBot="1" x14ac:dyDescent="0.2">
      <c r="AD1368" s="98">
        <f t="shared" si="167"/>
        <v>46291</v>
      </c>
      <c r="AE1368" s="7">
        <f t="shared" si="168"/>
        <v>1057.3884590961372</v>
      </c>
    </row>
    <row r="1369" spans="30:31" ht="14" thickBot="1" x14ac:dyDescent="0.2">
      <c r="AD1369" s="98">
        <f t="shared" si="167"/>
        <v>46292</v>
      </c>
      <c r="AE1369" s="7">
        <f t="shared" si="168"/>
        <v>1059.3778401396162</v>
      </c>
    </row>
    <row r="1370" spans="30:31" ht="14" thickBot="1" x14ac:dyDescent="0.2">
      <c r="AD1370" s="98">
        <f t="shared" si="167"/>
        <v>46293</v>
      </c>
      <c r="AE1370" s="7">
        <f t="shared" si="168"/>
        <v>1061.3709640241505</v>
      </c>
    </row>
    <row r="1371" spans="30:31" ht="14" thickBot="1" x14ac:dyDescent="0.2">
      <c r="AD1371" s="98">
        <f t="shared" si="167"/>
        <v>46294</v>
      </c>
      <c r="AE1371" s="7">
        <f t="shared" si="168"/>
        <v>1063.367837791558</v>
      </c>
    </row>
    <row r="1372" spans="30:31" ht="14" thickBot="1" x14ac:dyDescent="0.2">
      <c r="AD1372" s="98">
        <f t="shared" si="167"/>
        <v>46295</v>
      </c>
      <c r="AE1372" s="7">
        <f t="shared" si="168"/>
        <v>1065.3684684969055</v>
      </c>
    </row>
    <row r="1373" spans="30:31" ht="14" thickBot="1" x14ac:dyDescent="0.2">
      <c r="AD1373" s="98">
        <f t="shared" si="167"/>
        <v>46296</v>
      </c>
      <c r="AE1373" s="7">
        <f t="shared" si="168"/>
        <v>1067.3728632085329</v>
      </c>
    </row>
    <row r="1374" spans="30:31" ht="14" thickBot="1" x14ac:dyDescent="0.2">
      <c r="AD1374" s="98">
        <f t="shared" si="167"/>
        <v>46297</v>
      </c>
      <c r="AE1374" s="7">
        <f t="shared" si="168"/>
        <v>1069.3810290080783</v>
      </c>
    </row>
    <row r="1375" spans="30:31" ht="14" thickBot="1" x14ac:dyDescent="0.2">
      <c r="AD1375" s="98">
        <f t="shared" si="167"/>
        <v>46298</v>
      </c>
      <c r="AE1375" s="7">
        <f t="shared" si="168"/>
        <v>1071.3929729905039</v>
      </c>
    </row>
    <row r="1376" spans="30:31" ht="14" thickBot="1" x14ac:dyDescent="0.2">
      <c r="AD1376" s="98">
        <f t="shared" si="167"/>
        <v>46299</v>
      </c>
      <c r="AE1376" s="7">
        <f t="shared" si="168"/>
        <v>1073.4087022641202</v>
      </c>
    </row>
    <row r="1377" spans="30:31" ht="14" thickBot="1" x14ac:dyDescent="0.2">
      <c r="AD1377" s="98">
        <f t="shared" si="167"/>
        <v>46300</v>
      </c>
      <c r="AE1377" s="7">
        <f t="shared" si="168"/>
        <v>1075.4282239506108</v>
      </c>
    </row>
    <row r="1378" spans="30:31" ht="14" thickBot="1" x14ac:dyDescent="0.2">
      <c r="AD1378" s="98">
        <f t="shared" si="167"/>
        <v>46301</v>
      </c>
      <c r="AE1378" s="7">
        <f t="shared" si="168"/>
        <v>1077.4515451850589</v>
      </c>
    </row>
    <row r="1379" spans="30:31" ht="14" thickBot="1" x14ac:dyDescent="0.2">
      <c r="AD1379" s="98">
        <f t="shared" si="167"/>
        <v>46302</v>
      </c>
      <c r="AE1379" s="7">
        <f t="shared" si="168"/>
        <v>1079.4786731159713</v>
      </c>
    </row>
    <row r="1380" spans="30:31" ht="14" thickBot="1" x14ac:dyDescent="0.2">
      <c r="AD1380" s="98">
        <f t="shared" si="167"/>
        <v>46303</v>
      </c>
      <c r="AE1380" s="7">
        <f t="shared" si="168"/>
        <v>1081.5096149053043</v>
      </c>
    </row>
    <row r="1381" spans="30:31" ht="14" thickBot="1" x14ac:dyDescent="0.2">
      <c r="AD1381" s="98">
        <f t="shared" si="167"/>
        <v>46304</v>
      </c>
      <c r="AE1381" s="7">
        <f t="shared" si="168"/>
        <v>1083.5443777284886</v>
      </c>
    </row>
    <row r="1382" spans="30:31" ht="14" thickBot="1" x14ac:dyDescent="0.2">
      <c r="AD1382" s="98">
        <f t="shared" si="167"/>
        <v>46305</v>
      </c>
      <c r="AE1382" s="7">
        <f t="shared" si="168"/>
        <v>1085.5829687744547</v>
      </c>
    </row>
    <row r="1383" spans="30:31" ht="14" thickBot="1" x14ac:dyDescent="0.2">
      <c r="AD1383" s="98">
        <f t="shared" si="167"/>
        <v>46306</v>
      </c>
      <c r="AE1383" s="7">
        <f t="shared" si="168"/>
        <v>1087.6253952456586</v>
      </c>
    </row>
    <row r="1384" spans="30:31" ht="14" thickBot="1" x14ac:dyDescent="0.2">
      <c r="AD1384" s="98">
        <f t="shared" si="167"/>
        <v>46307</v>
      </c>
      <c r="AE1384" s="7">
        <f t="shared" si="168"/>
        <v>1089.6716643581074</v>
      </c>
    </row>
    <row r="1385" spans="30:31" ht="14" thickBot="1" x14ac:dyDescent="0.2">
      <c r="AD1385" s="98">
        <f t="shared" si="167"/>
        <v>46308</v>
      </c>
      <c r="AE1385" s="7">
        <f t="shared" si="168"/>
        <v>1091.7217833413836</v>
      </c>
    </row>
    <row r="1386" spans="30:31" ht="14" thickBot="1" x14ac:dyDescent="0.2">
      <c r="AD1386" s="98">
        <f t="shared" si="167"/>
        <v>46309</v>
      </c>
      <c r="AE1386" s="7">
        <f t="shared" si="168"/>
        <v>1093.7757594386724</v>
      </c>
    </row>
    <row r="1387" spans="30:31" ht="14" thickBot="1" x14ac:dyDescent="0.2">
      <c r="AD1387" s="98">
        <f t="shared" si="167"/>
        <v>46310</v>
      </c>
      <c r="AE1387" s="7">
        <f t="shared" si="168"/>
        <v>1095.8335999067858</v>
      </c>
    </row>
    <row r="1388" spans="30:31" ht="14" thickBot="1" x14ac:dyDescent="0.2">
      <c r="AD1388" s="98">
        <f t="shared" si="167"/>
        <v>46311</v>
      </c>
      <c r="AE1388" s="7">
        <f t="shared" ref="AE1388:AE1418" si="169">AE1387*$AI$43</f>
        <v>1097.9641025164242</v>
      </c>
    </row>
    <row r="1389" spans="30:31" ht="14" thickBot="1" x14ac:dyDescent="0.2">
      <c r="AD1389" s="98">
        <f t="shared" si="167"/>
        <v>46312</v>
      </c>
      <c r="AE1389" s="7">
        <f t="shared" si="169"/>
        <v>1100.0987472160386</v>
      </c>
    </row>
    <row r="1390" spans="30:31" ht="14" thickBot="1" x14ac:dyDescent="0.2">
      <c r="AD1390" s="98">
        <f t="shared" si="167"/>
        <v>46313</v>
      </c>
      <c r="AE1390" s="7">
        <f t="shared" si="169"/>
        <v>1102.2375420586161</v>
      </c>
    </row>
    <row r="1391" spans="30:31" ht="14" thickBot="1" x14ac:dyDescent="0.2">
      <c r="AD1391" s="98">
        <f t="shared" si="167"/>
        <v>46314</v>
      </c>
      <c r="AE1391" s="7">
        <f t="shared" si="169"/>
        <v>1104.3804951127997</v>
      </c>
    </row>
    <row r="1392" spans="30:31" ht="14" thickBot="1" x14ac:dyDescent="0.2">
      <c r="AD1392" s="98">
        <f t="shared" si="167"/>
        <v>46315</v>
      </c>
      <c r="AE1392" s="7">
        <f t="shared" si="169"/>
        <v>1106.5276144629197</v>
      </c>
    </row>
    <row r="1393" spans="30:31" ht="14" thickBot="1" x14ac:dyDescent="0.2">
      <c r="AD1393" s="98">
        <f t="shared" si="167"/>
        <v>46316</v>
      </c>
      <c r="AE1393" s="7">
        <f t="shared" si="169"/>
        <v>1108.6789082090238</v>
      </c>
    </row>
    <row r="1394" spans="30:31" ht="14" thickBot="1" x14ac:dyDescent="0.2">
      <c r="AD1394" s="98">
        <f t="shared" si="167"/>
        <v>46317</v>
      </c>
      <c r="AE1394" s="7">
        <f t="shared" si="169"/>
        <v>1110.8343844669075</v>
      </c>
    </row>
    <row r="1395" spans="30:31" ht="14" thickBot="1" x14ac:dyDescent="0.2">
      <c r="AD1395" s="98">
        <f t="shared" si="167"/>
        <v>46318</v>
      </c>
      <c r="AE1395" s="7">
        <f t="shared" si="169"/>
        <v>1112.9940513681452</v>
      </c>
    </row>
    <row r="1396" spans="30:31" ht="14" thickBot="1" x14ac:dyDescent="0.2">
      <c r="AD1396" s="98">
        <f t="shared" si="167"/>
        <v>46319</v>
      </c>
      <c r="AE1396" s="7">
        <f t="shared" si="169"/>
        <v>1115.1579170601203</v>
      </c>
    </row>
    <row r="1397" spans="30:31" ht="14" thickBot="1" x14ac:dyDescent="0.2">
      <c r="AD1397" s="98">
        <f t="shared" si="167"/>
        <v>46320</v>
      </c>
      <c r="AE1397" s="7">
        <f t="shared" si="169"/>
        <v>1117.3259897060564</v>
      </c>
    </row>
    <row r="1398" spans="30:31" ht="14" thickBot="1" x14ac:dyDescent="0.2">
      <c r="AD1398" s="98">
        <f t="shared" si="167"/>
        <v>46321</v>
      </c>
      <c r="AE1398" s="7">
        <f t="shared" si="169"/>
        <v>1119.4982774850475</v>
      </c>
    </row>
    <row r="1399" spans="30:31" ht="14" thickBot="1" x14ac:dyDescent="0.2">
      <c r="AD1399" s="98">
        <f t="shared" si="167"/>
        <v>46322</v>
      </c>
      <c r="AE1399" s="7">
        <f t="shared" si="169"/>
        <v>1121.6747885920902</v>
      </c>
    </row>
    <row r="1400" spans="30:31" ht="14" thickBot="1" x14ac:dyDescent="0.2">
      <c r="AD1400" s="98">
        <f t="shared" si="167"/>
        <v>46323</v>
      </c>
      <c r="AE1400" s="7">
        <f t="shared" si="169"/>
        <v>1123.8555312381127</v>
      </c>
    </row>
    <row r="1401" spans="30:31" ht="14" thickBot="1" x14ac:dyDescent="0.2">
      <c r="AD1401" s="98">
        <f t="shared" si="167"/>
        <v>46324</v>
      </c>
      <c r="AE1401" s="7">
        <f t="shared" si="169"/>
        <v>1126.0405136500071</v>
      </c>
    </row>
    <row r="1402" spans="30:31" ht="14" thickBot="1" x14ac:dyDescent="0.2">
      <c r="AD1402" s="98">
        <f t="shared" si="167"/>
        <v>46325</v>
      </c>
      <c r="AE1402" s="7">
        <f t="shared" si="169"/>
        <v>1128.2297440706604</v>
      </c>
    </row>
    <row r="1403" spans="30:31" ht="14" thickBot="1" x14ac:dyDescent="0.2">
      <c r="AD1403" s="98">
        <f t="shared" si="167"/>
        <v>46326</v>
      </c>
      <c r="AE1403" s="7">
        <f t="shared" si="169"/>
        <v>1130.4232307589848</v>
      </c>
    </row>
    <row r="1404" spans="30:31" ht="14" thickBot="1" x14ac:dyDescent="0.2">
      <c r="AD1404" s="98">
        <f t="shared" si="167"/>
        <v>46327</v>
      </c>
      <c r="AE1404" s="7">
        <f t="shared" si="169"/>
        <v>1132.6209819899498</v>
      </c>
    </row>
    <row r="1405" spans="30:31" ht="14" thickBot="1" x14ac:dyDescent="0.2">
      <c r="AD1405" s="98">
        <f t="shared" si="167"/>
        <v>46328</v>
      </c>
      <c r="AE1405" s="7">
        <f t="shared" si="169"/>
        <v>1134.8230060546125</v>
      </c>
    </row>
    <row r="1406" spans="30:31" ht="14" thickBot="1" x14ac:dyDescent="0.2">
      <c r="AD1406" s="98">
        <f t="shared" si="167"/>
        <v>46329</v>
      </c>
      <c r="AE1406" s="7">
        <f t="shared" si="169"/>
        <v>1137.0293112601498</v>
      </c>
    </row>
    <row r="1407" spans="30:31" ht="14" thickBot="1" x14ac:dyDescent="0.2">
      <c r="AD1407" s="98">
        <f t="shared" si="167"/>
        <v>46330</v>
      </c>
      <c r="AE1407" s="7">
        <f t="shared" si="169"/>
        <v>1139.2399059298891</v>
      </c>
    </row>
    <row r="1408" spans="30:31" ht="14" thickBot="1" x14ac:dyDescent="0.2">
      <c r="AD1408" s="98">
        <f t="shared" si="167"/>
        <v>46331</v>
      </c>
      <c r="AE1408" s="7">
        <f t="shared" si="169"/>
        <v>1141.4547984033397</v>
      </c>
    </row>
    <row r="1409" spans="30:31" ht="14" thickBot="1" x14ac:dyDescent="0.2">
      <c r="AD1409" s="98">
        <f t="shared" si="167"/>
        <v>46332</v>
      </c>
      <c r="AE1409" s="7">
        <f t="shared" si="169"/>
        <v>1143.6739970362248</v>
      </c>
    </row>
    <row r="1410" spans="30:31" ht="14" thickBot="1" x14ac:dyDescent="0.2">
      <c r="AD1410" s="98">
        <f t="shared" si="167"/>
        <v>46333</v>
      </c>
      <c r="AE1410" s="7">
        <f t="shared" si="169"/>
        <v>1145.8975102005122</v>
      </c>
    </row>
    <row r="1411" spans="30:31" ht="14" thickBot="1" x14ac:dyDescent="0.2">
      <c r="AD1411" s="98">
        <f t="shared" si="167"/>
        <v>46334</v>
      </c>
      <c r="AE1411" s="7">
        <f t="shared" si="169"/>
        <v>1148.1253462844468</v>
      </c>
    </row>
    <row r="1412" spans="30:31" ht="14" thickBot="1" x14ac:dyDescent="0.2">
      <c r="AD1412" s="98">
        <f t="shared" si="167"/>
        <v>46335</v>
      </c>
      <c r="AE1412" s="7">
        <f t="shared" si="169"/>
        <v>1150.3575136925815</v>
      </c>
    </row>
    <row r="1413" spans="30:31" ht="14" thickBot="1" x14ac:dyDescent="0.2">
      <c r="AD1413" s="98">
        <f t="shared" si="167"/>
        <v>46336</v>
      </c>
      <c r="AE1413" s="7">
        <f t="shared" si="169"/>
        <v>1152.5940208458096</v>
      </c>
    </row>
    <row r="1414" spans="30:31" ht="14" thickBot="1" x14ac:dyDescent="0.2">
      <c r="AD1414" s="98">
        <f t="shared" si="167"/>
        <v>46337</v>
      </c>
      <c r="AE1414" s="7">
        <f t="shared" si="169"/>
        <v>1154.8348761813957</v>
      </c>
    </row>
    <row r="1415" spans="30:31" ht="14" thickBot="1" x14ac:dyDescent="0.2">
      <c r="AD1415" s="98">
        <f t="shared" si="167"/>
        <v>46338</v>
      </c>
      <c r="AE1415" s="7">
        <f t="shared" si="169"/>
        <v>1157.0800881530081</v>
      </c>
    </row>
    <row r="1416" spans="30:31" ht="14" thickBot="1" x14ac:dyDescent="0.2">
      <c r="AD1416" s="98">
        <f t="shared" si="167"/>
        <v>46339</v>
      </c>
      <c r="AE1416" s="7">
        <f t="shared" si="169"/>
        <v>1159.3296652307508</v>
      </c>
    </row>
    <row r="1417" spans="30:31" ht="14" thickBot="1" x14ac:dyDescent="0.2">
      <c r="AD1417" s="98">
        <f t="shared" ref="AD1417:AD1480" si="170">AD1416+1</f>
        <v>46340</v>
      </c>
      <c r="AE1417" s="7">
        <f t="shared" si="169"/>
        <v>1161.5836159011951</v>
      </c>
    </row>
    <row r="1418" spans="30:31" ht="14" thickBot="1" x14ac:dyDescent="0.2">
      <c r="AD1418" s="98">
        <f t="shared" si="170"/>
        <v>46341</v>
      </c>
      <c r="AE1418" s="7">
        <f t="shared" si="169"/>
        <v>1163.8419486674118</v>
      </c>
    </row>
    <row r="1419" spans="30:31" ht="14" thickBot="1" x14ac:dyDescent="0.2">
      <c r="AD1419" s="98">
        <f t="shared" si="170"/>
        <v>46342</v>
      </c>
      <c r="AE1419" s="7">
        <f t="shared" ref="AE1419:AE1448" si="171">AE1418*$AI$44</f>
        <v>1166.0316123528503</v>
      </c>
    </row>
    <row r="1420" spans="30:31" ht="14" thickBot="1" x14ac:dyDescent="0.2">
      <c r="AD1420" s="98">
        <f t="shared" si="170"/>
        <v>46343</v>
      </c>
      <c r="AE1420" s="7">
        <f t="shared" si="171"/>
        <v>1168.2253956930761</v>
      </c>
    </row>
    <row r="1421" spans="30:31" ht="14" thickBot="1" x14ac:dyDescent="0.2">
      <c r="AD1421" s="98">
        <f t="shared" si="170"/>
        <v>46344</v>
      </c>
      <c r="AE1421" s="7">
        <f t="shared" si="171"/>
        <v>1170.4233064388479</v>
      </c>
    </row>
    <row r="1422" spans="30:31" ht="14" thickBot="1" x14ac:dyDescent="0.2">
      <c r="AD1422" s="98">
        <f t="shared" si="170"/>
        <v>46345</v>
      </c>
      <c r="AE1422" s="7">
        <f t="shared" si="171"/>
        <v>1172.6253523555074</v>
      </c>
    </row>
    <row r="1423" spans="30:31" ht="14" thickBot="1" x14ac:dyDescent="0.2">
      <c r="AD1423" s="98">
        <f t="shared" si="170"/>
        <v>46346</v>
      </c>
      <c r="AE1423" s="7">
        <f t="shared" si="171"/>
        <v>1174.8315412230056</v>
      </c>
    </row>
    <row r="1424" spans="30:31" ht="14" thickBot="1" x14ac:dyDescent="0.2">
      <c r="AD1424" s="98">
        <f t="shared" si="170"/>
        <v>46347</v>
      </c>
      <c r="AE1424" s="7">
        <f t="shared" si="171"/>
        <v>1177.0418808359309</v>
      </c>
    </row>
    <row r="1425" spans="30:31" ht="14" thickBot="1" x14ac:dyDescent="0.2">
      <c r="AD1425" s="98">
        <f t="shared" si="170"/>
        <v>46348</v>
      </c>
      <c r="AE1425" s="7">
        <f t="shared" si="171"/>
        <v>1179.2563790035367</v>
      </c>
    </row>
    <row r="1426" spans="30:31" ht="14" thickBot="1" x14ac:dyDescent="0.2">
      <c r="AD1426" s="98">
        <f t="shared" si="170"/>
        <v>46349</v>
      </c>
      <c r="AE1426" s="7">
        <f t="shared" si="171"/>
        <v>1181.4750435497685</v>
      </c>
    </row>
    <row r="1427" spans="30:31" ht="14" thickBot="1" x14ac:dyDescent="0.2">
      <c r="AD1427" s="98">
        <f t="shared" si="170"/>
        <v>46350</v>
      </c>
      <c r="AE1427" s="7">
        <f t="shared" si="171"/>
        <v>1183.6978823132922</v>
      </c>
    </row>
    <row r="1428" spans="30:31" ht="14" thickBot="1" x14ac:dyDescent="0.2">
      <c r="AD1428" s="98">
        <f t="shared" si="170"/>
        <v>46351</v>
      </c>
      <c r="AE1428" s="7">
        <f t="shared" si="171"/>
        <v>1185.924903147521</v>
      </c>
    </row>
    <row r="1429" spans="30:31" ht="14" thickBot="1" x14ac:dyDescent="0.2">
      <c r="AD1429" s="98">
        <f t="shared" si="170"/>
        <v>46352</v>
      </c>
      <c r="AE1429" s="7">
        <f t="shared" si="171"/>
        <v>1188.1561139206442</v>
      </c>
    </row>
    <row r="1430" spans="30:31" ht="14" thickBot="1" x14ac:dyDescent="0.2">
      <c r="AD1430" s="98">
        <f t="shared" si="170"/>
        <v>46353</v>
      </c>
      <c r="AE1430" s="7">
        <f t="shared" si="171"/>
        <v>1190.3915225156538</v>
      </c>
    </row>
    <row r="1431" spans="30:31" ht="14" thickBot="1" x14ac:dyDescent="0.2">
      <c r="AD1431" s="98">
        <f t="shared" si="170"/>
        <v>46354</v>
      </c>
      <c r="AE1431" s="7">
        <f t="shared" si="171"/>
        <v>1192.6311368303732</v>
      </c>
    </row>
    <row r="1432" spans="30:31" ht="14" thickBot="1" x14ac:dyDescent="0.2">
      <c r="AD1432" s="98">
        <f t="shared" si="170"/>
        <v>46355</v>
      </c>
      <c r="AE1432" s="7">
        <f t="shared" si="171"/>
        <v>1194.8749647774848</v>
      </c>
    </row>
    <row r="1433" spans="30:31" ht="14" thickBot="1" x14ac:dyDescent="0.2">
      <c r="AD1433" s="98">
        <f t="shared" si="170"/>
        <v>46356</v>
      </c>
      <c r="AE1433" s="7">
        <f t="shared" si="171"/>
        <v>1197.1230142845579</v>
      </c>
    </row>
    <row r="1434" spans="30:31" ht="14" thickBot="1" x14ac:dyDescent="0.2">
      <c r="AD1434" s="98">
        <f t="shared" si="170"/>
        <v>46357</v>
      </c>
      <c r="AE1434" s="7">
        <f t="shared" si="171"/>
        <v>1199.3752932940772</v>
      </c>
    </row>
    <row r="1435" spans="30:31" ht="14" thickBot="1" x14ac:dyDescent="0.2">
      <c r="AD1435" s="98">
        <f t="shared" si="170"/>
        <v>46358</v>
      </c>
      <c r="AE1435" s="7">
        <f t="shared" si="171"/>
        <v>1201.6318097634701</v>
      </c>
    </row>
    <row r="1436" spans="30:31" ht="14" thickBot="1" x14ac:dyDescent="0.2">
      <c r="AD1436" s="98">
        <f t="shared" si="170"/>
        <v>46359</v>
      </c>
      <c r="AE1436" s="7">
        <f t="shared" si="171"/>
        <v>1203.8925716651352</v>
      </c>
    </row>
    <row r="1437" spans="30:31" ht="14" thickBot="1" x14ac:dyDescent="0.2">
      <c r="AD1437" s="98">
        <f t="shared" si="170"/>
        <v>46360</v>
      </c>
      <c r="AE1437" s="7">
        <f t="shared" si="171"/>
        <v>1206.1575869864705</v>
      </c>
    </row>
    <row r="1438" spans="30:31" ht="14" thickBot="1" x14ac:dyDescent="0.2">
      <c r="AD1438" s="98">
        <f t="shared" si="170"/>
        <v>46361</v>
      </c>
      <c r="AE1438" s="7">
        <f t="shared" si="171"/>
        <v>1208.4268637299015</v>
      </c>
    </row>
    <row r="1439" spans="30:31" ht="14" thickBot="1" x14ac:dyDescent="0.2">
      <c r="AD1439" s="98">
        <f t="shared" si="170"/>
        <v>46362</v>
      </c>
      <c r="AE1439" s="7">
        <f t="shared" si="171"/>
        <v>1210.7004099129099</v>
      </c>
    </row>
    <row r="1440" spans="30:31" ht="14" thickBot="1" x14ac:dyDescent="0.2">
      <c r="AD1440" s="98">
        <f t="shared" si="170"/>
        <v>46363</v>
      </c>
      <c r="AE1440" s="7">
        <f t="shared" si="171"/>
        <v>1212.9782335680611</v>
      </c>
    </row>
    <row r="1441" spans="30:31" ht="14" thickBot="1" x14ac:dyDescent="0.2">
      <c r="AD1441" s="98">
        <f t="shared" si="170"/>
        <v>46364</v>
      </c>
      <c r="AE1441" s="7">
        <f t="shared" si="171"/>
        <v>1215.2603427430333</v>
      </c>
    </row>
    <row r="1442" spans="30:31" ht="14" thickBot="1" x14ac:dyDescent="0.2">
      <c r="AD1442" s="98">
        <f t="shared" si="170"/>
        <v>46365</v>
      </c>
      <c r="AE1442" s="7">
        <f t="shared" si="171"/>
        <v>1217.5467455006456</v>
      </c>
    </row>
    <row r="1443" spans="30:31" ht="14" thickBot="1" x14ac:dyDescent="0.2">
      <c r="AD1443" s="98">
        <f t="shared" si="170"/>
        <v>46366</v>
      </c>
      <c r="AE1443" s="7">
        <f t="shared" si="171"/>
        <v>1219.8374499188865</v>
      </c>
    </row>
    <row r="1444" spans="30:31" ht="14" thickBot="1" x14ac:dyDescent="0.2">
      <c r="AD1444" s="98">
        <f t="shared" si="170"/>
        <v>46367</v>
      </c>
      <c r="AE1444" s="7">
        <f t="shared" si="171"/>
        <v>1222.1324640909429</v>
      </c>
    </row>
    <row r="1445" spans="30:31" ht="14" thickBot="1" x14ac:dyDescent="0.2">
      <c r="AD1445" s="98">
        <f t="shared" si="170"/>
        <v>46368</v>
      </c>
      <c r="AE1445" s="7">
        <f t="shared" si="171"/>
        <v>1224.4317961252277</v>
      </c>
    </row>
    <row r="1446" spans="30:31" ht="14" thickBot="1" x14ac:dyDescent="0.2">
      <c r="AD1446" s="98">
        <f t="shared" si="170"/>
        <v>46369</v>
      </c>
      <c r="AE1446" s="7">
        <f t="shared" si="171"/>
        <v>1226.7354541454094</v>
      </c>
    </row>
    <row r="1447" spans="30:31" ht="14" thickBot="1" x14ac:dyDescent="0.2">
      <c r="AD1447" s="98">
        <f t="shared" si="170"/>
        <v>46370</v>
      </c>
      <c r="AE1447" s="7">
        <f t="shared" si="171"/>
        <v>1229.0434462904407</v>
      </c>
    </row>
    <row r="1448" spans="30:31" ht="14" thickBot="1" x14ac:dyDescent="0.2">
      <c r="AD1448" s="98">
        <f t="shared" si="170"/>
        <v>46371</v>
      </c>
      <c r="AE1448" s="7">
        <f t="shared" si="171"/>
        <v>1231.3557807145862</v>
      </c>
    </row>
    <row r="1449" spans="30:31" ht="14" thickBot="1" x14ac:dyDescent="0.2">
      <c r="AD1449" s="98">
        <f t="shared" si="170"/>
        <v>46372</v>
      </c>
      <c r="AE1449" s="7">
        <f t="shared" ref="AE1449:AE1479" si="172">AE1448*$AI$45</f>
        <v>1233.7497634364418</v>
      </c>
    </row>
    <row r="1450" spans="30:31" ht="14" thickBot="1" x14ac:dyDescent="0.2">
      <c r="AD1450" s="98">
        <f t="shared" si="170"/>
        <v>46373</v>
      </c>
      <c r="AE1450" s="7">
        <f t="shared" si="172"/>
        <v>1236.1484005022021</v>
      </c>
    </row>
    <row r="1451" spans="30:31" ht="14" thickBot="1" x14ac:dyDescent="0.2">
      <c r="AD1451" s="98">
        <f t="shared" si="170"/>
        <v>46374</v>
      </c>
      <c r="AE1451" s="7">
        <f t="shared" si="172"/>
        <v>1238.5517009607702</v>
      </c>
    </row>
    <row r="1452" spans="30:31" ht="14" thickBot="1" x14ac:dyDescent="0.2">
      <c r="AD1452" s="98">
        <f t="shared" si="170"/>
        <v>46375</v>
      </c>
      <c r="AE1452" s="7">
        <f t="shared" si="172"/>
        <v>1240.9596738786415</v>
      </c>
    </row>
    <row r="1453" spans="30:31" ht="14" thickBot="1" x14ac:dyDescent="0.2">
      <c r="AD1453" s="98">
        <f t="shared" si="170"/>
        <v>46376</v>
      </c>
      <c r="AE1453" s="7">
        <f t="shared" si="172"/>
        <v>1243.3723283399386</v>
      </c>
    </row>
    <row r="1454" spans="30:31" ht="14" thickBot="1" x14ac:dyDescent="0.2">
      <c r="AD1454" s="98">
        <f t="shared" si="170"/>
        <v>46377</v>
      </c>
      <c r="AE1454" s="7">
        <f t="shared" si="172"/>
        <v>1245.7896734464452</v>
      </c>
    </row>
    <row r="1455" spans="30:31" ht="14" thickBot="1" x14ac:dyDescent="0.2">
      <c r="AD1455" s="98">
        <f t="shared" si="170"/>
        <v>46378</v>
      </c>
      <c r="AE1455" s="7">
        <f t="shared" si="172"/>
        <v>1248.211718317641</v>
      </c>
    </row>
    <row r="1456" spans="30:31" ht="14" thickBot="1" x14ac:dyDescent="0.2">
      <c r="AD1456" s="98">
        <f t="shared" si="170"/>
        <v>46379</v>
      </c>
      <c r="AE1456" s="7">
        <f t="shared" si="172"/>
        <v>1250.6384720907349</v>
      </c>
    </row>
    <row r="1457" spans="30:31" ht="14" thickBot="1" x14ac:dyDescent="0.2">
      <c r="AD1457" s="98">
        <f t="shared" si="170"/>
        <v>46380</v>
      </c>
      <c r="AE1457" s="7">
        <f t="shared" si="172"/>
        <v>1253.0699439207008</v>
      </c>
    </row>
    <row r="1458" spans="30:31" ht="14" thickBot="1" x14ac:dyDescent="0.2">
      <c r="AD1458" s="98">
        <f t="shared" si="170"/>
        <v>46381</v>
      </c>
      <c r="AE1458" s="7">
        <f t="shared" si="172"/>
        <v>1255.5061429803113</v>
      </c>
    </row>
    <row r="1459" spans="30:31" ht="14" thickBot="1" x14ac:dyDescent="0.2">
      <c r="AD1459" s="98">
        <f t="shared" si="170"/>
        <v>46382</v>
      </c>
      <c r="AE1459" s="7">
        <f t="shared" si="172"/>
        <v>1257.9470784601726</v>
      </c>
    </row>
    <row r="1460" spans="30:31" ht="14" thickBot="1" x14ac:dyDescent="0.2">
      <c r="AD1460" s="98">
        <f t="shared" si="170"/>
        <v>46383</v>
      </c>
      <c r="AE1460" s="7">
        <f t="shared" si="172"/>
        <v>1260.3927595687592</v>
      </c>
    </row>
    <row r="1461" spans="30:31" ht="14" thickBot="1" x14ac:dyDescent="0.2">
      <c r="AD1461" s="98">
        <f t="shared" si="170"/>
        <v>46384</v>
      </c>
      <c r="AE1461" s="7">
        <f t="shared" si="172"/>
        <v>1262.8431955324484</v>
      </c>
    </row>
    <row r="1462" spans="30:31" ht="14" thickBot="1" x14ac:dyDescent="0.2">
      <c r="AD1462" s="98">
        <f t="shared" si="170"/>
        <v>46385</v>
      </c>
      <c r="AE1462" s="7">
        <f t="shared" si="172"/>
        <v>1265.2983955955553</v>
      </c>
    </row>
    <row r="1463" spans="30:31" ht="14" thickBot="1" x14ac:dyDescent="0.2">
      <c r="AD1463" s="98">
        <f t="shared" si="170"/>
        <v>46386</v>
      </c>
      <c r="AE1463" s="7">
        <f t="shared" si="172"/>
        <v>1267.758369020368</v>
      </c>
    </row>
    <row r="1464" spans="30:31" ht="14" thickBot="1" x14ac:dyDescent="0.2">
      <c r="AD1464" s="98">
        <f t="shared" si="170"/>
        <v>46387</v>
      </c>
      <c r="AE1464" s="7">
        <f t="shared" si="172"/>
        <v>1270.2231250871819</v>
      </c>
    </row>
    <row r="1465" spans="30:31" ht="14" thickBot="1" x14ac:dyDescent="0.2">
      <c r="AD1465" s="98">
        <f t="shared" si="170"/>
        <v>46388</v>
      </c>
      <c r="AE1465" s="7">
        <f t="shared" si="172"/>
        <v>1272.6926730943351</v>
      </c>
    </row>
    <row r="1466" spans="30:31" ht="14" thickBot="1" x14ac:dyDescent="0.2">
      <c r="AD1466" s="98">
        <f t="shared" si="170"/>
        <v>46389</v>
      </c>
      <c r="AE1466" s="7">
        <f t="shared" si="172"/>
        <v>1275.1670223582432</v>
      </c>
    </row>
    <row r="1467" spans="30:31" ht="14" thickBot="1" x14ac:dyDescent="0.2">
      <c r="AD1467" s="98">
        <f t="shared" si="170"/>
        <v>46390</v>
      </c>
      <c r="AE1467" s="7">
        <f t="shared" si="172"/>
        <v>1277.6461822134349</v>
      </c>
    </row>
    <row r="1468" spans="30:31" ht="14" thickBot="1" x14ac:dyDescent="0.2">
      <c r="AD1468" s="98">
        <f t="shared" si="170"/>
        <v>46391</v>
      </c>
      <c r="AE1468" s="7">
        <f t="shared" si="172"/>
        <v>1280.1301620125867</v>
      </c>
    </row>
    <row r="1469" spans="30:31" ht="14" thickBot="1" x14ac:dyDescent="0.2">
      <c r="AD1469" s="98">
        <f t="shared" si="170"/>
        <v>46392</v>
      </c>
      <c r="AE1469" s="7">
        <f t="shared" si="172"/>
        <v>1282.6189711265586</v>
      </c>
    </row>
    <row r="1470" spans="30:31" ht="14" thickBot="1" x14ac:dyDescent="0.2">
      <c r="AD1470" s="98">
        <f t="shared" si="170"/>
        <v>46393</v>
      </c>
      <c r="AE1470" s="7">
        <f t="shared" si="172"/>
        <v>1285.1126189444292</v>
      </c>
    </row>
    <row r="1471" spans="30:31" ht="14" thickBot="1" x14ac:dyDescent="0.2">
      <c r="AD1471" s="98">
        <f t="shared" si="170"/>
        <v>46394</v>
      </c>
      <c r="AE1471" s="7">
        <f t="shared" si="172"/>
        <v>1287.6111148735313</v>
      </c>
    </row>
    <row r="1472" spans="30:31" ht="14" thickBot="1" x14ac:dyDescent="0.2">
      <c r="AD1472" s="98">
        <f t="shared" si="170"/>
        <v>46395</v>
      </c>
      <c r="AE1472" s="7">
        <f t="shared" si="172"/>
        <v>1290.1144683394871</v>
      </c>
    </row>
    <row r="1473" spans="30:31" ht="14" thickBot="1" x14ac:dyDescent="0.2">
      <c r="AD1473" s="98">
        <f t="shared" si="170"/>
        <v>46396</v>
      </c>
      <c r="AE1473" s="7">
        <f t="shared" si="172"/>
        <v>1292.622688786244</v>
      </c>
    </row>
    <row r="1474" spans="30:31" ht="14" thickBot="1" x14ac:dyDescent="0.2">
      <c r="AD1474" s="98">
        <f t="shared" si="170"/>
        <v>46397</v>
      </c>
      <c r="AE1474" s="7">
        <f t="shared" si="172"/>
        <v>1295.1357856761103</v>
      </c>
    </row>
    <row r="1475" spans="30:31" ht="14" thickBot="1" x14ac:dyDescent="0.2">
      <c r="AD1475" s="98">
        <f t="shared" si="170"/>
        <v>46398</v>
      </c>
      <c r="AE1475" s="7">
        <f t="shared" si="172"/>
        <v>1297.653768489791</v>
      </c>
    </row>
    <row r="1476" spans="30:31" ht="14" thickBot="1" x14ac:dyDescent="0.2">
      <c r="AD1476" s="98">
        <f t="shared" si="170"/>
        <v>46399</v>
      </c>
      <c r="AE1476" s="7">
        <f t="shared" si="172"/>
        <v>1300.1766467264226</v>
      </c>
    </row>
    <row r="1477" spans="30:31" ht="14" thickBot="1" x14ac:dyDescent="0.2">
      <c r="AD1477" s="98">
        <f t="shared" si="170"/>
        <v>46400</v>
      </c>
      <c r="AE1477" s="7">
        <f t="shared" si="172"/>
        <v>1302.7044299036104</v>
      </c>
    </row>
    <row r="1478" spans="30:31" ht="14" thickBot="1" x14ac:dyDescent="0.2">
      <c r="AD1478" s="98">
        <f t="shared" si="170"/>
        <v>46401</v>
      </c>
      <c r="AE1478" s="7">
        <f t="shared" si="172"/>
        <v>1305.2371275574633</v>
      </c>
    </row>
    <row r="1479" spans="30:31" ht="14" thickBot="1" x14ac:dyDescent="0.2">
      <c r="AD1479" s="98">
        <f t="shared" si="170"/>
        <v>46402</v>
      </c>
      <c r="AE1479" s="7">
        <f t="shared" si="172"/>
        <v>1307.7747492426304</v>
      </c>
    </row>
    <row r="1480" spans="30:31" ht="14" thickBot="1" x14ac:dyDescent="0.2">
      <c r="AD1480" s="98">
        <f t="shared" si="170"/>
        <v>46403</v>
      </c>
      <c r="AE1480" s="7">
        <f t="shared" ref="AE1480:AE1510" si="173">AE1479*$AI$46</f>
        <v>1310.2352095142583</v>
      </c>
    </row>
    <row r="1481" spans="30:31" ht="14" thickBot="1" x14ac:dyDescent="0.2">
      <c r="AD1481" s="98">
        <f t="shared" ref="AD1481:AD1544" si="174">AD1480+1</f>
        <v>46404</v>
      </c>
      <c r="AE1481" s="7">
        <f t="shared" si="173"/>
        <v>1312.700298920033</v>
      </c>
    </row>
    <row r="1482" spans="30:31" ht="14" thickBot="1" x14ac:dyDescent="0.2">
      <c r="AD1482" s="98">
        <f t="shared" si="174"/>
        <v>46405</v>
      </c>
      <c r="AE1482" s="7">
        <f t="shared" si="173"/>
        <v>1315.1700261692533</v>
      </c>
    </row>
    <row r="1483" spans="30:31" ht="14" thickBot="1" x14ac:dyDescent="0.2">
      <c r="AD1483" s="98">
        <f t="shared" si="174"/>
        <v>46406</v>
      </c>
      <c r="AE1483" s="7">
        <f t="shared" si="173"/>
        <v>1317.6443999876033</v>
      </c>
    </row>
    <row r="1484" spans="30:31" ht="14" thickBot="1" x14ac:dyDescent="0.2">
      <c r="AD1484" s="98">
        <f t="shared" si="174"/>
        <v>46407</v>
      </c>
      <c r="AE1484" s="7">
        <f t="shared" si="173"/>
        <v>1320.1234291171838</v>
      </c>
    </row>
    <row r="1485" spans="30:31" ht="14" thickBot="1" x14ac:dyDescent="0.2">
      <c r="AD1485" s="98">
        <f t="shared" si="174"/>
        <v>46408</v>
      </c>
      <c r="AE1485" s="7">
        <f t="shared" si="173"/>
        <v>1322.6071223165434</v>
      </c>
    </row>
    <row r="1486" spans="30:31" ht="14" thickBot="1" x14ac:dyDescent="0.2">
      <c r="AD1486" s="98">
        <f t="shared" si="174"/>
        <v>46409</v>
      </c>
      <c r="AE1486" s="7">
        <f t="shared" si="173"/>
        <v>1325.0954883607085</v>
      </c>
    </row>
    <row r="1487" spans="30:31" ht="14" thickBot="1" x14ac:dyDescent="0.2">
      <c r="AD1487" s="98">
        <f t="shared" si="174"/>
        <v>46410</v>
      </c>
      <c r="AE1487" s="7">
        <f t="shared" si="173"/>
        <v>1327.5885360412153</v>
      </c>
    </row>
    <row r="1488" spans="30:31" ht="14" thickBot="1" x14ac:dyDescent="0.2">
      <c r="AD1488" s="98">
        <f t="shared" si="174"/>
        <v>46411</v>
      </c>
      <c r="AE1488" s="7">
        <f t="shared" si="173"/>
        <v>1330.0862741661406</v>
      </c>
    </row>
    <row r="1489" spans="30:31" ht="14" thickBot="1" x14ac:dyDescent="0.2">
      <c r="AD1489" s="98">
        <f t="shared" si="174"/>
        <v>46412</v>
      </c>
      <c r="AE1489" s="7">
        <f t="shared" si="173"/>
        <v>1332.5887115601327</v>
      </c>
    </row>
    <row r="1490" spans="30:31" ht="14" thickBot="1" x14ac:dyDescent="0.2">
      <c r="AD1490" s="98">
        <f t="shared" si="174"/>
        <v>46413</v>
      </c>
      <c r="AE1490" s="7">
        <f t="shared" si="173"/>
        <v>1335.0958570644423</v>
      </c>
    </row>
    <row r="1491" spans="30:31" ht="14" thickBot="1" x14ac:dyDescent="0.2">
      <c r="AD1491" s="98">
        <f t="shared" si="174"/>
        <v>46414</v>
      </c>
      <c r="AE1491" s="7">
        <f t="shared" si="173"/>
        <v>1337.6077195369548</v>
      </c>
    </row>
    <row r="1492" spans="30:31" ht="14" thickBot="1" x14ac:dyDescent="0.2">
      <c r="AD1492" s="98">
        <f t="shared" si="174"/>
        <v>46415</v>
      </c>
      <c r="AE1492" s="7">
        <f t="shared" si="173"/>
        <v>1340.1243078522205</v>
      </c>
    </row>
    <row r="1493" spans="30:31" ht="14" thickBot="1" x14ac:dyDescent="0.2">
      <c r="AD1493" s="98">
        <f t="shared" si="174"/>
        <v>46416</v>
      </c>
      <c r="AE1493" s="7">
        <f t="shared" si="173"/>
        <v>1342.6456309014861</v>
      </c>
    </row>
    <row r="1494" spans="30:31" ht="14" thickBot="1" x14ac:dyDescent="0.2">
      <c r="AD1494" s="98">
        <f t="shared" si="174"/>
        <v>46417</v>
      </c>
      <c r="AE1494" s="7">
        <f t="shared" si="173"/>
        <v>1345.171697592727</v>
      </c>
    </row>
    <row r="1495" spans="30:31" ht="14" thickBot="1" x14ac:dyDescent="0.2">
      <c r="AD1495" s="98">
        <f t="shared" si="174"/>
        <v>46418</v>
      </c>
      <c r="AE1495" s="7">
        <f t="shared" si="173"/>
        <v>1347.7025168506777</v>
      </c>
    </row>
    <row r="1496" spans="30:31" ht="14" thickBot="1" x14ac:dyDescent="0.2">
      <c r="AD1496" s="98">
        <f t="shared" si="174"/>
        <v>46419</v>
      </c>
      <c r="AE1496" s="7">
        <f t="shared" si="173"/>
        <v>1350.2380976168643</v>
      </c>
    </row>
    <row r="1497" spans="30:31" ht="14" thickBot="1" x14ac:dyDescent="0.2">
      <c r="AD1497" s="98">
        <f t="shared" si="174"/>
        <v>46420</v>
      </c>
      <c r="AE1497" s="7">
        <f t="shared" si="173"/>
        <v>1352.7784488496347</v>
      </c>
    </row>
    <row r="1498" spans="30:31" ht="14" thickBot="1" x14ac:dyDescent="0.2">
      <c r="AD1498" s="98">
        <f t="shared" si="174"/>
        <v>46421</v>
      </c>
      <c r="AE1498" s="7">
        <f t="shared" si="173"/>
        <v>1355.3235795241919</v>
      </c>
    </row>
    <row r="1499" spans="30:31" ht="14" thickBot="1" x14ac:dyDescent="0.2">
      <c r="AD1499" s="98">
        <f t="shared" si="174"/>
        <v>46422</v>
      </c>
      <c r="AE1499" s="7">
        <f t="shared" si="173"/>
        <v>1357.8734986326247</v>
      </c>
    </row>
    <row r="1500" spans="30:31" ht="14" thickBot="1" x14ac:dyDescent="0.2">
      <c r="AD1500" s="98">
        <f t="shared" si="174"/>
        <v>46423</v>
      </c>
      <c r="AE1500" s="7">
        <f t="shared" si="173"/>
        <v>1360.4282151839395</v>
      </c>
    </row>
    <row r="1501" spans="30:31" ht="14" thickBot="1" x14ac:dyDescent="0.2">
      <c r="AD1501" s="98">
        <f t="shared" si="174"/>
        <v>46424</v>
      </c>
      <c r="AE1501" s="7">
        <f t="shared" si="173"/>
        <v>1362.9877382040927</v>
      </c>
    </row>
    <row r="1502" spans="30:31" ht="14" thickBot="1" x14ac:dyDescent="0.2">
      <c r="AD1502" s="98">
        <f t="shared" si="174"/>
        <v>46425</v>
      </c>
      <c r="AE1502" s="7">
        <f t="shared" si="173"/>
        <v>1365.5520767360219</v>
      </c>
    </row>
    <row r="1503" spans="30:31" ht="14" thickBot="1" x14ac:dyDescent="0.2">
      <c r="AD1503" s="98">
        <f t="shared" si="174"/>
        <v>46426</v>
      </c>
      <c r="AE1503" s="7">
        <f t="shared" si="173"/>
        <v>1368.1212398396785</v>
      </c>
    </row>
    <row r="1504" spans="30:31" ht="14" thickBot="1" x14ac:dyDescent="0.2">
      <c r="AD1504" s="98">
        <f t="shared" si="174"/>
        <v>46427</v>
      </c>
      <c r="AE1504" s="7">
        <f t="shared" si="173"/>
        <v>1370.695236592059</v>
      </c>
    </row>
    <row r="1505" spans="30:31" ht="14" thickBot="1" x14ac:dyDescent="0.2">
      <c r="AD1505" s="98">
        <f t="shared" si="174"/>
        <v>46428</v>
      </c>
      <c r="AE1505" s="7">
        <f t="shared" si="173"/>
        <v>1373.2740760872377</v>
      </c>
    </row>
    <row r="1506" spans="30:31" ht="14" thickBot="1" x14ac:dyDescent="0.2">
      <c r="AD1506" s="98">
        <f t="shared" si="174"/>
        <v>46429</v>
      </c>
      <c r="AE1506" s="7">
        <f t="shared" si="173"/>
        <v>1375.8577674363985</v>
      </c>
    </row>
    <row r="1507" spans="30:31" ht="14" thickBot="1" x14ac:dyDescent="0.2">
      <c r="AD1507" s="98">
        <f t="shared" si="174"/>
        <v>46430</v>
      </c>
      <c r="AE1507" s="7">
        <f t="shared" si="173"/>
        <v>1378.4463197678672</v>
      </c>
    </row>
    <row r="1508" spans="30:31" ht="14" thickBot="1" x14ac:dyDescent="0.2">
      <c r="AD1508" s="98">
        <f t="shared" si="174"/>
        <v>46431</v>
      </c>
      <c r="AE1508" s="7">
        <f t="shared" si="173"/>
        <v>1381.0397422271435</v>
      </c>
    </row>
    <row r="1509" spans="30:31" ht="14" thickBot="1" x14ac:dyDescent="0.2">
      <c r="AD1509" s="98">
        <f t="shared" si="174"/>
        <v>46432</v>
      </c>
      <c r="AE1509" s="7">
        <f t="shared" si="173"/>
        <v>1383.6380439769341</v>
      </c>
    </row>
    <row r="1510" spans="30:31" ht="14" thickBot="1" x14ac:dyDescent="0.2">
      <c r="AD1510" s="98">
        <f t="shared" si="174"/>
        <v>46433</v>
      </c>
      <c r="AE1510" s="7">
        <f t="shared" si="173"/>
        <v>1386.241234197184</v>
      </c>
    </row>
    <row r="1511" spans="30:31" ht="14" thickBot="1" x14ac:dyDescent="0.2">
      <c r="AD1511" s="98">
        <f t="shared" si="174"/>
        <v>46434</v>
      </c>
      <c r="AE1511" s="7">
        <f t="shared" ref="AE1511:AE1538" si="175">AE1510*$AI$47</f>
        <v>1388.8493220851094</v>
      </c>
    </row>
    <row r="1512" spans="30:31" ht="14" thickBot="1" x14ac:dyDescent="0.2">
      <c r="AD1512" s="98">
        <f t="shared" si="174"/>
        <v>46435</v>
      </c>
      <c r="AE1512" s="7">
        <f t="shared" si="175"/>
        <v>1391.4623168552307</v>
      </c>
    </row>
    <row r="1513" spans="30:31" ht="14" thickBot="1" x14ac:dyDescent="0.2">
      <c r="AD1513" s="98">
        <f t="shared" si="174"/>
        <v>46436</v>
      </c>
      <c r="AE1513" s="7">
        <f t="shared" si="175"/>
        <v>1394.0802277394041</v>
      </c>
    </row>
    <row r="1514" spans="30:31" ht="14" thickBot="1" x14ac:dyDescent="0.2">
      <c r="AD1514" s="98">
        <f t="shared" si="174"/>
        <v>46437</v>
      </c>
      <c r="AE1514" s="7">
        <f t="shared" si="175"/>
        <v>1396.7030639868551</v>
      </c>
    </row>
    <row r="1515" spans="30:31" ht="14" thickBot="1" x14ac:dyDescent="0.2">
      <c r="AD1515" s="98">
        <f t="shared" si="174"/>
        <v>46438</v>
      </c>
      <c r="AE1515" s="7">
        <f t="shared" si="175"/>
        <v>1399.3308348642106</v>
      </c>
    </row>
    <row r="1516" spans="30:31" ht="14" thickBot="1" x14ac:dyDescent="0.2">
      <c r="AD1516" s="98">
        <f t="shared" si="174"/>
        <v>46439</v>
      </c>
      <c r="AE1516" s="7">
        <f t="shared" si="175"/>
        <v>1401.9635496555316</v>
      </c>
    </row>
    <row r="1517" spans="30:31" ht="14" thickBot="1" x14ac:dyDescent="0.2">
      <c r="AD1517" s="98">
        <f t="shared" si="174"/>
        <v>46440</v>
      </c>
      <c r="AE1517" s="7">
        <f t="shared" si="175"/>
        <v>1404.6012176623465</v>
      </c>
    </row>
    <row r="1518" spans="30:31" ht="14" thickBot="1" x14ac:dyDescent="0.2">
      <c r="AD1518" s="98">
        <f t="shared" si="174"/>
        <v>46441</v>
      </c>
      <c r="AE1518" s="7">
        <f t="shared" si="175"/>
        <v>1407.2438482036837</v>
      </c>
    </row>
    <row r="1519" spans="30:31" ht="14" thickBot="1" x14ac:dyDescent="0.2">
      <c r="AD1519" s="98">
        <f t="shared" si="174"/>
        <v>46442</v>
      </c>
      <c r="AE1519" s="7">
        <f t="shared" si="175"/>
        <v>1409.8914506161045</v>
      </c>
    </row>
    <row r="1520" spans="30:31" ht="14" thickBot="1" x14ac:dyDescent="0.2">
      <c r="AD1520" s="98">
        <f t="shared" si="174"/>
        <v>46443</v>
      </c>
      <c r="AE1520" s="7">
        <f t="shared" si="175"/>
        <v>1412.5440342537361</v>
      </c>
    </row>
    <row r="1521" spans="30:31" ht="14" thickBot="1" x14ac:dyDescent="0.2">
      <c r="AD1521" s="98">
        <f t="shared" si="174"/>
        <v>46444</v>
      </c>
      <c r="AE1521" s="7">
        <f t="shared" si="175"/>
        <v>1415.2016084883044</v>
      </c>
    </row>
    <row r="1522" spans="30:31" ht="14" thickBot="1" x14ac:dyDescent="0.2">
      <c r="AD1522" s="98">
        <f t="shared" si="174"/>
        <v>46445</v>
      </c>
      <c r="AE1522" s="7">
        <f t="shared" si="175"/>
        <v>1417.8641827091676</v>
      </c>
    </row>
    <row r="1523" spans="30:31" ht="14" thickBot="1" x14ac:dyDescent="0.2">
      <c r="AD1523" s="98">
        <f t="shared" si="174"/>
        <v>46446</v>
      </c>
      <c r="AE1523" s="7">
        <f t="shared" si="175"/>
        <v>1420.5317663233491</v>
      </c>
    </row>
    <row r="1524" spans="30:31" ht="14" thickBot="1" x14ac:dyDescent="0.2">
      <c r="AD1524" s="98">
        <f t="shared" si="174"/>
        <v>46447</v>
      </c>
      <c r="AE1524" s="7">
        <f t="shared" si="175"/>
        <v>1423.2043687555708</v>
      </c>
    </row>
    <row r="1525" spans="30:31" ht="14" thickBot="1" x14ac:dyDescent="0.2">
      <c r="AD1525" s="98">
        <f t="shared" si="174"/>
        <v>46448</v>
      </c>
      <c r="AE1525" s="7">
        <f t="shared" si="175"/>
        <v>1425.8819994482863</v>
      </c>
    </row>
    <row r="1526" spans="30:31" ht="14" thickBot="1" x14ac:dyDescent="0.2">
      <c r="AD1526" s="98">
        <f t="shared" si="174"/>
        <v>46449</v>
      </c>
      <c r="AE1526" s="7">
        <f t="shared" si="175"/>
        <v>1428.564667861714</v>
      </c>
    </row>
    <row r="1527" spans="30:31" ht="14" thickBot="1" x14ac:dyDescent="0.2">
      <c r="AD1527" s="98">
        <f t="shared" si="174"/>
        <v>46450</v>
      </c>
      <c r="AE1527" s="7">
        <f t="shared" si="175"/>
        <v>1431.2523834738718</v>
      </c>
    </row>
    <row r="1528" spans="30:31" ht="14" thickBot="1" x14ac:dyDescent="0.2">
      <c r="AD1528" s="98">
        <f t="shared" si="174"/>
        <v>46451</v>
      </c>
      <c r="AE1528" s="7">
        <f t="shared" si="175"/>
        <v>1433.9451557806085</v>
      </c>
    </row>
    <row r="1529" spans="30:31" ht="14" thickBot="1" x14ac:dyDescent="0.2">
      <c r="AD1529" s="98">
        <f t="shared" si="174"/>
        <v>46452</v>
      </c>
      <c r="AE1529" s="7">
        <f t="shared" si="175"/>
        <v>1436.6429942956393</v>
      </c>
    </row>
    <row r="1530" spans="30:31" ht="14" thickBot="1" x14ac:dyDescent="0.2">
      <c r="AD1530" s="98">
        <f t="shared" si="174"/>
        <v>46453</v>
      </c>
      <c r="AE1530" s="7">
        <f t="shared" si="175"/>
        <v>1439.3459085505781</v>
      </c>
    </row>
    <row r="1531" spans="30:31" ht="14" thickBot="1" x14ac:dyDescent="0.2">
      <c r="AD1531" s="98">
        <f t="shared" si="174"/>
        <v>46454</v>
      </c>
      <c r="AE1531" s="7">
        <f t="shared" si="175"/>
        <v>1442.0539080949718</v>
      </c>
    </row>
    <row r="1532" spans="30:31" ht="14" thickBot="1" x14ac:dyDescent="0.2">
      <c r="AD1532" s="98">
        <f t="shared" si="174"/>
        <v>46455</v>
      </c>
      <c r="AE1532" s="7">
        <f t="shared" si="175"/>
        <v>1444.7670024963343</v>
      </c>
    </row>
    <row r="1533" spans="30:31" ht="14" thickBot="1" x14ac:dyDescent="0.2">
      <c r="AD1533" s="98">
        <f t="shared" si="174"/>
        <v>46456</v>
      </c>
      <c r="AE1533" s="7">
        <f t="shared" si="175"/>
        <v>1447.4852013401794</v>
      </c>
    </row>
    <row r="1534" spans="30:31" ht="14" thickBot="1" x14ac:dyDescent="0.2">
      <c r="AD1534" s="98">
        <f t="shared" si="174"/>
        <v>46457</v>
      </c>
      <c r="AE1534" s="7">
        <f t="shared" si="175"/>
        <v>1450.2085142300552</v>
      </c>
    </row>
    <row r="1535" spans="30:31" ht="14" thickBot="1" x14ac:dyDescent="0.2">
      <c r="AD1535" s="98">
        <f t="shared" si="174"/>
        <v>46458</v>
      </c>
      <c r="AE1535" s="7">
        <f t="shared" si="175"/>
        <v>1452.9369507875786</v>
      </c>
    </row>
    <row r="1536" spans="30:31" ht="14" thickBot="1" x14ac:dyDescent="0.2">
      <c r="AD1536" s="98">
        <f t="shared" si="174"/>
        <v>46459</v>
      </c>
      <c r="AE1536" s="7">
        <f t="shared" si="175"/>
        <v>1455.670520652468</v>
      </c>
    </row>
    <row r="1537" spans="30:31" ht="14" thickBot="1" x14ac:dyDescent="0.2">
      <c r="AD1537" s="98">
        <f t="shared" si="174"/>
        <v>46460</v>
      </c>
      <c r="AE1537" s="7">
        <f t="shared" si="175"/>
        <v>1458.4092334825784</v>
      </c>
    </row>
    <row r="1538" spans="30:31" ht="14" thickBot="1" x14ac:dyDescent="0.2">
      <c r="AD1538" s="98">
        <f t="shared" si="174"/>
        <v>46461</v>
      </c>
      <c r="AE1538" s="7">
        <f t="shared" si="175"/>
        <v>1461.1530989539351</v>
      </c>
    </row>
    <row r="1539" spans="30:31" ht="14" thickBot="1" x14ac:dyDescent="0.2">
      <c r="AD1539" s="98">
        <f t="shared" si="174"/>
        <v>46462</v>
      </c>
      <c r="AE1539" s="7">
        <f t="shared" ref="AE1539:AE1569" si="176">AE1538*$AI$48</f>
        <v>1464.1969720432387</v>
      </c>
    </row>
    <row r="1540" spans="30:31" ht="14" thickBot="1" x14ac:dyDescent="0.2">
      <c r="AD1540" s="98">
        <f t="shared" si="174"/>
        <v>46463</v>
      </c>
      <c r="AE1540" s="7">
        <f t="shared" si="176"/>
        <v>1467.2471861267818</v>
      </c>
    </row>
    <row r="1541" spans="30:31" ht="14" thickBot="1" x14ac:dyDescent="0.2">
      <c r="AD1541" s="98">
        <f t="shared" si="174"/>
        <v>46464</v>
      </c>
      <c r="AE1541" s="7">
        <f t="shared" si="176"/>
        <v>1470.3037544141193</v>
      </c>
    </row>
    <row r="1542" spans="30:31" ht="14" thickBot="1" x14ac:dyDescent="0.2">
      <c r="AD1542" s="98">
        <f t="shared" si="174"/>
        <v>46465</v>
      </c>
      <c r="AE1542" s="7">
        <f t="shared" si="176"/>
        <v>1473.3666901423239</v>
      </c>
    </row>
    <row r="1543" spans="30:31" ht="14" thickBot="1" x14ac:dyDescent="0.2">
      <c r="AD1543" s="98">
        <f t="shared" si="174"/>
        <v>46466</v>
      </c>
      <c r="AE1543" s="7">
        <f t="shared" si="176"/>
        <v>1476.4360065760441</v>
      </c>
    </row>
    <row r="1544" spans="30:31" ht="14" thickBot="1" x14ac:dyDescent="0.2">
      <c r="AD1544" s="98">
        <f t="shared" si="174"/>
        <v>46467</v>
      </c>
      <c r="AE1544" s="7">
        <f t="shared" si="176"/>
        <v>1479.5117170075607</v>
      </c>
    </row>
    <row r="1545" spans="30:31" ht="14" thickBot="1" x14ac:dyDescent="0.2">
      <c r="AD1545" s="98">
        <f t="shared" ref="AD1545:AD1608" si="177">AD1544+1</f>
        <v>46468</v>
      </c>
      <c r="AE1545" s="7">
        <f t="shared" si="176"/>
        <v>1482.5938347568456</v>
      </c>
    </row>
    <row r="1546" spans="30:31" ht="14" thickBot="1" x14ac:dyDescent="0.2">
      <c r="AD1546" s="98">
        <f t="shared" si="177"/>
        <v>46469</v>
      </c>
      <c r="AE1546" s="7">
        <f t="shared" si="176"/>
        <v>1485.6823731716183</v>
      </c>
    </row>
    <row r="1547" spans="30:31" ht="14" thickBot="1" x14ac:dyDescent="0.2">
      <c r="AD1547" s="98">
        <f t="shared" si="177"/>
        <v>46470</v>
      </c>
      <c r="AE1547" s="7">
        <f t="shared" si="176"/>
        <v>1488.7773456274049</v>
      </c>
    </row>
    <row r="1548" spans="30:31" ht="14" thickBot="1" x14ac:dyDescent="0.2">
      <c r="AD1548" s="98">
        <f t="shared" si="177"/>
        <v>46471</v>
      </c>
      <c r="AE1548" s="7">
        <f t="shared" si="176"/>
        <v>1491.8787655275949</v>
      </c>
    </row>
    <row r="1549" spans="30:31" ht="14" thickBot="1" x14ac:dyDescent="0.2">
      <c r="AD1549" s="98">
        <f t="shared" si="177"/>
        <v>46472</v>
      </c>
      <c r="AE1549" s="7">
        <f t="shared" si="176"/>
        <v>1494.9866463034998</v>
      </c>
    </row>
    <row r="1550" spans="30:31" ht="14" thickBot="1" x14ac:dyDescent="0.2">
      <c r="AD1550" s="98">
        <f t="shared" si="177"/>
        <v>46473</v>
      </c>
      <c r="AE1550" s="7">
        <f t="shared" si="176"/>
        <v>1498.1010014144113</v>
      </c>
    </row>
    <row r="1551" spans="30:31" ht="14" thickBot="1" x14ac:dyDescent="0.2">
      <c r="AD1551" s="98">
        <f t="shared" si="177"/>
        <v>46474</v>
      </c>
      <c r="AE1551" s="7">
        <f t="shared" si="176"/>
        <v>1501.2218443476593</v>
      </c>
    </row>
    <row r="1552" spans="30:31" ht="14" thickBot="1" x14ac:dyDescent="0.2">
      <c r="AD1552" s="98">
        <f t="shared" si="177"/>
        <v>46475</v>
      </c>
      <c r="AE1552" s="7">
        <f t="shared" si="176"/>
        <v>1504.349188618671</v>
      </c>
    </row>
    <row r="1553" spans="30:31" ht="14" thickBot="1" x14ac:dyDescent="0.2">
      <c r="AD1553" s="98">
        <f t="shared" si="177"/>
        <v>46476</v>
      </c>
      <c r="AE1553" s="7">
        <f t="shared" si="176"/>
        <v>1507.4830477710282</v>
      </c>
    </row>
    <row r="1554" spans="30:31" ht="14" thickBot="1" x14ac:dyDescent="0.2">
      <c r="AD1554" s="98">
        <f t="shared" si="177"/>
        <v>46477</v>
      </c>
      <c r="AE1554" s="7">
        <f t="shared" si="176"/>
        <v>1510.6234353765271</v>
      </c>
    </row>
    <row r="1555" spans="30:31" ht="14" thickBot="1" x14ac:dyDescent="0.2">
      <c r="AD1555" s="98">
        <f t="shared" si="177"/>
        <v>46478</v>
      </c>
      <c r="AE1555" s="7">
        <f t="shared" si="176"/>
        <v>1513.7703650352369</v>
      </c>
    </row>
    <row r="1556" spans="30:31" ht="14" thickBot="1" x14ac:dyDescent="0.2">
      <c r="AD1556" s="98">
        <f t="shared" si="177"/>
        <v>46479</v>
      </c>
      <c r="AE1556" s="7">
        <f t="shared" si="176"/>
        <v>1516.923850375558</v>
      </c>
    </row>
    <row r="1557" spans="30:31" ht="14" thickBot="1" x14ac:dyDescent="0.2">
      <c r="AD1557" s="98">
        <f t="shared" si="177"/>
        <v>46480</v>
      </c>
      <c r="AE1557" s="7">
        <f t="shared" si="176"/>
        <v>1520.0839050542816</v>
      </c>
    </row>
    <row r="1558" spans="30:31" ht="14" thickBot="1" x14ac:dyDescent="0.2">
      <c r="AD1558" s="98">
        <f t="shared" si="177"/>
        <v>46481</v>
      </c>
      <c r="AE1558" s="7">
        <f t="shared" si="176"/>
        <v>1523.2505427566487</v>
      </c>
    </row>
    <row r="1559" spans="30:31" ht="14" thickBot="1" x14ac:dyDescent="0.2">
      <c r="AD1559" s="98">
        <f t="shared" si="177"/>
        <v>46482</v>
      </c>
      <c r="AE1559" s="7">
        <f t="shared" si="176"/>
        <v>1526.4237771964094</v>
      </c>
    </row>
    <row r="1560" spans="30:31" ht="14" thickBot="1" x14ac:dyDescent="0.2">
      <c r="AD1560" s="98">
        <f t="shared" si="177"/>
        <v>46483</v>
      </c>
      <c r="AE1560" s="7">
        <f t="shared" si="176"/>
        <v>1529.6036221158827</v>
      </c>
    </row>
    <row r="1561" spans="30:31" ht="14" thickBot="1" x14ac:dyDescent="0.2">
      <c r="AD1561" s="98">
        <f t="shared" si="177"/>
        <v>46484</v>
      </c>
      <c r="AE1561" s="7">
        <f t="shared" si="176"/>
        <v>1532.7900912860148</v>
      </c>
    </row>
    <row r="1562" spans="30:31" ht="14" thickBot="1" x14ac:dyDescent="0.2">
      <c r="AD1562" s="98">
        <f t="shared" si="177"/>
        <v>46485</v>
      </c>
      <c r="AE1562" s="7">
        <f t="shared" si="176"/>
        <v>1535.98319850644</v>
      </c>
    </row>
    <row r="1563" spans="30:31" ht="14" thickBot="1" x14ac:dyDescent="0.2">
      <c r="AD1563" s="98">
        <f t="shared" si="177"/>
        <v>46486</v>
      </c>
      <c r="AE1563" s="7">
        <f t="shared" si="176"/>
        <v>1539.18295760554</v>
      </c>
    </row>
    <row r="1564" spans="30:31" ht="14" thickBot="1" x14ac:dyDescent="0.2">
      <c r="AD1564" s="98">
        <f t="shared" si="177"/>
        <v>46487</v>
      </c>
      <c r="AE1564" s="7">
        <f t="shared" si="176"/>
        <v>1542.3893824405036</v>
      </c>
    </row>
    <row r="1565" spans="30:31" ht="14" thickBot="1" x14ac:dyDescent="0.2">
      <c r="AD1565" s="98">
        <f t="shared" si="177"/>
        <v>46488</v>
      </c>
      <c r="AE1565" s="7">
        <f t="shared" si="176"/>
        <v>1545.6024868973871</v>
      </c>
    </row>
    <row r="1566" spans="30:31" ht="14" thickBot="1" x14ac:dyDescent="0.2">
      <c r="AD1566" s="98">
        <f t="shared" si="177"/>
        <v>46489</v>
      </c>
      <c r="AE1566" s="7">
        <f t="shared" si="176"/>
        <v>1548.8222848911739</v>
      </c>
    </row>
    <row r="1567" spans="30:31" ht="14" thickBot="1" x14ac:dyDescent="0.2">
      <c r="AD1567" s="98">
        <f t="shared" si="177"/>
        <v>46490</v>
      </c>
      <c r="AE1567" s="7">
        <f t="shared" si="176"/>
        <v>1552.0487903658357</v>
      </c>
    </row>
    <row r="1568" spans="30:31" ht="14" thickBot="1" x14ac:dyDescent="0.2">
      <c r="AD1568" s="98">
        <f t="shared" si="177"/>
        <v>46491</v>
      </c>
      <c r="AE1568" s="7">
        <f t="shared" si="176"/>
        <v>1555.2820172943914</v>
      </c>
    </row>
    <row r="1569" spans="30:31" ht="14" thickBot="1" x14ac:dyDescent="0.2">
      <c r="AD1569" s="98">
        <f t="shared" si="177"/>
        <v>46492</v>
      </c>
      <c r="AE1569" s="7">
        <f t="shared" si="176"/>
        <v>1558.5219796789693</v>
      </c>
    </row>
    <row r="1570" spans="30:31" ht="14" thickBot="1" x14ac:dyDescent="0.2">
      <c r="AD1570" s="98">
        <f t="shared" si="177"/>
        <v>46493</v>
      </c>
      <c r="AE1570" s="7">
        <f t="shared" ref="AE1570:AE1599" si="178">AE1569*$AI$49</f>
        <v>1561.454198255356</v>
      </c>
    </row>
    <row r="1571" spans="30:31" ht="14" thickBot="1" x14ac:dyDescent="0.2">
      <c r="AD1571" s="98">
        <f t="shared" si="177"/>
        <v>46494</v>
      </c>
      <c r="AE1571" s="7">
        <f t="shared" si="178"/>
        <v>1564.3919335366029</v>
      </c>
    </row>
    <row r="1572" spans="30:31" ht="14" thickBot="1" x14ac:dyDescent="0.2">
      <c r="AD1572" s="98">
        <f t="shared" si="177"/>
        <v>46495</v>
      </c>
      <c r="AE1572" s="7">
        <f t="shared" si="178"/>
        <v>1567.3351959018926</v>
      </c>
    </row>
    <row r="1573" spans="30:31" ht="14" thickBot="1" x14ac:dyDescent="0.2">
      <c r="AD1573" s="98">
        <f t="shared" si="177"/>
        <v>46496</v>
      </c>
      <c r="AE1573" s="7">
        <f t="shared" si="178"/>
        <v>1570.2839957499352</v>
      </c>
    </row>
    <row r="1574" spans="30:31" ht="14" thickBot="1" x14ac:dyDescent="0.2">
      <c r="AD1574" s="98">
        <f t="shared" si="177"/>
        <v>46497</v>
      </c>
      <c r="AE1574" s="7">
        <f t="shared" si="178"/>
        <v>1573.2383434990054</v>
      </c>
    </row>
    <row r="1575" spans="30:31" ht="14" thickBot="1" x14ac:dyDescent="0.2">
      <c r="AD1575" s="98">
        <f t="shared" si="177"/>
        <v>46498</v>
      </c>
      <c r="AE1575" s="7">
        <f t="shared" si="178"/>
        <v>1576.1982495869786</v>
      </c>
    </row>
    <row r="1576" spans="30:31" ht="14" thickBot="1" x14ac:dyDescent="0.2">
      <c r="AD1576" s="98">
        <f t="shared" si="177"/>
        <v>46499</v>
      </c>
      <c r="AE1576" s="7">
        <f t="shared" si="178"/>
        <v>1579.1637244713684</v>
      </c>
    </row>
    <row r="1577" spans="30:31" ht="14" thickBot="1" x14ac:dyDescent="0.2">
      <c r="AD1577" s="98">
        <f t="shared" si="177"/>
        <v>46500</v>
      </c>
      <c r="AE1577" s="7">
        <f t="shared" si="178"/>
        <v>1582.1347786293629</v>
      </c>
    </row>
    <row r="1578" spans="30:31" ht="14" thickBot="1" x14ac:dyDescent="0.2">
      <c r="AD1578" s="98">
        <f t="shared" si="177"/>
        <v>46501</v>
      </c>
      <c r="AE1578" s="7">
        <f t="shared" si="178"/>
        <v>1585.1114225578626</v>
      </c>
    </row>
    <row r="1579" spans="30:31" ht="14" thickBot="1" x14ac:dyDescent="0.2">
      <c r="AD1579" s="98">
        <f t="shared" si="177"/>
        <v>46502</v>
      </c>
      <c r="AE1579" s="7">
        <f t="shared" si="178"/>
        <v>1588.0936667735166</v>
      </c>
    </row>
    <row r="1580" spans="30:31" ht="14" thickBot="1" x14ac:dyDescent="0.2">
      <c r="AD1580" s="98">
        <f t="shared" si="177"/>
        <v>46503</v>
      </c>
      <c r="AE1580" s="7">
        <f t="shared" si="178"/>
        <v>1591.08152181276</v>
      </c>
    </row>
    <row r="1581" spans="30:31" ht="14" thickBot="1" x14ac:dyDescent="0.2">
      <c r="AD1581" s="98">
        <f t="shared" si="177"/>
        <v>46504</v>
      </c>
      <c r="AE1581" s="7">
        <f t="shared" si="178"/>
        <v>1594.0749982318519</v>
      </c>
    </row>
    <row r="1582" spans="30:31" ht="14" thickBot="1" x14ac:dyDescent="0.2">
      <c r="AD1582" s="98">
        <f t="shared" si="177"/>
        <v>46505</v>
      </c>
      <c r="AE1582" s="7">
        <f t="shared" si="178"/>
        <v>1597.0741066069111</v>
      </c>
    </row>
    <row r="1583" spans="30:31" ht="14" thickBot="1" x14ac:dyDescent="0.2">
      <c r="AD1583" s="98">
        <f t="shared" si="177"/>
        <v>46506</v>
      </c>
      <c r="AE1583" s="7">
        <f t="shared" si="178"/>
        <v>1600.0788575339552</v>
      </c>
    </row>
    <row r="1584" spans="30:31" ht="14" thickBot="1" x14ac:dyDescent="0.2">
      <c r="AD1584" s="98">
        <f t="shared" si="177"/>
        <v>46507</v>
      </c>
      <c r="AE1584" s="7">
        <f t="shared" si="178"/>
        <v>1603.089261628937</v>
      </c>
    </row>
    <row r="1585" spans="30:31" ht="14" thickBot="1" x14ac:dyDescent="0.2">
      <c r="AD1585" s="98">
        <f t="shared" si="177"/>
        <v>46508</v>
      </c>
      <c r="AE1585" s="7">
        <f t="shared" si="178"/>
        <v>1606.1053295277823</v>
      </c>
    </row>
    <row r="1586" spans="30:31" ht="14" thickBot="1" x14ac:dyDescent="0.2">
      <c r="AD1586" s="98">
        <f t="shared" si="177"/>
        <v>46509</v>
      </c>
      <c r="AE1586" s="7">
        <f t="shared" si="178"/>
        <v>1609.1270718864273</v>
      </c>
    </row>
    <row r="1587" spans="30:31" ht="14" thickBot="1" x14ac:dyDescent="0.2">
      <c r="AD1587" s="98">
        <f t="shared" si="177"/>
        <v>46510</v>
      </c>
      <c r="AE1587" s="7">
        <f t="shared" si="178"/>
        <v>1612.1544993808566</v>
      </c>
    </row>
    <row r="1588" spans="30:31" ht="14" thickBot="1" x14ac:dyDescent="0.2">
      <c r="AD1588" s="98">
        <f t="shared" si="177"/>
        <v>46511</v>
      </c>
      <c r="AE1588" s="7">
        <f t="shared" si="178"/>
        <v>1615.1876227071402</v>
      </c>
    </row>
    <row r="1589" spans="30:31" ht="14" thickBot="1" x14ac:dyDescent="0.2">
      <c r="AD1589" s="98">
        <f t="shared" si="177"/>
        <v>46512</v>
      </c>
      <c r="AE1589" s="7">
        <f t="shared" si="178"/>
        <v>1618.2264525814726</v>
      </c>
    </row>
    <row r="1590" spans="30:31" ht="14" thickBot="1" x14ac:dyDescent="0.2">
      <c r="AD1590" s="98">
        <f t="shared" si="177"/>
        <v>46513</v>
      </c>
      <c r="AE1590" s="7">
        <f t="shared" si="178"/>
        <v>1621.2709997402092</v>
      </c>
    </row>
    <row r="1591" spans="30:31" ht="14" thickBot="1" x14ac:dyDescent="0.2">
      <c r="AD1591" s="98">
        <f t="shared" si="177"/>
        <v>46514</v>
      </c>
      <c r="AE1591" s="7">
        <f t="shared" si="178"/>
        <v>1624.3212749399049</v>
      </c>
    </row>
    <row r="1592" spans="30:31" ht="14" thickBot="1" x14ac:dyDescent="0.2">
      <c r="AD1592" s="98">
        <f t="shared" si="177"/>
        <v>46515</v>
      </c>
      <c r="AE1592" s="7">
        <f t="shared" si="178"/>
        <v>1627.3772889573524</v>
      </c>
    </row>
    <row r="1593" spans="30:31" ht="14" thickBot="1" x14ac:dyDescent="0.2">
      <c r="AD1593" s="98">
        <f t="shared" si="177"/>
        <v>46516</v>
      </c>
      <c r="AE1593" s="7">
        <f t="shared" si="178"/>
        <v>1630.4390525896201</v>
      </c>
    </row>
    <row r="1594" spans="30:31" ht="14" thickBot="1" x14ac:dyDescent="0.2">
      <c r="AD1594" s="98">
        <f t="shared" si="177"/>
        <v>46517</v>
      </c>
      <c r="AE1594" s="7">
        <f t="shared" si="178"/>
        <v>1633.5065766540895</v>
      </c>
    </row>
    <row r="1595" spans="30:31" ht="14" thickBot="1" x14ac:dyDescent="0.2">
      <c r="AD1595" s="98">
        <f t="shared" si="177"/>
        <v>46518</v>
      </c>
      <c r="AE1595" s="7">
        <f t="shared" si="178"/>
        <v>1636.5798719884947</v>
      </c>
    </row>
    <row r="1596" spans="30:31" ht="14" thickBot="1" x14ac:dyDescent="0.2">
      <c r="AD1596" s="98">
        <f t="shared" si="177"/>
        <v>46519</v>
      </c>
      <c r="AE1596" s="7">
        <f t="shared" si="178"/>
        <v>1639.6589494509594</v>
      </c>
    </row>
    <row r="1597" spans="30:31" ht="14" thickBot="1" x14ac:dyDescent="0.2">
      <c r="AD1597" s="98">
        <f t="shared" si="177"/>
        <v>46520</v>
      </c>
      <c r="AE1597" s="7">
        <f t="shared" si="178"/>
        <v>1642.7438199200365</v>
      </c>
    </row>
    <row r="1598" spans="30:31" ht="14" thickBot="1" x14ac:dyDescent="0.2">
      <c r="AD1598" s="98">
        <f t="shared" si="177"/>
        <v>46521</v>
      </c>
      <c r="AE1598" s="7">
        <f t="shared" si="178"/>
        <v>1645.8344942947451</v>
      </c>
    </row>
    <row r="1599" spans="30:31" ht="14" thickBot="1" x14ac:dyDescent="0.2">
      <c r="AD1599" s="98">
        <f t="shared" si="177"/>
        <v>46522</v>
      </c>
      <c r="AE1599" s="7">
        <f t="shared" si="178"/>
        <v>1648.9309834946109</v>
      </c>
    </row>
    <row r="1600" spans="30:31" ht="14" thickBot="1" x14ac:dyDescent="0.2">
      <c r="AD1600" s="98">
        <f t="shared" si="177"/>
        <v>46523</v>
      </c>
      <c r="AE1600" s="7">
        <f t="shared" ref="AE1600:AE1630" si="179">AE1599*$AI$50</f>
        <v>1652.1368094190466</v>
      </c>
    </row>
    <row r="1601" spans="30:31" ht="14" thickBot="1" x14ac:dyDescent="0.2">
      <c r="AD1601" s="98">
        <f t="shared" si="177"/>
        <v>46524</v>
      </c>
      <c r="AE1601" s="7">
        <f t="shared" si="179"/>
        <v>1655.3488680602914</v>
      </c>
    </row>
    <row r="1602" spans="30:31" ht="14" thickBot="1" x14ac:dyDescent="0.2">
      <c r="AD1602" s="98">
        <f t="shared" si="177"/>
        <v>46525</v>
      </c>
      <c r="AE1602" s="7">
        <f t="shared" si="179"/>
        <v>1658.567171535896</v>
      </c>
    </row>
    <row r="1603" spans="30:31" ht="14" thickBot="1" x14ac:dyDescent="0.2">
      <c r="AD1603" s="98">
        <f t="shared" si="177"/>
        <v>46526</v>
      </c>
      <c r="AE1603" s="7">
        <f t="shared" si="179"/>
        <v>1661.7917319869703</v>
      </c>
    </row>
    <row r="1604" spans="30:31" ht="14" thickBot="1" x14ac:dyDescent="0.2">
      <c r="AD1604" s="98">
        <f t="shared" si="177"/>
        <v>46527</v>
      </c>
      <c r="AE1604" s="7">
        <f t="shared" si="179"/>
        <v>1665.0225615782283</v>
      </c>
    </row>
    <row r="1605" spans="30:31" ht="14" thickBot="1" x14ac:dyDescent="0.2">
      <c r="AD1605" s="98">
        <f t="shared" si="177"/>
        <v>46528</v>
      </c>
      <c r="AE1605" s="7">
        <f t="shared" si="179"/>
        <v>1668.2596724980349</v>
      </c>
    </row>
    <row r="1606" spans="30:31" ht="14" thickBot="1" x14ac:dyDescent="0.2">
      <c r="AD1606" s="98">
        <f t="shared" si="177"/>
        <v>46529</v>
      </c>
      <c r="AE1606" s="7">
        <f t="shared" si="179"/>
        <v>1671.5030769584509</v>
      </c>
    </row>
    <row r="1607" spans="30:31" ht="14" thickBot="1" x14ac:dyDescent="0.2">
      <c r="AD1607" s="98">
        <f t="shared" si="177"/>
        <v>46530</v>
      </c>
      <c r="AE1607" s="7">
        <f t="shared" si="179"/>
        <v>1674.7527871952802</v>
      </c>
    </row>
    <row r="1608" spans="30:31" ht="14" thickBot="1" x14ac:dyDescent="0.2">
      <c r="AD1608" s="98">
        <f t="shared" si="177"/>
        <v>46531</v>
      </c>
      <c r="AE1608" s="7">
        <f t="shared" si="179"/>
        <v>1678.0088154681148</v>
      </c>
    </row>
    <row r="1609" spans="30:31" ht="14" thickBot="1" x14ac:dyDescent="0.2">
      <c r="AD1609" s="98">
        <f t="shared" ref="AD1609:AD1672" si="180">AD1608+1</f>
        <v>46532</v>
      </c>
      <c r="AE1609" s="7">
        <f t="shared" si="179"/>
        <v>1681.271174060382</v>
      </c>
    </row>
    <row r="1610" spans="30:31" ht="14" thickBot="1" x14ac:dyDescent="0.2">
      <c r="AD1610" s="98">
        <f t="shared" si="180"/>
        <v>46533</v>
      </c>
      <c r="AE1610" s="7">
        <f t="shared" si="179"/>
        <v>1684.5398752793901</v>
      </c>
    </row>
    <row r="1611" spans="30:31" ht="14" thickBot="1" x14ac:dyDescent="0.2">
      <c r="AD1611" s="98">
        <f t="shared" si="180"/>
        <v>46534</v>
      </c>
      <c r="AE1611" s="7">
        <f t="shared" si="179"/>
        <v>1687.8149314563752</v>
      </c>
    </row>
    <row r="1612" spans="30:31" ht="14" thickBot="1" x14ac:dyDescent="0.2">
      <c r="AD1612" s="98">
        <f t="shared" si="180"/>
        <v>46535</v>
      </c>
      <c r="AE1612" s="7">
        <f t="shared" si="179"/>
        <v>1691.0963549465478</v>
      </c>
    </row>
    <row r="1613" spans="30:31" ht="14" thickBot="1" x14ac:dyDescent="0.2">
      <c r="AD1613" s="98">
        <f t="shared" si="180"/>
        <v>46536</v>
      </c>
      <c r="AE1613" s="7">
        <f t="shared" si="179"/>
        <v>1694.3841581291385</v>
      </c>
    </row>
    <row r="1614" spans="30:31" ht="14" thickBot="1" x14ac:dyDescent="0.2">
      <c r="AD1614" s="98">
        <f t="shared" si="180"/>
        <v>46537</v>
      </c>
      <c r="AE1614" s="7">
        <f t="shared" si="179"/>
        <v>1697.6783534074464</v>
      </c>
    </row>
    <row r="1615" spans="30:31" ht="14" thickBot="1" x14ac:dyDescent="0.2">
      <c r="AD1615" s="98">
        <f t="shared" si="180"/>
        <v>46538</v>
      </c>
      <c r="AE1615" s="7">
        <f t="shared" si="179"/>
        <v>1700.9789532088841</v>
      </c>
    </row>
    <row r="1616" spans="30:31" ht="14" thickBot="1" x14ac:dyDescent="0.2">
      <c r="AD1616" s="98">
        <f t="shared" si="180"/>
        <v>46539</v>
      </c>
      <c r="AE1616" s="7">
        <f t="shared" si="179"/>
        <v>1704.2859699850258</v>
      </c>
    </row>
    <row r="1617" spans="30:31" ht="14" thickBot="1" x14ac:dyDescent="0.2">
      <c r="AD1617" s="98">
        <f t="shared" si="180"/>
        <v>46540</v>
      </c>
      <c r="AE1617" s="7">
        <f t="shared" si="179"/>
        <v>1707.5994162116535</v>
      </c>
    </row>
    <row r="1618" spans="30:31" ht="14" thickBot="1" x14ac:dyDescent="0.2">
      <c r="AD1618" s="98">
        <f t="shared" si="180"/>
        <v>46541</v>
      </c>
      <c r="AE1618" s="7">
        <f t="shared" si="179"/>
        <v>1710.9193043888049</v>
      </c>
    </row>
    <row r="1619" spans="30:31" ht="14" thickBot="1" x14ac:dyDescent="0.2">
      <c r="AD1619" s="98">
        <f t="shared" si="180"/>
        <v>46542</v>
      </c>
      <c r="AE1619" s="7">
        <f t="shared" si="179"/>
        <v>1714.2456470408199</v>
      </c>
    </row>
    <row r="1620" spans="30:31" ht="14" thickBot="1" x14ac:dyDescent="0.2">
      <c r="AD1620" s="98">
        <f t="shared" si="180"/>
        <v>46543</v>
      </c>
      <c r="AE1620" s="7">
        <f t="shared" si="179"/>
        <v>1717.5784567163878</v>
      </c>
    </row>
    <row r="1621" spans="30:31" ht="14" thickBot="1" x14ac:dyDescent="0.2">
      <c r="AD1621" s="98">
        <f t="shared" si="180"/>
        <v>46544</v>
      </c>
      <c r="AE1621" s="7">
        <f t="shared" si="179"/>
        <v>1720.917745988595</v>
      </c>
    </row>
    <row r="1622" spans="30:31" ht="14" thickBot="1" x14ac:dyDescent="0.2">
      <c r="AD1622" s="98">
        <f t="shared" si="180"/>
        <v>46545</v>
      </c>
      <c r="AE1622" s="7">
        <f t="shared" si="179"/>
        <v>1724.2635274549723</v>
      </c>
    </row>
    <row r="1623" spans="30:31" ht="14" thickBot="1" x14ac:dyDescent="0.2">
      <c r="AD1623" s="98">
        <f t="shared" si="180"/>
        <v>46546</v>
      </c>
      <c r="AE1623" s="7">
        <f t="shared" si="179"/>
        <v>1727.6158137375426</v>
      </c>
    </row>
    <row r="1624" spans="30:31" ht="14" thickBot="1" x14ac:dyDescent="0.2">
      <c r="AD1624" s="98">
        <f t="shared" si="180"/>
        <v>46547</v>
      </c>
      <c r="AE1624" s="7">
        <f t="shared" si="179"/>
        <v>1730.9746174828681</v>
      </c>
    </row>
    <row r="1625" spans="30:31" ht="14" thickBot="1" x14ac:dyDescent="0.2">
      <c r="AD1625" s="98">
        <f t="shared" si="180"/>
        <v>46548</v>
      </c>
      <c r="AE1625" s="7">
        <f t="shared" si="179"/>
        <v>1734.3399513620982</v>
      </c>
    </row>
    <row r="1626" spans="30:31" ht="14" thickBot="1" x14ac:dyDescent="0.2">
      <c r="AD1626" s="98">
        <f t="shared" si="180"/>
        <v>46549</v>
      </c>
      <c r="AE1626" s="7">
        <f t="shared" si="179"/>
        <v>1737.7118280710176</v>
      </c>
    </row>
    <row r="1627" spans="30:31" ht="14" thickBot="1" x14ac:dyDescent="0.2">
      <c r="AD1627" s="98">
        <f t="shared" si="180"/>
        <v>46550</v>
      </c>
      <c r="AE1627" s="7">
        <f t="shared" si="179"/>
        <v>1741.090260330094</v>
      </c>
    </row>
    <row r="1628" spans="30:31" ht="14" thickBot="1" x14ac:dyDescent="0.2">
      <c r="AD1628" s="98">
        <f t="shared" si="180"/>
        <v>46551</v>
      </c>
      <c r="AE1628" s="7">
        <f t="shared" si="179"/>
        <v>1744.4752608845256</v>
      </c>
    </row>
    <row r="1629" spans="30:31" ht="14" thickBot="1" x14ac:dyDescent="0.2">
      <c r="AD1629" s="98">
        <f t="shared" si="180"/>
        <v>46552</v>
      </c>
      <c r="AE1629" s="7">
        <f t="shared" si="179"/>
        <v>1747.8668425042899</v>
      </c>
    </row>
    <row r="1630" spans="30:31" ht="14" thickBot="1" x14ac:dyDescent="0.2">
      <c r="AD1630" s="98">
        <f t="shared" si="180"/>
        <v>46553</v>
      </c>
      <c r="AE1630" s="7">
        <f t="shared" si="179"/>
        <v>1751.2650179841917</v>
      </c>
    </row>
    <row r="1631" spans="30:31" ht="14" thickBot="1" x14ac:dyDescent="0.2">
      <c r="AD1631" s="98">
        <f t="shared" si="180"/>
        <v>46554</v>
      </c>
      <c r="AE1631" s="7">
        <f t="shared" ref="AE1631:AE1660" si="181">AE1630*$AI$51</f>
        <v>1754.5598652079489</v>
      </c>
    </row>
    <row r="1632" spans="30:31" ht="14" thickBot="1" x14ac:dyDescent="0.2">
      <c r="AD1632" s="98">
        <f t="shared" si="180"/>
        <v>46555</v>
      </c>
      <c r="AE1632" s="7">
        <f t="shared" si="181"/>
        <v>1757.8609113896687</v>
      </c>
    </row>
    <row r="1633" spans="30:31" ht="14" thickBot="1" x14ac:dyDescent="0.2">
      <c r="AD1633" s="98">
        <f t="shared" si="180"/>
        <v>46556</v>
      </c>
      <c r="AE1633" s="7">
        <f t="shared" si="181"/>
        <v>1761.1681681921316</v>
      </c>
    </row>
    <row r="1634" spans="30:31" ht="14" thickBot="1" x14ac:dyDescent="0.2">
      <c r="AD1634" s="98">
        <f t="shared" si="180"/>
        <v>46557</v>
      </c>
      <c r="AE1634" s="7">
        <f t="shared" si="181"/>
        <v>1764.4816473000603</v>
      </c>
    </row>
    <row r="1635" spans="30:31" ht="14" thickBot="1" x14ac:dyDescent="0.2">
      <c r="AD1635" s="98">
        <f t="shared" si="180"/>
        <v>46558</v>
      </c>
      <c r="AE1635" s="7">
        <f t="shared" si="181"/>
        <v>1767.8013604201619</v>
      </c>
    </row>
    <row r="1636" spans="30:31" ht="14" thickBot="1" x14ac:dyDescent="0.2">
      <c r="AD1636" s="98">
        <f t="shared" si="180"/>
        <v>46559</v>
      </c>
      <c r="AE1636" s="7">
        <f t="shared" si="181"/>
        <v>1771.127319281168</v>
      </c>
    </row>
    <row r="1637" spans="30:31" ht="14" thickBot="1" x14ac:dyDescent="0.2">
      <c r="AD1637" s="98">
        <f t="shared" si="180"/>
        <v>46560</v>
      </c>
      <c r="AE1637" s="7">
        <f t="shared" si="181"/>
        <v>1774.4595356338768</v>
      </c>
    </row>
    <row r="1638" spans="30:31" ht="14" thickBot="1" x14ac:dyDescent="0.2">
      <c r="AD1638" s="98">
        <f t="shared" si="180"/>
        <v>46561</v>
      </c>
      <c r="AE1638" s="7">
        <f t="shared" si="181"/>
        <v>1777.798021251195</v>
      </c>
    </row>
    <row r="1639" spans="30:31" ht="14" thickBot="1" x14ac:dyDescent="0.2">
      <c r="AD1639" s="98">
        <f t="shared" si="180"/>
        <v>46562</v>
      </c>
      <c r="AE1639" s="7">
        <f t="shared" si="181"/>
        <v>1781.1427879281784</v>
      </c>
    </row>
    <row r="1640" spans="30:31" ht="14" thickBot="1" x14ac:dyDescent="0.2">
      <c r="AD1640" s="98">
        <f t="shared" si="180"/>
        <v>46563</v>
      </c>
      <c r="AE1640" s="7">
        <f t="shared" si="181"/>
        <v>1784.4938474820747</v>
      </c>
    </row>
    <row r="1641" spans="30:31" ht="14" thickBot="1" x14ac:dyDescent="0.2">
      <c r="AD1641" s="98">
        <f t="shared" si="180"/>
        <v>46564</v>
      </c>
      <c r="AE1641" s="7">
        <f t="shared" si="181"/>
        <v>1787.8512117523642</v>
      </c>
    </row>
    <row r="1642" spans="30:31" ht="14" thickBot="1" x14ac:dyDescent="0.2">
      <c r="AD1642" s="98">
        <f t="shared" si="180"/>
        <v>46565</v>
      </c>
      <c r="AE1642" s="7">
        <f t="shared" si="181"/>
        <v>1791.2148926008024</v>
      </c>
    </row>
    <row r="1643" spans="30:31" ht="14" thickBot="1" x14ac:dyDescent="0.2">
      <c r="AD1643" s="98">
        <f t="shared" si="180"/>
        <v>46566</v>
      </c>
      <c r="AE1643" s="7">
        <f t="shared" si="181"/>
        <v>1794.5849019114614</v>
      </c>
    </row>
    <row r="1644" spans="30:31" ht="14" thickBot="1" x14ac:dyDescent="0.2">
      <c r="AD1644" s="98">
        <f t="shared" si="180"/>
        <v>46567</v>
      </c>
      <c r="AE1644" s="7">
        <f t="shared" si="181"/>
        <v>1797.9612515907725</v>
      </c>
    </row>
    <row r="1645" spans="30:31" ht="14" thickBot="1" x14ac:dyDescent="0.2">
      <c r="AD1645" s="98">
        <f t="shared" si="180"/>
        <v>46568</v>
      </c>
      <c r="AE1645" s="7">
        <f t="shared" si="181"/>
        <v>1801.3439535675673</v>
      </c>
    </row>
    <row r="1646" spans="30:31" ht="14" thickBot="1" x14ac:dyDescent="0.2">
      <c r="AD1646" s="98">
        <f t="shared" si="180"/>
        <v>46569</v>
      </c>
      <c r="AE1646" s="7">
        <f t="shared" si="181"/>
        <v>1804.7330197931208</v>
      </c>
    </row>
    <row r="1647" spans="30:31" ht="14" thickBot="1" x14ac:dyDescent="0.2">
      <c r="AD1647" s="98">
        <f t="shared" si="180"/>
        <v>46570</v>
      </c>
      <c r="AE1647" s="7">
        <f t="shared" si="181"/>
        <v>1808.1284622411933</v>
      </c>
    </row>
    <row r="1648" spans="30:31" ht="14" thickBot="1" x14ac:dyDescent="0.2">
      <c r="AD1648" s="98">
        <f t="shared" si="180"/>
        <v>46571</v>
      </c>
      <c r="AE1648" s="7">
        <f t="shared" si="181"/>
        <v>1811.5302929080726</v>
      </c>
    </row>
    <row r="1649" spans="30:31" ht="14" thickBot="1" x14ac:dyDescent="0.2">
      <c r="AD1649" s="98">
        <f t="shared" si="180"/>
        <v>46572</v>
      </c>
      <c r="AE1649" s="7">
        <f t="shared" si="181"/>
        <v>1814.9385238126163</v>
      </c>
    </row>
    <row r="1650" spans="30:31" ht="14" thickBot="1" x14ac:dyDescent="0.2">
      <c r="AD1650" s="98">
        <f t="shared" si="180"/>
        <v>46573</v>
      </c>
      <c r="AE1650" s="7">
        <f t="shared" si="181"/>
        <v>1818.3531669962945</v>
      </c>
    </row>
    <row r="1651" spans="30:31" ht="14" thickBot="1" x14ac:dyDescent="0.2">
      <c r="AD1651" s="98">
        <f t="shared" si="180"/>
        <v>46574</v>
      </c>
      <c r="AE1651" s="7">
        <f t="shared" si="181"/>
        <v>1821.7742345232321</v>
      </c>
    </row>
    <row r="1652" spans="30:31" ht="14" thickBot="1" x14ac:dyDescent="0.2">
      <c r="AD1652" s="98">
        <f t="shared" si="180"/>
        <v>46575</v>
      </c>
      <c r="AE1652" s="7">
        <f t="shared" si="181"/>
        <v>1825.2017384802518</v>
      </c>
    </row>
    <row r="1653" spans="30:31" ht="14" thickBot="1" x14ac:dyDescent="0.2">
      <c r="AD1653" s="98">
        <f t="shared" si="180"/>
        <v>46576</v>
      </c>
      <c r="AE1653" s="7">
        <f t="shared" si="181"/>
        <v>1828.6356909769165</v>
      </c>
    </row>
    <row r="1654" spans="30:31" ht="14" thickBot="1" x14ac:dyDescent="0.2">
      <c r="AD1654" s="98">
        <f t="shared" si="180"/>
        <v>46577</v>
      </c>
      <c r="AE1654" s="7">
        <f t="shared" si="181"/>
        <v>1832.0761041455719</v>
      </c>
    </row>
    <row r="1655" spans="30:31" ht="14" thickBot="1" x14ac:dyDescent="0.2">
      <c r="AD1655" s="98">
        <f t="shared" si="180"/>
        <v>46578</v>
      </c>
      <c r="AE1655" s="7">
        <f t="shared" si="181"/>
        <v>1835.52299014139</v>
      </c>
    </row>
    <row r="1656" spans="30:31" ht="14" thickBot="1" x14ac:dyDescent="0.2">
      <c r="AD1656" s="98">
        <f t="shared" si="180"/>
        <v>46579</v>
      </c>
      <c r="AE1656" s="7">
        <f t="shared" si="181"/>
        <v>1838.9763611424114</v>
      </c>
    </row>
    <row r="1657" spans="30:31" ht="14" thickBot="1" x14ac:dyDescent="0.2">
      <c r="AD1657" s="98">
        <f t="shared" si="180"/>
        <v>46580</v>
      </c>
      <c r="AE1657" s="7">
        <f t="shared" si="181"/>
        <v>1842.4362293495885</v>
      </c>
    </row>
    <row r="1658" spans="30:31" ht="14" thickBot="1" x14ac:dyDescent="0.2">
      <c r="AD1658" s="98">
        <f t="shared" si="180"/>
        <v>46581</v>
      </c>
      <c r="AE1658" s="7">
        <f t="shared" si="181"/>
        <v>1845.9026069868289</v>
      </c>
    </row>
    <row r="1659" spans="30:31" ht="14" thickBot="1" x14ac:dyDescent="0.2">
      <c r="AD1659" s="98">
        <f t="shared" si="180"/>
        <v>46582</v>
      </c>
      <c r="AE1659" s="7">
        <f t="shared" si="181"/>
        <v>1849.3755063010385</v>
      </c>
    </row>
    <row r="1660" spans="30:31" ht="14" thickBot="1" x14ac:dyDescent="0.2">
      <c r="AD1660" s="98">
        <f t="shared" si="180"/>
        <v>46583</v>
      </c>
      <c r="AE1660" s="7">
        <f t="shared" si="181"/>
        <v>1852.8549395621644</v>
      </c>
    </row>
    <row r="1661" spans="30:31" ht="14" thickBot="1" x14ac:dyDescent="0.2">
      <c r="AD1661" s="98">
        <f t="shared" si="180"/>
        <v>46584</v>
      </c>
      <c r="AE1661" s="7">
        <f t="shared" ref="AE1661:AE1691" si="182">AE1660*$AI$52</f>
        <v>1856.4572312644395</v>
      </c>
    </row>
    <row r="1662" spans="30:31" ht="14" thickBot="1" x14ac:dyDescent="0.2">
      <c r="AD1662" s="98">
        <f t="shared" si="180"/>
        <v>46585</v>
      </c>
      <c r="AE1662" s="7">
        <f t="shared" si="182"/>
        <v>1860.0665264861113</v>
      </c>
    </row>
    <row r="1663" spans="30:31" ht="14" thickBot="1" x14ac:dyDescent="0.2">
      <c r="AD1663" s="98">
        <f t="shared" si="180"/>
        <v>46586</v>
      </c>
      <c r="AE1663" s="7">
        <f t="shared" si="182"/>
        <v>1863.682838843313</v>
      </c>
    </row>
    <row r="1664" spans="30:31" ht="14" thickBot="1" x14ac:dyDescent="0.2">
      <c r="AD1664" s="98">
        <f t="shared" si="180"/>
        <v>46587</v>
      </c>
      <c r="AE1664" s="7">
        <f t="shared" si="182"/>
        <v>1867.3061819786501</v>
      </c>
    </row>
    <row r="1665" spans="30:31" ht="14" thickBot="1" x14ac:dyDescent="0.2">
      <c r="AD1665" s="98">
        <f t="shared" si="180"/>
        <v>46588</v>
      </c>
      <c r="AE1665" s="7">
        <f t="shared" si="182"/>
        <v>1870.9365695612519</v>
      </c>
    </row>
    <row r="1666" spans="30:31" ht="14" thickBot="1" x14ac:dyDescent="0.2">
      <c r="AD1666" s="98">
        <f t="shared" si="180"/>
        <v>46589</v>
      </c>
      <c r="AE1666" s="7">
        <f t="shared" si="182"/>
        <v>1874.5740152868229</v>
      </c>
    </row>
    <row r="1667" spans="30:31" ht="14" thickBot="1" x14ac:dyDescent="0.2">
      <c r="AD1667" s="98">
        <f t="shared" si="180"/>
        <v>46590</v>
      </c>
      <c r="AE1667" s="7">
        <f t="shared" si="182"/>
        <v>1878.218532877695</v>
      </c>
    </row>
    <row r="1668" spans="30:31" ht="14" thickBot="1" x14ac:dyDescent="0.2">
      <c r="AD1668" s="98">
        <f t="shared" si="180"/>
        <v>46591</v>
      </c>
      <c r="AE1668" s="7">
        <f t="shared" si="182"/>
        <v>1881.8701360828782</v>
      </c>
    </row>
    <row r="1669" spans="30:31" ht="14" thickBot="1" x14ac:dyDescent="0.2">
      <c r="AD1669" s="98">
        <f t="shared" si="180"/>
        <v>46592</v>
      </c>
      <c r="AE1669" s="7">
        <f t="shared" si="182"/>
        <v>1885.5288386781135</v>
      </c>
    </row>
    <row r="1670" spans="30:31" ht="14" thickBot="1" x14ac:dyDescent="0.2">
      <c r="AD1670" s="98">
        <f t="shared" si="180"/>
        <v>46593</v>
      </c>
      <c r="AE1670" s="7">
        <f t="shared" si="182"/>
        <v>1889.1946544659245</v>
      </c>
    </row>
    <row r="1671" spans="30:31" ht="14" thickBot="1" x14ac:dyDescent="0.2">
      <c r="AD1671" s="98">
        <f t="shared" si="180"/>
        <v>46594</v>
      </c>
      <c r="AE1671" s="7">
        <f t="shared" si="182"/>
        <v>1892.8675972756694</v>
      </c>
    </row>
    <row r="1672" spans="30:31" ht="14" thickBot="1" x14ac:dyDescent="0.2">
      <c r="AD1672" s="98">
        <f t="shared" si="180"/>
        <v>46595</v>
      </c>
      <c r="AE1672" s="7">
        <f t="shared" si="182"/>
        <v>1896.5476809635932</v>
      </c>
    </row>
    <row r="1673" spans="30:31" ht="14" thickBot="1" x14ac:dyDescent="0.2">
      <c r="AD1673" s="98">
        <f t="shared" ref="AD1673:AD1736" si="183">AD1672+1</f>
        <v>46596</v>
      </c>
      <c r="AE1673" s="7">
        <f t="shared" si="182"/>
        <v>1900.2349194128799</v>
      </c>
    </row>
    <row r="1674" spans="30:31" ht="14" thickBot="1" x14ac:dyDescent="0.2">
      <c r="AD1674" s="98">
        <f t="shared" si="183"/>
        <v>46597</v>
      </c>
      <c r="AE1674" s="7">
        <f t="shared" si="182"/>
        <v>1903.9293265337051</v>
      </c>
    </row>
    <row r="1675" spans="30:31" ht="14" thickBot="1" x14ac:dyDescent="0.2">
      <c r="AD1675" s="98">
        <f t="shared" si="183"/>
        <v>46598</v>
      </c>
      <c r="AE1675" s="7">
        <f t="shared" si="182"/>
        <v>1907.6309162632883</v>
      </c>
    </row>
    <row r="1676" spans="30:31" ht="14" thickBot="1" x14ac:dyDescent="0.2">
      <c r="AD1676" s="98">
        <f t="shared" si="183"/>
        <v>46599</v>
      </c>
      <c r="AE1676" s="7">
        <f t="shared" si="182"/>
        <v>1911.3397025659456</v>
      </c>
    </row>
    <row r="1677" spans="30:31" ht="14" thickBot="1" x14ac:dyDescent="0.2">
      <c r="AD1677" s="98">
        <f t="shared" si="183"/>
        <v>46600</v>
      </c>
      <c r="AE1677" s="7">
        <f t="shared" si="182"/>
        <v>1915.0556994331421</v>
      </c>
    </row>
    <row r="1678" spans="30:31" ht="14" thickBot="1" x14ac:dyDescent="0.2">
      <c r="AD1678" s="98">
        <f t="shared" si="183"/>
        <v>46601</v>
      </c>
      <c r="AE1678" s="7">
        <f t="shared" si="182"/>
        <v>1918.778920883545</v>
      </c>
    </row>
    <row r="1679" spans="30:31" ht="14" thickBot="1" x14ac:dyDescent="0.2">
      <c r="AD1679" s="98">
        <f t="shared" si="183"/>
        <v>46602</v>
      </c>
      <c r="AE1679" s="7">
        <f t="shared" si="182"/>
        <v>1922.5093809630764</v>
      </c>
    </row>
    <row r="1680" spans="30:31" ht="14" thickBot="1" x14ac:dyDescent="0.2">
      <c r="AD1680" s="98">
        <f t="shared" si="183"/>
        <v>46603</v>
      </c>
      <c r="AE1680" s="7">
        <f t="shared" si="182"/>
        <v>1926.2470937449664</v>
      </c>
    </row>
    <row r="1681" spans="30:31" ht="14" thickBot="1" x14ac:dyDescent="0.2">
      <c r="AD1681" s="98">
        <f t="shared" si="183"/>
        <v>46604</v>
      </c>
      <c r="AE1681" s="7">
        <f t="shared" si="182"/>
        <v>1929.9920733298059</v>
      </c>
    </row>
    <row r="1682" spans="30:31" ht="14" thickBot="1" x14ac:dyDescent="0.2">
      <c r="AD1682" s="98">
        <f t="shared" si="183"/>
        <v>46605</v>
      </c>
      <c r="AE1682" s="7">
        <f t="shared" si="182"/>
        <v>1933.7443338455998</v>
      </c>
    </row>
    <row r="1683" spans="30:31" ht="14" thickBot="1" x14ac:dyDescent="0.2">
      <c r="AD1683" s="98">
        <f t="shared" si="183"/>
        <v>46606</v>
      </c>
      <c r="AE1683" s="7">
        <f t="shared" si="182"/>
        <v>1937.5038894478207</v>
      </c>
    </row>
    <row r="1684" spans="30:31" ht="14" thickBot="1" x14ac:dyDescent="0.2">
      <c r="AD1684" s="98">
        <f t="shared" si="183"/>
        <v>46607</v>
      </c>
      <c r="AE1684" s="7">
        <f t="shared" si="182"/>
        <v>1941.270754319462</v>
      </c>
    </row>
    <row r="1685" spans="30:31" ht="14" thickBot="1" x14ac:dyDescent="0.2">
      <c r="AD1685" s="98">
        <f t="shared" si="183"/>
        <v>46608</v>
      </c>
      <c r="AE1685" s="7">
        <f t="shared" si="182"/>
        <v>1945.0449426710913</v>
      </c>
    </row>
    <row r="1686" spans="30:31" ht="14" thickBot="1" x14ac:dyDescent="0.2">
      <c r="AD1686" s="98">
        <f t="shared" si="183"/>
        <v>46609</v>
      </c>
      <c r="AE1686" s="7">
        <f t="shared" si="182"/>
        <v>1948.8264687409044</v>
      </c>
    </row>
    <row r="1687" spans="30:31" ht="14" thickBot="1" x14ac:dyDescent="0.2">
      <c r="AD1687" s="98">
        <f t="shared" si="183"/>
        <v>46610</v>
      </c>
      <c r="AE1687" s="7">
        <f t="shared" si="182"/>
        <v>1952.6153467947786</v>
      </c>
    </row>
    <row r="1688" spans="30:31" ht="14" thickBot="1" x14ac:dyDescent="0.2">
      <c r="AD1688" s="98">
        <f t="shared" si="183"/>
        <v>46611</v>
      </c>
      <c r="AE1688" s="7">
        <f t="shared" si="182"/>
        <v>1956.4115911263268</v>
      </c>
    </row>
    <row r="1689" spans="30:31" ht="14" thickBot="1" x14ac:dyDescent="0.2">
      <c r="AD1689" s="98">
        <f t="shared" si="183"/>
        <v>46612</v>
      </c>
      <c r="AE1689" s="7">
        <f t="shared" si="182"/>
        <v>1960.2152160569512</v>
      </c>
    </row>
    <row r="1690" spans="30:31" ht="14" thickBot="1" x14ac:dyDescent="0.2">
      <c r="AD1690" s="98">
        <f t="shared" si="183"/>
        <v>46613</v>
      </c>
      <c r="AE1690" s="7">
        <f t="shared" si="182"/>
        <v>1964.0262359358976</v>
      </c>
    </row>
    <row r="1691" spans="30:31" ht="14" thickBot="1" x14ac:dyDescent="0.2">
      <c r="AD1691" s="98">
        <f t="shared" si="183"/>
        <v>46614</v>
      </c>
      <c r="AE1691" s="7">
        <f t="shared" si="182"/>
        <v>1967.8446651403092</v>
      </c>
    </row>
    <row r="1692" spans="30:31" ht="14" thickBot="1" x14ac:dyDescent="0.2">
      <c r="AD1692" s="98">
        <f t="shared" si="183"/>
        <v>46615</v>
      </c>
      <c r="AE1692" s="7">
        <f t="shared" ref="AE1692:AE1722" si="184">AE1691*$AI$53</f>
        <v>1971.5469874416967</v>
      </c>
    </row>
    <row r="1693" spans="30:31" ht="14" thickBot="1" x14ac:dyDescent="0.2">
      <c r="AD1693" s="98">
        <f t="shared" si="183"/>
        <v>46616</v>
      </c>
      <c r="AE1693" s="7">
        <f t="shared" si="184"/>
        <v>1975.2562753286643</v>
      </c>
    </row>
    <row r="1694" spans="30:31" ht="14" thickBot="1" x14ac:dyDescent="0.2">
      <c r="AD1694" s="98">
        <f t="shared" si="183"/>
        <v>46617</v>
      </c>
      <c r="AE1694" s="7">
        <f t="shared" si="184"/>
        <v>1978.9725419063332</v>
      </c>
    </row>
    <row r="1695" spans="30:31" ht="14" thickBot="1" x14ac:dyDescent="0.2">
      <c r="AD1695" s="98">
        <f t="shared" si="183"/>
        <v>46618</v>
      </c>
      <c r="AE1695" s="7">
        <f t="shared" si="184"/>
        <v>1982.6958003044806</v>
      </c>
    </row>
    <row r="1696" spans="30:31" ht="14" thickBot="1" x14ac:dyDescent="0.2">
      <c r="AD1696" s="98">
        <f t="shared" si="183"/>
        <v>46619</v>
      </c>
      <c r="AE1696" s="7">
        <f t="shared" si="184"/>
        <v>1986.4260636775864</v>
      </c>
    </row>
    <row r="1697" spans="30:31" ht="14" thickBot="1" x14ac:dyDescent="0.2">
      <c r="AD1697" s="98">
        <f t="shared" si="183"/>
        <v>46620</v>
      </c>
      <c r="AE1697" s="7">
        <f t="shared" si="184"/>
        <v>1990.1633452048795</v>
      </c>
    </row>
    <row r="1698" spans="30:31" ht="14" thickBot="1" x14ac:dyDescent="0.2">
      <c r="AD1698" s="98">
        <f t="shared" si="183"/>
        <v>46621</v>
      </c>
      <c r="AE1698" s="7">
        <f t="shared" si="184"/>
        <v>1993.9076580903841</v>
      </c>
    </row>
    <row r="1699" spans="30:31" ht="14" thickBot="1" x14ac:dyDescent="0.2">
      <c r="AD1699" s="98">
        <f t="shared" si="183"/>
        <v>46622</v>
      </c>
      <c r="AE1699" s="7">
        <f t="shared" si="184"/>
        <v>1997.6590155629665</v>
      </c>
    </row>
    <row r="1700" spans="30:31" ht="14" thickBot="1" x14ac:dyDescent="0.2">
      <c r="AD1700" s="98">
        <f t="shared" si="183"/>
        <v>46623</v>
      </c>
      <c r="AE1700" s="7">
        <f t="shared" si="184"/>
        <v>2001.4174308763822</v>
      </c>
    </row>
    <row r="1701" spans="30:31" ht="14" thickBot="1" x14ac:dyDescent="0.2">
      <c r="AD1701" s="98">
        <f t="shared" si="183"/>
        <v>46624</v>
      </c>
      <c r="AE1701" s="7">
        <f t="shared" si="184"/>
        <v>2005.1829173093224</v>
      </c>
    </row>
    <row r="1702" spans="30:31" ht="14" thickBot="1" x14ac:dyDescent="0.2">
      <c r="AD1702" s="98">
        <f t="shared" si="183"/>
        <v>46625</v>
      </c>
      <c r="AE1702" s="7">
        <f t="shared" si="184"/>
        <v>2008.9554881654608</v>
      </c>
    </row>
    <row r="1703" spans="30:31" ht="14" thickBot="1" x14ac:dyDescent="0.2">
      <c r="AD1703" s="98">
        <f t="shared" si="183"/>
        <v>46626</v>
      </c>
      <c r="AE1703" s="7">
        <f t="shared" si="184"/>
        <v>2012.7351567735009</v>
      </c>
    </row>
    <row r="1704" spans="30:31" ht="14" thickBot="1" x14ac:dyDescent="0.2">
      <c r="AD1704" s="98">
        <f t="shared" si="183"/>
        <v>46627</v>
      </c>
      <c r="AE1704" s="7">
        <f t="shared" si="184"/>
        <v>2016.5219364872228</v>
      </c>
    </row>
    <row r="1705" spans="30:31" ht="14" thickBot="1" x14ac:dyDescent="0.2">
      <c r="AD1705" s="98">
        <f t="shared" si="183"/>
        <v>46628</v>
      </c>
      <c r="AE1705" s="7">
        <f t="shared" si="184"/>
        <v>2020.3158406855307</v>
      </c>
    </row>
    <row r="1706" spans="30:31" ht="14" thickBot="1" x14ac:dyDescent="0.2">
      <c r="AD1706" s="98">
        <f t="shared" si="183"/>
        <v>46629</v>
      </c>
      <c r="AE1706" s="7">
        <f t="shared" si="184"/>
        <v>2024.1168827725</v>
      </c>
    </row>
    <row r="1707" spans="30:31" ht="14" thickBot="1" x14ac:dyDescent="0.2">
      <c r="AD1707" s="98">
        <f t="shared" si="183"/>
        <v>46630</v>
      </c>
      <c r="AE1707" s="7">
        <f t="shared" si="184"/>
        <v>2027.9250761774249</v>
      </c>
    </row>
    <row r="1708" spans="30:31" ht="14" thickBot="1" x14ac:dyDescent="0.2">
      <c r="AD1708" s="98">
        <f t="shared" si="183"/>
        <v>46631</v>
      </c>
      <c r="AE1708" s="7">
        <f t="shared" si="184"/>
        <v>2031.7404343548649</v>
      </c>
    </row>
    <row r="1709" spans="30:31" ht="14" thickBot="1" x14ac:dyDescent="0.2">
      <c r="AD1709" s="98">
        <f t="shared" si="183"/>
        <v>46632</v>
      </c>
      <c r="AE1709" s="7">
        <f t="shared" si="184"/>
        <v>2035.5629707846936</v>
      </c>
    </row>
    <row r="1710" spans="30:31" ht="14" thickBot="1" x14ac:dyDescent="0.2">
      <c r="AD1710" s="98">
        <f t="shared" si="183"/>
        <v>46633</v>
      </c>
      <c r="AE1710" s="7">
        <f t="shared" si="184"/>
        <v>2039.3926989721456</v>
      </c>
    </row>
    <row r="1711" spans="30:31" ht="14" thickBot="1" x14ac:dyDescent="0.2">
      <c r="AD1711" s="98">
        <f t="shared" si="183"/>
        <v>46634</v>
      </c>
      <c r="AE1711" s="7">
        <f t="shared" si="184"/>
        <v>2043.2296324478643</v>
      </c>
    </row>
    <row r="1712" spans="30:31" ht="14" thickBot="1" x14ac:dyDescent="0.2">
      <c r="AD1712" s="98">
        <f t="shared" si="183"/>
        <v>46635</v>
      </c>
      <c r="AE1712" s="7">
        <f t="shared" si="184"/>
        <v>2047.0737847679502</v>
      </c>
    </row>
    <row r="1713" spans="30:31" ht="14" thickBot="1" x14ac:dyDescent="0.2">
      <c r="AD1713" s="98">
        <f t="shared" si="183"/>
        <v>46636</v>
      </c>
      <c r="AE1713" s="7">
        <f t="shared" si="184"/>
        <v>2050.9251695140078</v>
      </c>
    </row>
    <row r="1714" spans="30:31" ht="14" thickBot="1" x14ac:dyDescent="0.2">
      <c r="AD1714" s="98">
        <f t="shared" si="183"/>
        <v>46637</v>
      </c>
      <c r="AE1714" s="7">
        <f t="shared" si="184"/>
        <v>2054.7838002931944</v>
      </c>
    </row>
    <row r="1715" spans="30:31" ht="14" thickBot="1" x14ac:dyDescent="0.2">
      <c r="AD1715" s="98">
        <f t="shared" si="183"/>
        <v>46638</v>
      </c>
      <c r="AE1715" s="7">
        <f t="shared" si="184"/>
        <v>2058.6496907382684</v>
      </c>
    </row>
    <row r="1716" spans="30:31" ht="14" thickBot="1" x14ac:dyDescent="0.2">
      <c r="AD1716" s="98">
        <f t="shared" si="183"/>
        <v>46639</v>
      </c>
      <c r="AE1716" s="7">
        <f t="shared" si="184"/>
        <v>2062.5228545076361</v>
      </c>
    </row>
    <row r="1717" spans="30:31" ht="14" thickBot="1" x14ac:dyDescent="0.2">
      <c r="AD1717" s="98">
        <f t="shared" si="183"/>
        <v>46640</v>
      </c>
      <c r="AE1717" s="7">
        <f t="shared" si="184"/>
        <v>2066.4033052854015</v>
      </c>
    </row>
    <row r="1718" spans="30:31" ht="14" thickBot="1" x14ac:dyDescent="0.2">
      <c r="AD1718" s="98">
        <f t="shared" si="183"/>
        <v>46641</v>
      </c>
      <c r="AE1718" s="7">
        <f t="shared" si="184"/>
        <v>2070.2910567814138</v>
      </c>
    </row>
    <row r="1719" spans="30:31" ht="14" thickBot="1" x14ac:dyDescent="0.2">
      <c r="AD1719" s="98">
        <f t="shared" si="183"/>
        <v>46642</v>
      </c>
      <c r="AE1719" s="7">
        <f t="shared" si="184"/>
        <v>2074.1861227313161</v>
      </c>
    </row>
    <row r="1720" spans="30:31" ht="14" thickBot="1" x14ac:dyDescent="0.2">
      <c r="AD1720" s="98">
        <f t="shared" si="183"/>
        <v>46643</v>
      </c>
      <c r="AE1720" s="7">
        <f t="shared" si="184"/>
        <v>2078.0885168965938</v>
      </c>
    </row>
    <row r="1721" spans="30:31" ht="14" thickBot="1" x14ac:dyDescent="0.2">
      <c r="AD1721" s="98">
        <f t="shared" si="183"/>
        <v>46644</v>
      </c>
      <c r="AE1721" s="7">
        <f t="shared" si="184"/>
        <v>2081.9982530646234</v>
      </c>
    </row>
    <row r="1722" spans="30:31" ht="14" thickBot="1" x14ac:dyDescent="0.2">
      <c r="AD1722" s="98">
        <f t="shared" si="183"/>
        <v>46645</v>
      </c>
      <c r="AE1722" s="7">
        <f t="shared" si="184"/>
        <v>2085.9153450487215</v>
      </c>
    </row>
    <row r="1723" spans="30:31" ht="14" thickBot="1" x14ac:dyDescent="0.2">
      <c r="AD1723" s="98">
        <f t="shared" si="183"/>
        <v>46646</v>
      </c>
      <c r="AE1723" s="7">
        <f t="shared" ref="AE1723:AE1752" si="185">AE1722*$AI$54</f>
        <v>2089.8398066881923</v>
      </c>
    </row>
    <row r="1724" spans="30:31" ht="14" thickBot="1" x14ac:dyDescent="0.2">
      <c r="AD1724" s="98">
        <f t="shared" si="183"/>
        <v>46647</v>
      </c>
      <c r="AE1724" s="7">
        <f t="shared" si="185"/>
        <v>2093.771651848378</v>
      </c>
    </row>
    <row r="1725" spans="30:31" ht="14" thickBot="1" x14ac:dyDescent="0.2">
      <c r="AD1725" s="98">
        <f t="shared" si="183"/>
        <v>46648</v>
      </c>
      <c r="AE1725" s="7">
        <f t="shared" si="185"/>
        <v>2097.7108944207071</v>
      </c>
    </row>
    <row r="1726" spans="30:31" ht="14" thickBot="1" x14ac:dyDescent="0.2">
      <c r="AD1726" s="98">
        <f t="shared" si="183"/>
        <v>46649</v>
      </c>
      <c r="AE1726" s="7">
        <f t="shared" si="185"/>
        <v>2101.6575483227434</v>
      </c>
    </row>
    <row r="1727" spans="30:31" ht="14" thickBot="1" x14ac:dyDescent="0.2">
      <c r="AD1727" s="98">
        <f t="shared" si="183"/>
        <v>46650</v>
      </c>
      <c r="AE1727" s="7">
        <f t="shared" si="185"/>
        <v>2105.6116274982355</v>
      </c>
    </row>
    <row r="1728" spans="30:31" ht="14" thickBot="1" x14ac:dyDescent="0.2">
      <c r="AD1728" s="98">
        <f t="shared" si="183"/>
        <v>46651</v>
      </c>
      <c r="AE1728" s="7">
        <f t="shared" si="185"/>
        <v>2109.5731459171661</v>
      </c>
    </row>
    <row r="1729" spans="30:31" ht="14" thickBot="1" x14ac:dyDescent="0.2">
      <c r="AD1729" s="98">
        <f t="shared" si="183"/>
        <v>46652</v>
      </c>
      <c r="AE1729" s="7">
        <f t="shared" si="185"/>
        <v>2113.5421175758011</v>
      </c>
    </row>
    <row r="1730" spans="30:31" ht="14" thickBot="1" x14ac:dyDescent="0.2">
      <c r="AD1730" s="98">
        <f t="shared" si="183"/>
        <v>46653</v>
      </c>
      <c r="AE1730" s="7">
        <f t="shared" si="185"/>
        <v>2117.5185564967383</v>
      </c>
    </row>
    <row r="1731" spans="30:31" ht="14" thickBot="1" x14ac:dyDescent="0.2">
      <c r="AD1731" s="98">
        <f t="shared" si="183"/>
        <v>46654</v>
      </c>
      <c r="AE1731" s="7">
        <f t="shared" si="185"/>
        <v>2121.5024767289588</v>
      </c>
    </row>
    <row r="1732" spans="30:31" ht="14" thickBot="1" x14ac:dyDescent="0.2">
      <c r="AD1732" s="98">
        <f t="shared" si="183"/>
        <v>46655</v>
      </c>
      <c r="AE1732" s="7">
        <f t="shared" si="185"/>
        <v>2125.4938923478753</v>
      </c>
    </row>
    <row r="1733" spans="30:31" ht="14" thickBot="1" x14ac:dyDescent="0.2">
      <c r="AD1733" s="98">
        <f t="shared" si="183"/>
        <v>46656</v>
      </c>
      <c r="AE1733" s="7">
        <f t="shared" si="185"/>
        <v>2129.492817455382</v>
      </c>
    </row>
    <row r="1734" spans="30:31" ht="14" thickBot="1" x14ac:dyDescent="0.2">
      <c r="AD1734" s="98">
        <f t="shared" si="183"/>
        <v>46657</v>
      </c>
      <c r="AE1734" s="7">
        <f t="shared" si="185"/>
        <v>2133.4992661799042</v>
      </c>
    </row>
    <row r="1735" spans="30:31" ht="14" thickBot="1" x14ac:dyDescent="0.2">
      <c r="AD1735" s="98">
        <f t="shared" si="183"/>
        <v>46658</v>
      </c>
      <c r="AE1735" s="7">
        <f t="shared" si="185"/>
        <v>2137.5132526764496</v>
      </c>
    </row>
    <row r="1736" spans="30:31" ht="14" thickBot="1" x14ac:dyDescent="0.2">
      <c r="AD1736" s="98">
        <f t="shared" si="183"/>
        <v>46659</v>
      </c>
      <c r="AE1736" s="7">
        <f t="shared" si="185"/>
        <v>2141.5347911266563</v>
      </c>
    </row>
    <row r="1737" spans="30:31" ht="14" thickBot="1" x14ac:dyDescent="0.2">
      <c r="AD1737" s="98">
        <f t="shared" ref="AD1737:AD1800" si="186">AD1736+1</f>
        <v>46660</v>
      </c>
      <c r="AE1737" s="7">
        <f t="shared" si="185"/>
        <v>2145.5638957388437</v>
      </c>
    </row>
    <row r="1738" spans="30:31" ht="14" thickBot="1" x14ac:dyDescent="0.2">
      <c r="AD1738" s="98">
        <f t="shared" si="186"/>
        <v>46661</v>
      </c>
      <c r="AE1738" s="7">
        <f t="shared" si="185"/>
        <v>2149.6005807480637</v>
      </c>
    </row>
    <row r="1739" spans="30:31" ht="14" thickBot="1" x14ac:dyDescent="0.2">
      <c r="AD1739" s="98">
        <f t="shared" si="186"/>
        <v>46662</v>
      </c>
      <c r="AE1739" s="7">
        <f t="shared" si="185"/>
        <v>2153.6448604161501</v>
      </c>
    </row>
    <row r="1740" spans="30:31" ht="14" thickBot="1" x14ac:dyDescent="0.2">
      <c r="AD1740" s="98">
        <f t="shared" si="186"/>
        <v>46663</v>
      </c>
      <c r="AE1740" s="7">
        <f t="shared" si="185"/>
        <v>2157.6967490317684</v>
      </c>
    </row>
    <row r="1741" spans="30:31" ht="14" thickBot="1" x14ac:dyDescent="0.2">
      <c r="AD1741" s="98">
        <f t="shared" si="186"/>
        <v>46664</v>
      </c>
      <c r="AE1741" s="7">
        <f t="shared" si="185"/>
        <v>2161.7562609104675</v>
      </c>
    </row>
    <row r="1742" spans="30:31" ht="14" thickBot="1" x14ac:dyDescent="0.2">
      <c r="AD1742" s="98">
        <f t="shared" si="186"/>
        <v>46665</v>
      </c>
      <c r="AE1742" s="7">
        <f t="shared" si="185"/>
        <v>2165.8234103947293</v>
      </c>
    </row>
    <row r="1743" spans="30:31" ht="14" thickBot="1" x14ac:dyDescent="0.2">
      <c r="AD1743" s="98">
        <f t="shared" si="186"/>
        <v>46666</v>
      </c>
      <c r="AE1743" s="7">
        <f t="shared" si="185"/>
        <v>2169.8982118540202</v>
      </c>
    </row>
    <row r="1744" spans="30:31" ht="14" thickBot="1" x14ac:dyDescent="0.2">
      <c r="AD1744" s="98">
        <f t="shared" si="186"/>
        <v>46667</v>
      </c>
      <c r="AE1744" s="7">
        <f t="shared" si="185"/>
        <v>2173.9806796848411</v>
      </c>
    </row>
    <row r="1745" spans="30:31" ht="14" thickBot="1" x14ac:dyDescent="0.2">
      <c r="AD1745" s="98">
        <f t="shared" si="186"/>
        <v>46668</v>
      </c>
      <c r="AE1745" s="7">
        <f t="shared" si="185"/>
        <v>2178.0708283107792</v>
      </c>
    </row>
    <row r="1746" spans="30:31" ht="14" thickBot="1" x14ac:dyDescent="0.2">
      <c r="AD1746" s="98">
        <f t="shared" si="186"/>
        <v>46669</v>
      </c>
      <c r="AE1746" s="7">
        <f t="shared" si="185"/>
        <v>2182.1686721825577</v>
      </c>
    </row>
    <row r="1747" spans="30:31" ht="14" thickBot="1" x14ac:dyDescent="0.2">
      <c r="AD1747" s="98">
        <f t="shared" si="186"/>
        <v>46670</v>
      </c>
      <c r="AE1747" s="7">
        <f t="shared" si="185"/>
        <v>2186.2742257780874</v>
      </c>
    </row>
    <row r="1748" spans="30:31" ht="14" thickBot="1" x14ac:dyDescent="0.2">
      <c r="AD1748" s="98">
        <f t="shared" si="186"/>
        <v>46671</v>
      </c>
      <c r="AE1748" s="7">
        <f t="shared" si="185"/>
        <v>2190.3875036025188</v>
      </c>
    </row>
    <row r="1749" spans="30:31" ht="14" thickBot="1" x14ac:dyDescent="0.2">
      <c r="AD1749" s="98">
        <f t="shared" si="186"/>
        <v>46672</v>
      </c>
      <c r="AE1749" s="7">
        <f t="shared" si="185"/>
        <v>2194.5085201882916</v>
      </c>
    </row>
    <row r="1750" spans="30:31" ht="14" thickBot="1" x14ac:dyDescent="0.2">
      <c r="AD1750" s="98">
        <f t="shared" si="186"/>
        <v>46673</v>
      </c>
      <c r="AE1750" s="7">
        <f t="shared" si="185"/>
        <v>2198.6372900951883</v>
      </c>
    </row>
    <row r="1751" spans="30:31" ht="14" thickBot="1" x14ac:dyDescent="0.2">
      <c r="AD1751" s="98">
        <f t="shared" si="186"/>
        <v>46674</v>
      </c>
      <c r="AE1751" s="7">
        <f t="shared" si="185"/>
        <v>2202.7738279103828</v>
      </c>
    </row>
    <row r="1752" spans="30:31" ht="14" thickBot="1" x14ac:dyDescent="0.2">
      <c r="AD1752" s="98">
        <f t="shared" si="186"/>
        <v>46675</v>
      </c>
      <c r="AE1752" s="7">
        <f t="shared" si="185"/>
        <v>2206.9181482484946</v>
      </c>
    </row>
    <row r="1753" spans="30:31" ht="14" thickBot="1" x14ac:dyDescent="0.2">
      <c r="AD1753" s="98">
        <f t="shared" si="186"/>
        <v>46676</v>
      </c>
      <c r="AE1753" s="7">
        <f t="shared" ref="AE1753:AE1783" si="187">AE1752*$AI$55</f>
        <v>2211.2088041240781</v>
      </c>
    </row>
    <row r="1754" spans="30:31" ht="14" thickBot="1" x14ac:dyDescent="0.2">
      <c r="AD1754" s="98">
        <f t="shared" si="186"/>
        <v>46677</v>
      </c>
      <c r="AE1754" s="7">
        <f t="shared" si="187"/>
        <v>2215.5078018259578</v>
      </c>
    </row>
    <row r="1755" spans="30:31" ht="14" thickBot="1" x14ac:dyDescent="0.2">
      <c r="AD1755" s="98">
        <f t="shared" si="186"/>
        <v>46678</v>
      </c>
      <c r="AE1755" s="7">
        <f t="shared" si="187"/>
        <v>2219.8151575721822</v>
      </c>
    </row>
    <row r="1756" spans="30:31" ht="14" thickBot="1" x14ac:dyDescent="0.2">
      <c r="AD1756" s="98">
        <f t="shared" si="186"/>
        <v>46679</v>
      </c>
      <c r="AE1756" s="7">
        <f t="shared" si="187"/>
        <v>2224.1308876123312</v>
      </c>
    </row>
    <row r="1757" spans="30:31" ht="14" thickBot="1" x14ac:dyDescent="0.2">
      <c r="AD1757" s="98">
        <f t="shared" si="186"/>
        <v>46680</v>
      </c>
      <c r="AE1757" s="7">
        <f t="shared" si="187"/>
        <v>2228.4550082275764</v>
      </c>
    </row>
    <row r="1758" spans="30:31" ht="14" thickBot="1" x14ac:dyDescent="0.2">
      <c r="AD1758" s="98">
        <f t="shared" si="186"/>
        <v>46681</v>
      </c>
      <c r="AE1758" s="7">
        <f t="shared" si="187"/>
        <v>2232.7875357307435</v>
      </c>
    </row>
    <row r="1759" spans="30:31" ht="14" thickBot="1" x14ac:dyDescent="0.2">
      <c r="AD1759" s="98">
        <f t="shared" si="186"/>
        <v>46682</v>
      </c>
      <c r="AE1759" s="7">
        <f t="shared" si="187"/>
        <v>2237.1284864663726</v>
      </c>
    </row>
    <row r="1760" spans="30:31" ht="14" thickBot="1" x14ac:dyDescent="0.2">
      <c r="AD1760" s="98">
        <f t="shared" si="186"/>
        <v>46683</v>
      </c>
      <c r="AE1760" s="7">
        <f t="shared" si="187"/>
        <v>2241.4778768107813</v>
      </c>
    </row>
    <row r="1761" spans="30:31" ht="14" thickBot="1" x14ac:dyDescent="0.2">
      <c r="AD1761" s="98">
        <f t="shared" si="186"/>
        <v>46684</v>
      </c>
      <c r="AE1761" s="7">
        <f t="shared" si="187"/>
        <v>2245.8357231721252</v>
      </c>
    </row>
    <row r="1762" spans="30:31" ht="14" thickBot="1" x14ac:dyDescent="0.2">
      <c r="AD1762" s="98">
        <f t="shared" si="186"/>
        <v>46685</v>
      </c>
      <c r="AE1762" s="7">
        <f t="shared" si="187"/>
        <v>2250.2020419904607</v>
      </c>
    </row>
    <row r="1763" spans="30:31" ht="14" thickBot="1" x14ac:dyDescent="0.2">
      <c r="AD1763" s="98">
        <f t="shared" si="186"/>
        <v>46686</v>
      </c>
      <c r="AE1763" s="7">
        <f t="shared" si="187"/>
        <v>2254.5768497378067</v>
      </c>
    </row>
    <row r="1764" spans="30:31" ht="14" thickBot="1" x14ac:dyDescent="0.2">
      <c r="AD1764" s="98">
        <f t="shared" si="186"/>
        <v>46687</v>
      </c>
      <c r="AE1764" s="7">
        <f t="shared" si="187"/>
        <v>2258.9601629182066</v>
      </c>
    </row>
    <row r="1765" spans="30:31" ht="14" thickBot="1" x14ac:dyDescent="0.2">
      <c r="AD1765" s="98">
        <f t="shared" si="186"/>
        <v>46688</v>
      </c>
      <c r="AE1765" s="7">
        <f t="shared" si="187"/>
        <v>2263.3519980677911</v>
      </c>
    </row>
    <row r="1766" spans="30:31" ht="14" thickBot="1" x14ac:dyDescent="0.2">
      <c r="AD1766" s="98">
        <f t="shared" si="186"/>
        <v>46689</v>
      </c>
      <c r="AE1766" s="7">
        <f t="shared" si="187"/>
        <v>2267.7523717548397</v>
      </c>
    </row>
    <row r="1767" spans="30:31" ht="14" thickBot="1" x14ac:dyDescent="0.2">
      <c r="AD1767" s="98">
        <f t="shared" si="186"/>
        <v>46690</v>
      </c>
      <c r="AE1767" s="7">
        <f t="shared" si="187"/>
        <v>2272.161300579844</v>
      </c>
    </row>
    <row r="1768" spans="30:31" ht="14" thickBot="1" x14ac:dyDescent="0.2">
      <c r="AD1768" s="98">
        <f t="shared" si="186"/>
        <v>46691</v>
      </c>
      <c r="AE1768" s="7">
        <f t="shared" si="187"/>
        <v>2276.5788011755699</v>
      </c>
    </row>
    <row r="1769" spans="30:31" ht="14" thickBot="1" x14ac:dyDescent="0.2">
      <c r="AD1769" s="98">
        <f t="shared" si="186"/>
        <v>46692</v>
      </c>
      <c r="AE1769" s="7">
        <f t="shared" si="187"/>
        <v>2281.0048902071203</v>
      </c>
    </row>
    <row r="1770" spans="30:31" ht="14" thickBot="1" x14ac:dyDescent="0.2">
      <c r="AD1770" s="98">
        <f t="shared" si="186"/>
        <v>46693</v>
      </c>
      <c r="AE1770" s="7">
        <f t="shared" si="187"/>
        <v>2285.4395843719985</v>
      </c>
    </row>
    <row r="1771" spans="30:31" ht="14" thickBot="1" x14ac:dyDescent="0.2">
      <c r="AD1771" s="98">
        <f t="shared" si="186"/>
        <v>46694</v>
      </c>
      <c r="AE1771" s="7">
        <f t="shared" si="187"/>
        <v>2289.8829004001705</v>
      </c>
    </row>
    <row r="1772" spans="30:31" ht="14" thickBot="1" x14ac:dyDescent="0.2">
      <c r="AD1772" s="98">
        <f t="shared" si="186"/>
        <v>46695</v>
      </c>
      <c r="AE1772" s="7">
        <f t="shared" si="187"/>
        <v>2294.3348550541286</v>
      </c>
    </row>
    <row r="1773" spans="30:31" ht="14" thickBot="1" x14ac:dyDescent="0.2">
      <c r="AD1773" s="98">
        <f t="shared" si="186"/>
        <v>46696</v>
      </c>
      <c r="AE1773" s="7">
        <f t="shared" si="187"/>
        <v>2298.7954651289547</v>
      </c>
    </row>
    <row r="1774" spans="30:31" ht="14" thickBot="1" x14ac:dyDescent="0.2">
      <c r="AD1774" s="98">
        <f t="shared" si="186"/>
        <v>46697</v>
      </c>
      <c r="AE1774" s="7">
        <f t="shared" si="187"/>
        <v>2303.2647474523828</v>
      </c>
    </row>
    <row r="1775" spans="30:31" ht="14" thickBot="1" x14ac:dyDescent="0.2">
      <c r="AD1775" s="98">
        <f t="shared" si="186"/>
        <v>46698</v>
      </c>
      <c r="AE1775" s="7">
        <f t="shared" si="187"/>
        <v>2307.7427188848637</v>
      </c>
    </row>
    <row r="1776" spans="30:31" ht="14" thickBot="1" x14ac:dyDescent="0.2">
      <c r="AD1776" s="98">
        <f t="shared" si="186"/>
        <v>46699</v>
      </c>
      <c r="AE1776" s="7">
        <f t="shared" si="187"/>
        <v>2312.229396319628</v>
      </c>
    </row>
    <row r="1777" spans="30:31" ht="14" thickBot="1" x14ac:dyDescent="0.2">
      <c r="AD1777" s="98">
        <f t="shared" si="186"/>
        <v>46700</v>
      </c>
      <c r="AE1777" s="7">
        <f t="shared" si="187"/>
        <v>2316.7247966827495</v>
      </c>
    </row>
    <row r="1778" spans="30:31" ht="14" thickBot="1" x14ac:dyDescent="0.2">
      <c r="AD1778" s="98">
        <f t="shared" si="186"/>
        <v>46701</v>
      </c>
      <c r="AE1778" s="7">
        <f t="shared" si="187"/>
        <v>2321.2289369332093</v>
      </c>
    </row>
    <row r="1779" spans="30:31" ht="14" thickBot="1" x14ac:dyDescent="0.2">
      <c r="AD1779" s="98">
        <f t="shared" si="186"/>
        <v>46702</v>
      </c>
      <c r="AE1779" s="7">
        <f t="shared" si="187"/>
        <v>2325.7418340629606</v>
      </c>
    </row>
    <row r="1780" spans="30:31" ht="14" thickBot="1" x14ac:dyDescent="0.2">
      <c r="AD1780" s="98">
        <f t="shared" si="186"/>
        <v>46703</v>
      </c>
      <c r="AE1780" s="7">
        <f t="shared" si="187"/>
        <v>2330.2635050969916</v>
      </c>
    </row>
    <row r="1781" spans="30:31" ht="14" thickBot="1" x14ac:dyDescent="0.2">
      <c r="AD1781" s="98">
        <f t="shared" si="186"/>
        <v>46704</v>
      </c>
      <c r="AE1781" s="7">
        <f t="shared" si="187"/>
        <v>2334.7939670933902</v>
      </c>
    </row>
    <row r="1782" spans="30:31" ht="14" thickBot="1" x14ac:dyDescent="0.2">
      <c r="AD1782" s="98">
        <f t="shared" si="186"/>
        <v>46705</v>
      </c>
      <c r="AE1782" s="7">
        <f t="shared" si="187"/>
        <v>2339.333237143408</v>
      </c>
    </row>
    <row r="1783" spans="30:31" ht="14" thickBot="1" x14ac:dyDescent="0.2">
      <c r="AD1783" s="98">
        <f t="shared" si="186"/>
        <v>46706</v>
      </c>
      <c r="AE1783" s="7">
        <f t="shared" si="187"/>
        <v>2343.8813323715262</v>
      </c>
    </row>
    <row r="1784" spans="30:31" ht="14" thickBot="1" x14ac:dyDescent="0.2">
      <c r="AD1784" s="98">
        <f t="shared" si="186"/>
        <v>46707</v>
      </c>
      <c r="AE1784" s="7">
        <f t="shared" ref="AE1784:AE1813" si="188">AE1783*$AI$56</f>
        <v>2348.291133755939</v>
      </c>
    </row>
    <row r="1785" spans="30:31" ht="14" thickBot="1" x14ac:dyDescent="0.2">
      <c r="AD1785" s="98">
        <f t="shared" si="186"/>
        <v>46708</v>
      </c>
      <c r="AE1785" s="7">
        <f t="shared" si="188"/>
        <v>2352.7092317840347</v>
      </c>
    </row>
    <row r="1786" spans="30:31" ht="14" thickBot="1" x14ac:dyDescent="0.2">
      <c r="AD1786" s="98">
        <f t="shared" si="186"/>
        <v>46709</v>
      </c>
      <c r="AE1786" s="7">
        <f t="shared" si="188"/>
        <v>2357.1356420652005</v>
      </c>
    </row>
    <row r="1787" spans="30:31" ht="14" thickBot="1" x14ac:dyDescent="0.2">
      <c r="AD1787" s="98">
        <f t="shared" si="186"/>
        <v>46710</v>
      </c>
      <c r="AE1787" s="7">
        <f t="shared" si="188"/>
        <v>2361.5703802381909</v>
      </c>
    </row>
    <row r="1788" spans="30:31" ht="14" thickBot="1" x14ac:dyDescent="0.2">
      <c r="AD1788" s="98">
        <f t="shared" si="186"/>
        <v>46711</v>
      </c>
      <c r="AE1788" s="7">
        <f t="shared" si="188"/>
        <v>2366.0134619711835</v>
      </c>
    </row>
    <row r="1789" spans="30:31" ht="14" thickBot="1" x14ac:dyDescent="0.2">
      <c r="AD1789" s="98">
        <f t="shared" si="186"/>
        <v>46712</v>
      </c>
      <c r="AE1789" s="7">
        <f t="shared" si="188"/>
        <v>2370.4649029618345</v>
      </c>
    </row>
    <row r="1790" spans="30:31" ht="14" thickBot="1" x14ac:dyDescent="0.2">
      <c r="AD1790" s="98">
        <f t="shared" si="186"/>
        <v>46713</v>
      </c>
      <c r="AE1790" s="7">
        <f t="shared" si="188"/>
        <v>2374.9247189373327</v>
      </c>
    </row>
    <row r="1791" spans="30:31" ht="14" thickBot="1" x14ac:dyDescent="0.2">
      <c r="AD1791" s="98">
        <f t="shared" si="186"/>
        <v>46714</v>
      </c>
      <c r="AE1791" s="7">
        <f t="shared" si="188"/>
        <v>2379.3929256544575</v>
      </c>
    </row>
    <row r="1792" spans="30:31" ht="14" thickBot="1" x14ac:dyDescent="0.2">
      <c r="AD1792" s="98">
        <f t="shared" si="186"/>
        <v>46715</v>
      </c>
      <c r="AE1792" s="7">
        <f t="shared" si="188"/>
        <v>2383.8695388996325</v>
      </c>
    </row>
    <row r="1793" spans="30:31" ht="14" thickBot="1" x14ac:dyDescent="0.2">
      <c r="AD1793" s="98">
        <f t="shared" si="186"/>
        <v>46716</v>
      </c>
      <c r="AE1793" s="7">
        <f t="shared" si="188"/>
        <v>2388.3545744889825</v>
      </c>
    </row>
    <row r="1794" spans="30:31" ht="14" thickBot="1" x14ac:dyDescent="0.2">
      <c r="AD1794" s="98">
        <f t="shared" si="186"/>
        <v>46717</v>
      </c>
      <c r="AE1794" s="7">
        <f t="shared" si="188"/>
        <v>2392.8480482683881</v>
      </c>
    </row>
    <row r="1795" spans="30:31" ht="14" thickBot="1" x14ac:dyDescent="0.2">
      <c r="AD1795" s="98">
        <f t="shared" si="186"/>
        <v>46718</v>
      </c>
      <c r="AE1795" s="7">
        <f t="shared" si="188"/>
        <v>2397.3499761135436</v>
      </c>
    </row>
    <row r="1796" spans="30:31" ht="14" thickBot="1" x14ac:dyDescent="0.2">
      <c r="AD1796" s="98">
        <f t="shared" si="186"/>
        <v>46719</v>
      </c>
      <c r="AE1796" s="7">
        <f t="shared" si="188"/>
        <v>2401.8603739300111</v>
      </c>
    </row>
    <row r="1797" spans="30:31" ht="14" thickBot="1" x14ac:dyDescent="0.2">
      <c r="AD1797" s="98">
        <f t="shared" si="186"/>
        <v>46720</v>
      </c>
      <c r="AE1797" s="7">
        <f t="shared" si="188"/>
        <v>2406.3792576532778</v>
      </c>
    </row>
    <row r="1798" spans="30:31" ht="14" thickBot="1" x14ac:dyDescent="0.2">
      <c r="AD1798" s="98">
        <f t="shared" si="186"/>
        <v>46721</v>
      </c>
      <c r="AE1798" s="7">
        <f t="shared" si="188"/>
        <v>2410.9066432488125</v>
      </c>
    </row>
    <row r="1799" spans="30:31" ht="14" thickBot="1" x14ac:dyDescent="0.2">
      <c r="AD1799" s="98">
        <f t="shared" si="186"/>
        <v>46722</v>
      </c>
      <c r="AE1799" s="7">
        <f t="shared" si="188"/>
        <v>2415.4425467121214</v>
      </c>
    </row>
    <row r="1800" spans="30:31" ht="14" thickBot="1" x14ac:dyDescent="0.2">
      <c r="AD1800" s="98">
        <f t="shared" si="186"/>
        <v>46723</v>
      </c>
      <c r="AE1800" s="7">
        <f t="shared" si="188"/>
        <v>2419.9869840688043</v>
      </c>
    </row>
    <row r="1801" spans="30:31" ht="14" thickBot="1" x14ac:dyDescent="0.2">
      <c r="AD1801" s="98">
        <f t="shared" ref="AD1801:AD1864" si="189">AD1800+1</f>
        <v>46724</v>
      </c>
      <c r="AE1801" s="7">
        <f t="shared" si="188"/>
        <v>2424.5399713746124</v>
      </c>
    </row>
    <row r="1802" spans="30:31" ht="14" thickBot="1" x14ac:dyDescent="0.2">
      <c r="AD1802" s="98">
        <f t="shared" si="189"/>
        <v>46725</v>
      </c>
      <c r="AE1802" s="7">
        <f t="shared" si="188"/>
        <v>2429.1015247155037</v>
      </c>
    </row>
    <row r="1803" spans="30:31" ht="14" thickBot="1" x14ac:dyDescent="0.2">
      <c r="AD1803" s="98">
        <f t="shared" si="189"/>
        <v>46726</v>
      </c>
      <c r="AE1803" s="7">
        <f t="shared" si="188"/>
        <v>2433.6716602077008</v>
      </c>
    </row>
    <row r="1804" spans="30:31" ht="14" thickBot="1" x14ac:dyDescent="0.2">
      <c r="AD1804" s="98">
        <f t="shared" si="189"/>
        <v>46727</v>
      </c>
      <c r="AE1804" s="7">
        <f t="shared" si="188"/>
        <v>2438.2503939977478</v>
      </c>
    </row>
    <row r="1805" spans="30:31" ht="14" thickBot="1" x14ac:dyDescent="0.2">
      <c r="AD1805" s="98">
        <f t="shared" si="189"/>
        <v>46728</v>
      </c>
      <c r="AE1805" s="7">
        <f t="shared" si="188"/>
        <v>2442.8377422625667</v>
      </c>
    </row>
    <row r="1806" spans="30:31" ht="14" thickBot="1" x14ac:dyDescent="0.2">
      <c r="AD1806" s="98">
        <f t="shared" si="189"/>
        <v>46729</v>
      </c>
      <c r="AE1806" s="7">
        <f t="shared" si="188"/>
        <v>2447.4337212095152</v>
      </c>
    </row>
    <row r="1807" spans="30:31" ht="14" thickBot="1" x14ac:dyDescent="0.2">
      <c r="AD1807" s="98">
        <f t="shared" si="189"/>
        <v>46730</v>
      </c>
      <c r="AE1807" s="7">
        <f t="shared" si="188"/>
        <v>2452.0383470764436</v>
      </c>
    </row>
    <row r="1808" spans="30:31" ht="14" thickBot="1" x14ac:dyDescent="0.2">
      <c r="AD1808" s="98">
        <f t="shared" si="189"/>
        <v>46731</v>
      </c>
      <c r="AE1808" s="7">
        <f t="shared" si="188"/>
        <v>2456.6516361317517</v>
      </c>
    </row>
    <row r="1809" spans="30:31" ht="14" thickBot="1" x14ac:dyDescent="0.2">
      <c r="AD1809" s="98">
        <f t="shared" si="189"/>
        <v>46732</v>
      </c>
      <c r="AE1809" s="7">
        <f t="shared" si="188"/>
        <v>2461.2736046744476</v>
      </c>
    </row>
    <row r="1810" spans="30:31" ht="14" thickBot="1" x14ac:dyDescent="0.2">
      <c r="AD1810" s="98">
        <f t="shared" si="189"/>
        <v>46733</v>
      </c>
      <c r="AE1810" s="7">
        <f t="shared" si="188"/>
        <v>2465.9042690342044</v>
      </c>
    </row>
    <row r="1811" spans="30:31" ht="14" thickBot="1" x14ac:dyDescent="0.2">
      <c r="AD1811" s="98">
        <f t="shared" si="189"/>
        <v>46734</v>
      </c>
      <c r="AE1811" s="7">
        <f t="shared" si="188"/>
        <v>2470.5436455714175</v>
      </c>
    </row>
    <row r="1812" spans="30:31" ht="14" thickBot="1" x14ac:dyDescent="0.2">
      <c r="AD1812" s="98">
        <f t="shared" si="189"/>
        <v>46735</v>
      </c>
      <c r="AE1812" s="7">
        <f t="shared" si="188"/>
        <v>2475.1917506772634</v>
      </c>
    </row>
    <row r="1813" spans="30:31" ht="14" thickBot="1" x14ac:dyDescent="0.2">
      <c r="AD1813" s="98">
        <f t="shared" si="189"/>
        <v>46736</v>
      </c>
      <c r="AE1813" s="7">
        <f t="shared" si="188"/>
        <v>2479.848600773757</v>
      </c>
    </row>
    <row r="1814" spans="30:31" ht="14" thickBot="1" x14ac:dyDescent="0.2">
      <c r="AD1814" s="98">
        <f t="shared" si="189"/>
        <v>46737</v>
      </c>
      <c r="AE1814" s="7">
        <f t="shared" ref="AE1814:AE1844" si="190">AE1813*$AI$57</f>
        <v>2484.6698837823324</v>
      </c>
    </row>
    <row r="1815" spans="30:31" ht="14" thickBot="1" x14ac:dyDescent="0.2">
      <c r="AD1815" s="98">
        <f t="shared" si="189"/>
        <v>46738</v>
      </c>
      <c r="AE1815" s="7">
        <f t="shared" si="190"/>
        <v>2489.5005402542079</v>
      </c>
    </row>
    <row r="1816" spans="30:31" ht="14" thickBot="1" x14ac:dyDescent="0.2">
      <c r="AD1816" s="98">
        <f t="shared" si="189"/>
        <v>46739</v>
      </c>
      <c r="AE1816" s="7">
        <f t="shared" si="190"/>
        <v>2494.3405884131244</v>
      </c>
    </row>
    <row r="1817" spans="30:31" ht="14" thickBot="1" x14ac:dyDescent="0.2">
      <c r="AD1817" s="98">
        <f t="shared" si="189"/>
        <v>46740</v>
      </c>
      <c r="AE1817" s="7">
        <f t="shared" si="190"/>
        <v>2499.1900465182539</v>
      </c>
    </row>
    <row r="1818" spans="30:31" ht="14" thickBot="1" x14ac:dyDescent="0.2">
      <c r="AD1818" s="98">
        <f t="shared" si="189"/>
        <v>46741</v>
      </c>
      <c r="AE1818" s="7">
        <f t="shared" si="190"/>
        <v>2504.048932864267</v>
      </c>
    </row>
    <row r="1819" spans="30:31" ht="14" thickBot="1" x14ac:dyDescent="0.2">
      <c r="AD1819" s="98">
        <f t="shared" si="189"/>
        <v>46742</v>
      </c>
      <c r="AE1819" s="7">
        <f t="shared" si="190"/>
        <v>2508.9172657814029</v>
      </c>
    </row>
    <row r="1820" spans="30:31" ht="14" thickBot="1" x14ac:dyDescent="0.2">
      <c r="AD1820" s="98">
        <f t="shared" si="189"/>
        <v>46743</v>
      </c>
      <c r="AE1820" s="7">
        <f t="shared" si="190"/>
        <v>2513.7950636355376</v>
      </c>
    </row>
    <row r="1821" spans="30:31" ht="14" thickBot="1" x14ac:dyDescent="0.2">
      <c r="AD1821" s="98">
        <f t="shared" si="189"/>
        <v>46744</v>
      </c>
      <c r="AE1821" s="7">
        <f t="shared" si="190"/>
        <v>2518.6823448282544</v>
      </c>
    </row>
    <row r="1822" spans="30:31" ht="14" thickBot="1" x14ac:dyDescent="0.2">
      <c r="AD1822" s="98">
        <f t="shared" si="189"/>
        <v>46745</v>
      </c>
      <c r="AE1822" s="7">
        <f t="shared" si="190"/>
        <v>2523.5791277969124</v>
      </c>
    </row>
    <row r="1823" spans="30:31" ht="14" thickBot="1" x14ac:dyDescent="0.2">
      <c r="AD1823" s="98">
        <f t="shared" si="189"/>
        <v>46746</v>
      </c>
      <c r="AE1823" s="7">
        <f t="shared" si="190"/>
        <v>2528.4854310147161</v>
      </c>
    </row>
    <row r="1824" spans="30:31" ht="14" thickBot="1" x14ac:dyDescent="0.2">
      <c r="AD1824" s="98">
        <f t="shared" si="189"/>
        <v>46747</v>
      </c>
      <c r="AE1824" s="7">
        <f t="shared" si="190"/>
        <v>2533.4012729907859</v>
      </c>
    </row>
    <row r="1825" spans="30:31" ht="14" thickBot="1" x14ac:dyDescent="0.2">
      <c r="AD1825" s="98">
        <f t="shared" si="189"/>
        <v>46748</v>
      </c>
      <c r="AE1825" s="7">
        <f t="shared" si="190"/>
        <v>2538.3266722702269</v>
      </c>
    </row>
    <row r="1826" spans="30:31" ht="14" thickBot="1" x14ac:dyDescent="0.2">
      <c r="AD1826" s="98">
        <f t="shared" si="189"/>
        <v>46749</v>
      </c>
      <c r="AE1826" s="7">
        <f t="shared" si="190"/>
        <v>2543.2616474341994</v>
      </c>
    </row>
    <row r="1827" spans="30:31" ht="14" thickBot="1" x14ac:dyDescent="0.2">
      <c r="AD1827" s="98">
        <f t="shared" si="189"/>
        <v>46750</v>
      </c>
      <c r="AE1827" s="7">
        <f t="shared" si="190"/>
        <v>2548.2062170999889</v>
      </c>
    </row>
    <row r="1828" spans="30:31" ht="14" thickBot="1" x14ac:dyDescent="0.2">
      <c r="AD1828" s="98">
        <f t="shared" si="189"/>
        <v>46751</v>
      </c>
      <c r="AE1828" s="7">
        <f t="shared" si="190"/>
        <v>2553.1603999210761</v>
      </c>
    </row>
    <row r="1829" spans="30:31" ht="14" thickBot="1" x14ac:dyDescent="0.2">
      <c r="AD1829" s="98">
        <f t="shared" si="189"/>
        <v>46752</v>
      </c>
      <c r="AE1829" s="7">
        <f t="shared" si="190"/>
        <v>2558.1242145872079</v>
      </c>
    </row>
    <row r="1830" spans="30:31" ht="14" thickBot="1" x14ac:dyDescent="0.2">
      <c r="AD1830" s="98">
        <f t="shared" si="189"/>
        <v>46753</v>
      </c>
      <c r="AE1830" s="7">
        <f t="shared" si="190"/>
        <v>2563.0976798244674</v>
      </c>
    </row>
    <row r="1831" spans="30:31" ht="14" thickBot="1" x14ac:dyDescent="0.2">
      <c r="AD1831" s="98">
        <f t="shared" si="189"/>
        <v>46754</v>
      </c>
      <c r="AE1831" s="7">
        <f t="shared" si="190"/>
        <v>2568.0808143953445</v>
      </c>
    </row>
    <row r="1832" spans="30:31" ht="14" thickBot="1" x14ac:dyDescent="0.2">
      <c r="AD1832" s="98">
        <f t="shared" si="189"/>
        <v>46755</v>
      </c>
      <c r="AE1832" s="7">
        <f t="shared" si="190"/>
        <v>2573.073637098807</v>
      </c>
    </row>
    <row r="1833" spans="30:31" ht="14" thickBot="1" x14ac:dyDescent="0.2">
      <c r="AD1833" s="98">
        <f t="shared" si="189"/>
        <v>46756</v>
      </c>
      <c r="AE1833" s="7">
        <f t="shared" si="190"/>
        <v>2578.0761667703714</v>
      </c>
    </row>
    <row r="1834" spans="30:31" ht="14" thickBot="1" x14ac:dyDescent="0.2">
      <c r="AD1834" s="98">
        <f t="shared" si="189"/>
        <v>46757</v>
      </c>
      <c r="AE1834" s="7">
        <f t="shared" si="190"/>
        <v>2583.0884222821737</v>
      </c>
    </row>
    <row r="1835" spans="30:31" ht="14" thickBot="1" x14ac:dyDescent="0.2">
      <c r="AD1835" s="98">
        <f t="shared" si="189"/>
        <v>46758</v>
      </c>
      <c r="AE1835" s="7">
        <f t="shared" si="190"/>
        <v>2588.1104225430408</v>
      </c>
    </row>
    <row r="1836" spans="30:31" ht="14" thickBot="1" x14ac:dyDescent="0.2">
      <c r="AD1836" s="98">
        <f t="shared" si="189"/>
        <v>46759</v>
      </c>
      <c r="AE1836" s="7">
        <f t="shared" si="190"/>
        <v>2593.1421864985623</v>
      </c>
    </row>
    <row r="1837" spans="30:31" ht="14" thickBot="1" x14ac:dyDescent="0.2">
      <c r="AD1837" s="98">
        <f t="shared" si="189"/>
        <v>46760</v>
      </c>
      <c r="AE1837" s="7">
        <f t="shared" si="190"/>
        <v>2598.1837331311608</v>
      </c>
    </row>
    <row r="1838" spans="30:31" ht="14" thickBot="1" x14ac:dyDescent="0.2">
      <c r="AD1838" s="98">
        <f t="shared" si="189"/>
        <v>46761</v>
      </c>
      <c r="AE1838" s="7">
        <f t="shared" si="190"/>
        <v>2603.235081460165</v>
      </c>
    </row>
    <row r="1839" spans="30:31" ht="14" thickBot="1" x14ac:dyDescent="0.2">
      <c r="AD1839" s="98">
        <f t="shared" si="189"/>
        <v>46762</v>
      </c>
      <c r="AE1839" s="7">
        <f t="shared" si="190"/>
        <v>2608.2962505418805</v>
      </c>
    </row>
    <row r="1840" spans="30:31" ht="14" thickBot="1" x14ac:dyDescent="0.2">
      <c r="AD1840" s="98">
        <f t="shared" si="189"/>
        <v>46763</v>
      </c>
      <c r="AE1840" s="7">
        <f t="shared" si="190"/>
        <v>2613.3672594696613</v>
      </c>
    </row>
    <row r="1841" spans="30:31" ht="14" thickBot="1" x14ac:dyDescent="0.2">
      <c r="AD1841" s="98">
        <f t="shared" si="189"/>
        <v>46764</v>
      </c>
      <c r="AE1841" s="7">
        <f t="shared" si="190"/>
        <v>2618.448127373983</v>
      </c>
    </row>
    <row r="1842" spans="30:31" ht="14" thickBot="1" x14ac:dyDescent="0.2">
      <c r="AD1842" s="98">
        <f t="shared" si="189"/>
        <v>46765</v>
      </c>
      <c r="AE1842" s="7">
        <f t="shared" si="190"/>
        <v>2623.5388734225139</v>
      </c>
    </row>
    <row r="1843" spans="30:31" ht="14" thickBot="1" x14ac:dyDescent="0.2">
      <c r="AD1843" s="98">
        <f t="shared" si="189"/>
        <v>46766</v>
      </c>
      <c r="AE1843" s="7">
        <f t="shared" si="190"/>
        <v>2628.6395168201884</v>
      </c>
    </row>
    <row r="1844" spans="30:31" ht="14" thickBot="1" x14ac:dyDescent="0.2">
      <c r="AD1844" s="98">
        <f t="shared" si="189"/>
        <v>46767</v>
      </c>
      <c r="AE1844" s="7">
        <f t="shared" si="190"/>
        <v>2633.7500768092782</v>
      </c>
    </row>
    <row r="1845" spans="30:31" ht="14" thickBot="1" x14ac:dyDescent="0.2">
      <c r="AD1845" s="98">
        <f t="shared" si="189"/>
        <v>46768</v>
      </c>
      <c r="AE1845" s="7">
        <f t="shared" ref="AE1845:AE1875" si="191">AE1844*$AI$58</f>
        <v>2638.7052400995458</v>
      </c>
    </row>
    <row r="1846" spans="30:31" ht="14" thickBot="1" x14ac:dyDescent="0.2">
      <c r="AD1846" s="98">
        <f t="shared" si="189"/>
        <v>46769</v>
      </c>
      <c r="AE1846" s="7">
        <f t="shared" si="191"/>
        <v>2643.6697260827482</v>
      </c>
    </row>
    <row r="1847" spans="30:31" ht="14" thickBot="1" x14ac:dyDescent="0.2">
      <c r="AD1847" s="98">
        <f t="shared" si="189"/>
        <v>46770</v>
      </c>
      <c r="AE1847" s="7">
        <f t="shared" si="191"/>
        <v>2648.6435522986917</v>
      </c>
    </row>
    <row r="1848" spans="30:31" ht="14" thickBot="1" x14ac:dyDescent="0.2">
      <c r="AD1848" s="98">
        <f t="shared" si="189"/>
        <v>46771</v>
      </c>
      <c r="AE1848" s="7">
        <f t="shared" si="191"/>
        <v>2653.6267363201819</v>
      </c>
    </row>
    <row r="1849" spans="30:31" ht="14" thickBot="1" x14ac:dyDescent="0.2">
      <c r="AD1849" s="98">
        <f t="shared" si="189"/>
        <v>46772</v>
      </c>
      <c r="AE1849" s="7">
        <f t="shared" si="191"/>
        <v>2658.6192957530861</v>
      </c>
    </row>
    <row r="1850" spans="30:31" ht="14" thickBot="1" x14ac:dyDescent="0.2">
      <c r="AD1850" s="98">
        <f t="shared" si="189"/>
        <v>46773</v>
      </c>
      <c r="AE1850" s="7">
        <f t="shared" si="191"/>
        <v>2663.6212482363958</v>
      </c>
    </row>
    <row r="1851" spans="30:31" ht="14" thickBot="1" x14ac:dyDescent="0.2">
      <c r="AD1851" s="98">
        <f t="shared" si="189"/>
        <v>46774</v>
      </c>
      <c r="AE1851" s="7">
        <f t="shared" si="191"/>
        <v>2668.6326114422882</v>
      </c>
    </row>
    <row r="1852" spans="30:31" ht="14" thickBot="1" x14ac:dyDescent="0.2">
      <c r="AD1852" s="98">
        <f t="shared" si="189"/>
        <v>46775</v>
      </c>
      <c r="AE1852" s="7">
        <f t="shared" si="191"/>
        <v>2673.6534030761891</v>
      </c>
    </row>
    <row r="1853" spans="30:31" ht="14" thickBot="1" x14ac:dyDescent="0.2">
      <c r="AD1853" s="98">
        <f t="shared" si="189"/>
        <v>46776</v>
      </c>
      <c r="AE1853" s="7">
        <f t="shared" si="191"/>
        <v>2678.6836408768359</v>
      </c>
    </row>
    <row r="1854" spans="30:31" ht="14" thickBot="1" x14ac:dyDescent="0.2">
      <c r="AD1854" s="98">
        <f t="shared" si="189"/>
        <v>46777</v>
      </c>
      <c r="AE1854" s="7">
        <f t="shared" si="191"/>
        <v>2683.7233426163393</v>
      </c>
    </row>
    <row r="1855" spans="30:31" ht="14" thickBot="1" x14ac:dyDescent="0.2">
      <c r="AD1855" s="98">
        <f t="shared" si="189"/>
        <v>46778</v>
      </c>
      <c r="AE1855" s="7">
        <f t="shared" si="191"/>
        <v>2688.7725261002474</v>
      </c>
    </row>
    <row r="1856" spans="30:31" ht="14" thickBot="1" x14ac:dyDescent="0.2">
      <c r="AD1856" s="98">
        <f t="shared" si="189"/>
        <v>46779</v>
      </c>
      <c r="AE1856" s="7">
        <f t="shared" si="191"/>
        <v>2693.8312091676071</v>
      </c>
    </row>
    <row r="1857" spans="30:31" ht="14" thickBot="1" x14ac:dyDescent="0.2">
      <c r="AD1857" s="98">
        <f t="shared" si="189"/>
        <v>46780</v>
      </c>
      <c r="AE1857" s="7">
        <f t="shared" si="191"/>
        <v>2698.8994096910278</v>
      </c>
    </row>
    <row r="1858" spans="30:31" ht="14" thickBot="1" x14ac:dyDescent="0.2">
      <c r="AD1858" s="98">
        <f t="shared" si="189"/>
        <v>46781</v>
      </c>
      <c r="AE1858" s="7">
        <f t="shared" si="191"/>
        <v>2703.9771455767454</v>
      </c>
    </row>
    <row r="1859" spans="30:31" ht="14" thickBot="1" x14ac:dyDescent="0.2">
      <c r="AD1859" s="98">
        <f t="shared" si="189"/>
        <v>46782</v>
      </c>
      <c r="AE1859" s="7">
        <f t="shared" si="191"/>
        <v>2709.0644347646839</v>
      </c>
    </row>
    <row r="1860" spans="30:31" ht="14" thickBot="1" x14ac:dyDescent="0.2">
      <c r="AD1860" s="98">
        <f t="shared" si="189"/>
        <v>46783</v>
      </c>
      <c r="AE1860" s="7">
        <f t="shared" si="191"/>
        <v>2714.1612952285204</v>
      </c>
    </row>
    <row r="1861" spans="30:31" ht="14" thickBot="1" x14ac:dyDescent="0.2">
      <c r="AD1861" s="98">
        <f t="shared" si="189"/>
        <v>46784</v>
      </c>
      <c r="AE1861" s="7">
        <f t="shared" si="191"/>
        <v>2719.2677449757475</v>
      </c>
    </row>
    <row r="1862" spans="30:31" ht="14" thickBot="1" x14ac:dyDescent="0.2">
      <c r="AD1862" s="98">
        <f t="shared" si="189"/>
        <v>46785</v>
      </c>
      <c r="AE1862" s="7">
        <f t="shared" si="191"/>
        <v>2724.3838020477369</v>
      </c>
    </row>
    <row r="1863" spans="30:31" ht="14" thickBot="1" x14ac:dyDescent="0.2">
      <c r="AD1863" s="98">
        <f t="shared" si="189"/>
        <v>46786</v>
      </c>
      <c r="AE1863" s="7">
        <f t="shared" si="191"/>
        <v>2729.5094845198041</v>
      </c>
    </row>
    <row r="1864" spans="30:31" ht="14" thickBot="1" x14ac:dyDescent="0.2">
      <c r="AD1864" s="98">
        <f t="shared" si="189"/>
        <v>46787</v>
      </c>
      <c r="AE1864" s="7">
        <f t="shared" si="191"/>
        <v>2734.6448105012714</v>
      </c>
    </row>
    <row r="1865" spans="30:31" ht="14" thickBot="1" x14ac:dyDescent="0.2">
      <c r="AD1865" s="98">
        <f t="shared" ref="AD1865:AD1928" si="192">AD1864+1</f>
        <v>46788</v>
      </c>
      <c r="AE1865" s="7">
        <f t="shared" si="191"/>
        <v>2739.7897981355322</v>
      </c>
    </row>
    <row r="1866" spans="30:31" ht="14" thickBot="1" x14ac:dyDescent="0.2">
      <c r="AD1866" s="98">
        <f t="shared" si="192"/>
        <v>46789</v>
      </c>
      <c r="AE1866" s="7">
        <f t="shared" si="191"/>
        <v>2744.9444656001151</v>
      </c>
    </row>
    <row r="1867" spans="30:31" ht="14" thickBot="1" x14ac:dyDescent="0.2">
      <c r="AD1867" s="98">
        <f t="shared" si="192"/>
        <v>46790</v>
      </c>
      <c r="AE1867" s="7">
        <f t="shared" si="191"/>
        <v>2750.1088311067479</v>
      </c>
    </row>
    <row r="1868" spans="30:31" ht="14" thickBot="1" x14ac:dyDescent="0.2">
      <c r="AD1868" s="98">
        <f t="shared" si="192"/>
        <v>46791</v>
      </c>
      <c r="AE1868" s="7">
        <f t="shared" si="191"/>
        <v>2755.2829129014222</v>
      </c>
    </row>
    <row r="1869" spans="30:31" ht="14" thickBot="1" x14ac:dyDescent="0.2">
      <c r="AD1869" s="98">
        <f t="shared" si="192"/>
        <v>46792</v>
      </c>
      <c r="AE1869" s="7">
        <f t="shared" si="191"/>
        <v>2760.4667292644581</v>
      </c>
    </row>
    <row r="1870" spans="30:31" ht="14" thickBot="1" x14ac:dyDescent="0.2">
      <c r="AD1870" s="98">
        <f t="shared" si="192"/>
        <v>46793</v>
      </c>
      <c r="AE1870" s="7">
        <f t="shared" si="191"/>
        <v>2765.6602985105678</v>
      </c>
    </row>
    <row r="1871" spans="30:31" ht="14" thickBot="1" x14ac:dyDescent="0.2">
      <c r="AD1871" s="98">
        <f t="shared" si="192"/>
        <v>46794</v>
      </c>
      <c r="AE1871" s="7">
        <f t="shared" si="191"/>
        <v>2770.863638988922</v>
      </c>
    </row>
    <row r="1872" spans="30:31" ht="14" thickBot="1" x14ac:dyDescent="0.2">
      <c r="AD1872" s="98">
        <f t="shared" si="192"/>
        <v>46795</v>
      </c>
      <c r="AE1872" s="7">
        <f t="shared" si="191"/>
        <v>2776.0767690832126</v>
      </c>
    </row>
    <row r="1873" spans="30:31" ht="14" thickBot="1" x14ac:dyDescent="0.2">
      <c r="AD1873" s="98">
        <f t="shared" si="192"/>
        <v>46796</v>
      </c>
      <c r="AE1873" s="7">
        <f t="shared" si="191"/>
        <v>2781.2997072117196</v>
      </c>
    </row>
    <row r="1874" spans="30:31" ht="14" thickBot="1" x14ac:dyDescent="0.2">
      <c r="AD1874" s="98">
        <f t="shared" si="192"/>
        <v>46797</v>
      </c>
      <c r="AE1874" s="7">
        <f t="shared" si="191"/>
        <v>2786.532471827375</v>
      </c>
    </row>
    <row r="1875" spans="30:31" ht="14" thickBot="1" x14ac:dyDescent="0.2">
      <c r="AD1875" s="98">
        <f t="shared" si="192"/>
        <v>46798</v>
      </c>
      <c r="AE1875" s="7">
        <f t="shared" si="191"/>
        <v>2791.7750814178285</v>
      </c>
    </row>
    <row r="1876" spans="30:31" ht="14" thickBot="1" x14ac:dyDescent="0.2">
      <c r="AD1876" s="98">
        <f t="shared" si="192"/>
        <v>46799</v>
      </c>
      <c r="AE1876" s="7">
        <f t="shared" ref="AE1876:AE1904" si="193">AE1875*$AI$59</f>
        <v>2797.0275545055119</v>
      </c>
    </row>
    <row r="1877" spans="30:31" ht="14" thickBot="1" x14ac:dyDescent="0.2">
      <c r="AD1877" s="98">
        <f t="shared" si="192"/>
        <v>46800</v>
      </c>
      <c r="AE1877" s="7">
        <f t="shared" si="193"/>
        <v>2802.2899096477067</v>
      </c>
    </row>
    <row r="1878" spans="30:31" ht="14" thickBot="1" x14ac:dyDescent="0.2">
      <c r="AD1878" s="98">
        <f t="shared" si="192"/>
        <v>46801</v>
      </c>
      <c r="AE1878" s="7">
        <f t="shared" si="193"/>
        <v>2807.5621654366068</v>
      </c>
    </row>
    <row r="1879" spans="30:31" ht="14" thickBot="1" x14ac:dyDescent="0.2">
      <c r="AD1879" s="98">
        <f t="shared" si="192"/>
        <v>46802</v>
      </c>
      <c r="AE1879" s="7">
        <f t="shared" si="193"/>
        <v>2812.8443404993864</v>
      </c>
    </row>
    <row r="1880" spans="30:31" ht="14" thickBot="1" x14ac:dyDescent="0.2">
      <c r="AD1880" s="98">
        <f t="shared" si="192"/>
        <v>46803</v>
      </c>
      <c r="AE1880" s="7">
        <f t="shared" si="193"/>
        <v>2818.1364534982649</v>
      </c>
    </row>
    <row r="1881" spans="30:31" ht="14" thickBot="1" x14ac:dyDescent="0.2">
      <c r="AD1881" s="98">
        <f t="shared" si="192"/>
        <v>46804</v>
      </c>
      <c r="AE1881" s="7">
        <f t="shared" si="193"/>
        <v>2823.4385231305728</v>
      </c>
    </row>
    <row r="1882" spans="30:31" ht="14" thickBot="1" x14ac:dyDescent="0.2">
      <c r="AD1882" s="98">
        <f t="shared" si="192"/>
        <v>46805</v>
      </c>
      <c r="AE1882" s="7">
        <f t="shared" si="193"/>
        <v>2828.7505681288185</v>
      </c>
    </row>
    <row r="1883" spans="30:31" ht="14" thickBot="1" x14ac:dyDescent="0.2">
      <c r="AD1883" s="98">
        <f t="shared" si="192"/>
        <v>46806</v>
      </c>
      <c r="AE1883" s="7">
        <f t="shared" si="193"/>
        <v>2834.0726072607536</v>
      </c>
    </row>
    <row r="1884" spans="30:31" ht="14" thickBot="1" x14ac:dyDescent="0.2">
      <c r="AD1884" s="98">
        <f t="shared" si="192"/>
        <v>46807</v>
      </c>
      <c r="AE1884" s="7">
        <f t="shared" si="193"/>
        <v>2839.4046593294393</v>
      </c>
    </row>
    <row r="1885" spans="30:31" ht="14" thickBot="1" x14ac:dyDescent="0.2">
      <c r="AD1885" s="98">
        <f t="shared" si="192"/>
        <v>46808</v>
      </c>
      <c r="AE1885" s="7">
        <f t="shared" si="193"/>
        <v>2844.746743173313</v>
      </c>
    </row>
    <row r="1886" spans="30:31" ht="14" thickBot="1" x14ac:dyDescent="0.2">
      <c r="AD1886" s="98">
        <f t="shared" si="192"/>
        <v>46809</v>
      </c>
      <c r="AE1886" s="7">
        <f t="shared" si="193"/>
        <v>2850.0988776662552</v>
      </c>
    </row>
    <row r="1887" spans="30:31" ht="14" thickBot="1" x14ac:dyDescent="0.2">
      <c r="AD1887" s="98">
        <f t="shared" si="192"/>
        <v>46810</v>
      </c>
      <c r="AE1887" s="7">
        <f t="shared" si="193"/>
        <v>2855.4610817176563</v>
      </c>
    </row>
    <row r="1888" spans="30:31" ht="14" thickBot="1" x14ac:dyDescent="0.2">
      <c r="AD1888" s="98">
        <f t="shared" si="192"/>
        <v>46811</v>
      </c>
      <c r="AE1888" s="7">
        <f t="shared" si="193"/>
        <v>2860.8333742724822</v>
      </c>
    </row>
    <row r="1889" spans="30:31" ht="14" thickBot="1" x14ac:dyDescent="0.2">
      <c r="AD1889" s="98">
        <f t="shared" si="192"/>
        <v>46812</v>
      </c>
      <c r="AE1889" s="7">
        <f t="shared" si="193"/>
        <v>2866.2157743113426</v>
      </c>
    </row>
    <row r="1890" spans="30:31" ht="14" thickBot="1" x14ac:dyDescent="0.2">
      <c r="AD1890" s="98">
        <f t="shared" si="192"/>
        <v>46813</v>
      </c>
      <c r="AE1890" s="7">
        <f t="shared" si="193"/>
        <v>2871.6083008505575</v>
      </c>
    </row>
    <row r="1891" spans="30:31" ht="14" thickBot="1" x14ac:dyDescent="0.2">
      <c r="AD1891" s="98">
        <f t="shared" si="192"/>
        <v>46814</v>
      </c>
      <c r="AE1891" s="7">
        <f t="shared" si="193"/>
        <v>2877.0109729422243</v>
      </c>
    </row>
    <row r="1892" spans="30:31" ht="14" thickBot="1" x14ac:dyDescent="0.2">
      <c r="AD1892" s="98">
        <f t="shared" si="192"/>
        <v>46815</v>
      </c>
      <c r="AE1892" s="7">
        <f t="shared" si="193"/>
        <v>2882.4238096742847</v>
      </c>
    </row>
    <row r="1893" spans="30:31" ht="14" thickBot="1" x14ac:dyDescent="0.2">
      <c r="AD1893" s="98">
        <f t="shared" si="192"/>
        <v>46816</v>
      </c>
      <c r="AE1893" s="7">
        <f t="shared" si="193"/>
        <v>2887.8468301705934</v>
      </c>
    </row>
    <row r="1894" spans="30:31" ht="14" thickBot="1" x14ac:dyDescent="0.2">
      <c r="AD1894" s="98">
        <f t="shared" si="192"/>
        <v>46817</v>
      </c>
      <c r="AE1894" s="7">
        <f t="shared" si="193"/>
        <v>2893.2800535909846</v>
      </c>
    </row>
    <row r="1895" spans="30:31" ht="14" thickBot="1" x14ac:dyDescent="0.2">
      <c r="AD1895" s="98">
        <f t="shared" si="192"/>
        <v>46818</v>
      </c>
      <c r="AE1895" s="7">
        <f t="shared" si="193"/>
        <v>2898.7234991313398</v>
      </c>
    </row>
    <row r="1896" spans="30:31" ht="14" thickBot="1" x14ac:dyDescent="0.2">
      <c r="AD1896" s="98">
        <f t="shared" si="192"/>
        <v>46819</v>
      </c>
      <c r="AE1896" s="7">
        <f t="shared" si="193"/>
        <v>2904.1771860236563</v>
      </c>
    </row>
    <row r="1897" spans="30:31" ht="14" thickBot="1" x14ac:dyDescent="0.2">
      <c r="AD1897" s="98">
        <f t="shared" si="192"/>
        <v>46820</v>
      </c>
      <c r="AE1897" s="7">
        <f t="shared" si="193"/>
        <v>2909.641133536114</v>
      </c>
    </row>
    <row r="1898" spans="30:31" ht="14" thickBot="1" x14ac:dyDescent="0.2">
      <c r="AD1898" s="98">
        <f t="shared" si="192"/>
        <v>46821</v>
      </c>
      <c r="AE1898" s="7">
        <f t="shared" si="193"/>
        <v>2915.1153609731446</v>
      </c>
    </row>
    <row r="1899" spans="30:31" ht="14" thickBot="1" x14ac:dyDescent="0.2">
      <c r="AD1899" s="98">
        <f t="shared" si="192"/>
        <v>46822</v>
      </c>
      <c r="AE1899" s="7">
        <f t="shared" si="193"/>
        <v>2920.5998876754993</v>
      </c>
    </row>
    <row r="1900" spans="30:31" ht="14" thickBot="1" x14ac:dyDescent="0.2">
      <c r="AD1900" s="98">
        <f t="shared" si="192"/>
        <v>46823</v>
      </c>
      <c r="AE1900" s="7">
        <f t="shared" si="193"/>
        <v>2926.0947330203171</v>
      </c>
    </row>
    <row r="1901" spans="30:31" ht="14" thickBot="1" x14ac:dyDescent="0.2">
      <c r="AD1901" s="98">
        <f t="shared" si="192"/>
        <v>46824</v>
      </c>
      <c r="AE1901" s="7">
        <f t="shared" si="193"/>
        <v>2931.5999164211935</v>
      </c>
    </row>
    <row r="1902" spans="30:31" ht="14" thickBot="1" x14ac:dyDescent="0.2">
      <c r="AD1902" s="98">
        <f t="shared" si="192"/>
        <v>46825</v>
      </c>
      <c r="AE1902" s="7">
        <f t="shared" si="193"/>
        <v>2937.1154573282488</v>
      </c>
    </row>
    <row r="1903" spans="30:31" ht="14" thickBot="1" x14ac:dyDescent="0.2">
      <c r="AD1903" s="98">
        <f t="shared" si="192"/>
        <v>46826</v>
      </c>
      <c r="AE1903" s="7">
        <f t="shared" si="193"/>
        <v>2942.6413752281969</v>
      </c>
    </row>
    <row r="1904" spans="30:31" ht="14" thickBot="1" x14ac:dyDescent="0.2">
      <c r="AD1904" s="98">
        <f t="shared" si="192"/>
        <v>46827</v>
      </c>
      <c r="AE1904" s="7">
        <f t="shared" si="193"/>
        <v>2948.1776896444144</v>
      </c>
    </row>
    <row r="1905" spans="30:31" ht="14" thickBot="1" x14ac:dyDescent="0.2">
      <c r="AD1905" s="98">
        <f t="shared" si="192"/>
        <v>46828</v>
      </c>
      <c r="AE1905" s="7">
        <f t="shared" ref="AE1905:AE1935" si="194">AE1904*$AI$60</f>
        <v>2954.3193312960784</v>
      </c>
    </row>
    <row r="1906" spans="30:31" ht="14" thickBot="1" x14ac:dyDescent="0.2">
      <c r="AD1906" s="98">
        <f t="shared" si="192"/>
        <v>46829</v>
      </c>
      <c r="AE1906" s="7">
        <f t="shared" si="194"/>
        <v>2960.4737672112328</v>
      </c>
    </row>
    <row r="1907" spans="30:31" ht="14" thickBot="1" x14ac:dyDescent="0.2">
      <c r="AD1907" s="98">
        <f t="shared" si="192"/>
        <v>46830</v>
      </c>
      <c r="AE1907" s="7">
        <f t="shared" si="194"/>
        <v>2966.6410240428781</v>
      </c>
    </row>
    <row r="1908" spans="30:31" ht="14" thickBot="1" x14ac:dyDescent="0.2">
      <c r="AD1908" s="98">
        <f t="shared" si="192"/>
        <v>46831</v>
      </c>
      <c r="AE1908" s="7">
        <f t="shared" si="194"/>
        <v>2972.8211284995382</v>
      </c>
    </row>
    <row r="1909" spans="30:31" ht="14" thickBot="1" x14ac:dyDescent="0.2">
      <c r="AD1909" s="98">
        <f t="shared" si="192"/>
        <v>46832</v>
      </c>
      <c r="AE1909" s="7">
        <f t="shared" si="194"/>
        <v>2979.0141073453765</v>
      </c>
    </row>
    <row r="1910" spans="30:31" ht="14" thickBot="1" x14ac:dyDescent="0.2">
      <c r="AD1910" s="98">
        <f t="shared" si="192"/>
        <v>46833</v>
      </c>
      <c r="AE1910" s="7">
        <f t="shared" si="194"/>
        <v>2985.2199874003109</v>
      </c>
    </row>
    <row r="1911" spans="30:31" ht="14" thickBot="1" x14ac:dyDescent="0.2">
      <c r="AD1911" s="98">
        <f t="shared" si="192"/>
        <v>46834</v>
      </c>
      <c r="AE1911" s="7">
        <f t="shared" si="194"/>
        <v>2991.4387955401312</v>
      </c>
    </row>
    <row r="1912" spans="30:31" ht="14" thickBot="1" x14ac:dyDescent="0.2">
      <c r="AD1912" s="98">
        <f t="shared" si="192"/>
        <v>46835</v>
      </c>
      <c r="AE1912" s="7">
        <f t="shared" si="194"/>
        <v>2997.670558696615</v>
      </c>
    </row>
    <row r="1913" spans="30:31" ht="14" thickBot="1" x14ac:dyDescent="0.2">
      <c r="AD1913" s="98">
        <f t="shared" si="192"/>
        <v>46836</v>
      </c>
      <c r="AE1913" s="7">
        <f t="shared" si="194"/>
        <v>3003.9153038576433</v>
      </c>
    </row>
    <row r="1914" spans="30:31" ht="14" thickBot="1" x14ac:dyDescent="0.2">
      <c r="AD1914" s="98">
        <f t="shared" si="192"/>
        <v>46837</v>
      </c>
      <c r="AE1914" s="7">
        <f t="shared" si="194"/>
        <v>3010.1730580673188</v>
      </c>
    </row>
    <row r="1915" spans="30:31" ht="14" thickBot="1" x14ac:dyDescent="0.2">
      <c r="AD1915" s="98">
        <f t="shared" si="192"/>
        <v>46838</v>
      </c>
      <c r="AE1915" s="7">
        <f t="shared" si="194"/>
        <v>3016.4438484260822</v>
      </c>
    </row>
    <row r="1916" spans="30:31" ht="14" thickBot="1" x14ac:dyDescent="0.2">
      <c r="AD1916" s="98">
        <f t="shared" si="192"/>
        <v>46839</v>
      </c>
      <c r="AE1916" s="7">
        <f t="shared" si="194"/>
        <v>3022.72770209083</v>
      </c>
    </row>
    <row r="1917" spans="30:31" ht="14" thickBot="1" x14ac:dyDescent="0.2">
      <c r="AD1917" s="98">
        <f t="shared" si="192"/>
        <v>46840</v>
      </c>
      <c r="AE1917" s="7">
        <f t="shared" si="194"/>
        <v>3029.024646275032</v>
      </c>
    </row>
    <row r="1918" spans="30:31" ht="14" thickBot="1" x14ac:dyDescent="0.2">
      <c r="AD1918" s="98">
        <f t="shared" si="192"/>
        <v>46841</v>
      </c>
      <c r="AE1918" s="7">
        <f t="shared" si="194"/>
        <v>3035.3347082488485</v>
      </c>
    </row>
    <row r="1919" spans="30:31" ht="14" thickBot="1" x14ac:dyDescent="0.2">
      <c r="AD1919" s="98">
        <f t="shared" si="192"/>
        <v>46842</v>
      </c>
      <c r="AE1919" s="7">
        <f t="shared" si="194"/>
        <v>3041.6579153392499</v>
      </c>
    </row>
    <row r="1920" spans="30:31" ht="14" thickBot="1" x14ac:dyDescent="0.2">
      <c r="AD1920" s="98">
        <f t="shared" si="192"/>
        <v>46843</v>
      </c>
      <c r="AE1920" s="7">
        <f t="shared" si="194"/>
        <v>3047.9942949301335</v>
      </c>
    </row>
    <row r="1921" spans="30:31" ht="14" thickBot="1" x14ac:dyDescent="0.2">
      <c r="AD1921" s="98">
        <f t="shared" si="192"/>
        <v>46844</v>
      </c>
      <c r="AE1921" s="7">
        <f t="shared" si="194"/>
        <v>3054.3438744624427</v>
      </c>
    </row>
    <row r="1922" spans="30:31" ht="14" thickBot="1" x14ac:dyDescent="0.2">
      <c r="AD1922" s="98">
        <f t="shared" si="192"/>
        <v>46845</v>
      </c>
      <c r="AE1922" s="7">
        <f t="shared" si="194"/>
        <v>3060.7066814342866</v>
      </c>
    </row>
    <row r="1923" spans="30:31" ht="14" thickBot="1" x14ac:dyDescent="0.2">
      <c r="AD1923" s="98">
        <f t="shared" si="192"/>
        <v>46846</v>
      </c>
      <c r="AE1923" s="7">
        <f t="shared" si="194"/>
        <v>3067.0827434010571</v>
      </c>
    </row>
    <row r="1924" spans="30:31" ht="14" thickBot="1" x14ac:dyDescent="0.2">
      <c r="AD1924" s="98">
        <f t="shared" si="192"/>
        <v>46847</v>
      </c>
      <c r="AE1924" s="7">
        <f t="shared" si="194"/>
        <v>3073.4720879755505</v>
      </c>
    </row>
    <row r="1925" spans="30:31" ht="14" thickBot="1" x14ac:dyDescent="0.2">
      <c r="AD1925" s="98">
        <f t="shared" si="192"/>
        <v>46848</v>
      </c>
      <c r="AE1925" s="7">
        <f t="shared" si="194"/>
        <v>3079.8747428280858</v>
      </c>
    </row>
    <row r="1926" spans="30:31" ht="14" thickBot="1" x14ac:dyDescent="0.2">
      <c r="AD1926" s="98">
        <f t="shared" si="192"/>
        <v>46849</v>
      </c>
      <c r="AE1926" s="7">
        <f t="shared" si="194"/>
        <v>3086.2907356866244</v>
      </c>
    </row>
    <row r="1927" spans="30:31" ht="14" thickBot="1" x14ac:dyDescent="0.2">
      <c r="AD1927" s="98">
        <f t="shared" si="192"/>
        <v>46850</v>
      </c>
      <c r="AE1927" s="7">
        <f t="shared" si="194"/>
        <v>3092.7200943368907</v>
      </c>
    </row>
    <row r="1928" spans="30:31" ht="14" thickBot="1" x14ac:dyDescent="0.2">
      <c r="AD1928" s="98">
        <f t="shared" si="192"/>
        <v>46851</v>
      </c>
      <c r="AE1928" s="7">
        <f t="shared" si="194"/>
        <v>3099.1628466224929</v>
      </c>
    </row>
    <row r="1929" spans="30:31" ht="14" thickBot="1" x14ac:dyDescent="0.2">
      <c r="AD1929" s="98">
        <f t="shared" ref="AD1929:AD1992" si="195">AD1928+1</f>
        <v>46852</v>
      </c>
      <c r="AE1929" s="7">
        <f t="shared" si="194"/>
        <v>3105.6190204450422</v>
      </c>
    </row>
    <row r="1930" spans="30:31" ht="14" thickBot="1" x14ac:dyDescent="0.2">
      <c r="AD1930" s="98">
        <f t="shared" si="195"/>
        <v>46853</v>
      </c>
      <c r="AE1930" s="7">
        <f t="shared" si="194"/>
        <v>3112.0886437642753</v>
      </c>
    </row>
    <row r="1931" spans="30:31" ht="14" thickBot="1" x14ac:dyDescent="0.2">
      <c r="AD1931" s="98">
        <f t="shared" si="195"/>
        <v>46854</v>
      </c>
      <c r="AE1931" s="7">
        <f t="shared" si="194"/>
        <v>3118.5717445981736</v>
      </c>
    </row>
    <row r="1932" spans="30:31" ht="14" thickBot="1" x14ac:dyDescent="0.2">
      <c r="AD1932" s="98">
        <f t="shared" si="195"/>
        <v>46855</v>
      </c>
      <c r="AE1932" s="7">
        <f t="shared" si="194"/>
        <v>3125.0683510230861</v>
      </c>
    </row>
    <row r="1933" spans="30:31" ht="14" thickBot="1" x14ac:dyDescent="0.2">
      <c r="AD1933" s="98">
        <f t="shared" si="195"/>
        <v>46856</v>
      </c>
      <c r="AE1933" s="7">
        <f t="shared" si="194"/>
        <v>3131.5784911738501</v>
      </c>
    </row>
    <row r="1934" spans="30:31" ht="14" thickBot="1" x14ac:dyDescent="0.2">
      <c r="AD1934" s="98">
        <f t="shared" si="195"/>
        <v>46857</v>
      </c>
      <c r="AE1934" s="7">
        <f t="shared" si="194"/>
        <v>3138.1021932439139</v>
      </c>
    </row>
    <row r="1935" spans="30:31" ht="14" thickBot="1" x14ac:dyDescent="0.2">
      <c r="AD1935" s="98">
        <f t="shared" si="195"/>
        <v>46858</v>
      </c>
      <c r="AE1935" s="7">
        <f t="shared" si="194"/>
        <v>3144.639485485458</v>
      </c>
    </row>
    <row r="1936" spans="30:31" ht="14" thickBot="1" x14ac:dyDescent="0.2">
      <c r="AD1936" s="98">
        <f t="shared" si="195"/>
        <v>46859</v>
      </c>
      <c r="AE1936" s="7">
        <f t="shared" ref="AE1936:AE1965" si="196">AE1935*$AI$61</f>
        <v>3150.5558411324146</v>
      </c>
    </row>
    <row r="1937" spans="30:31" ht="14" thickBot="1" x14ac:dyDescent="0.2">
      <c r="AD1937" s="98">
        <f t="shared" si="195"/>
        <v>46860</v>
      </c>
      <c r="AE1937" s="7">
        <f t="shared" si="196"/>
        <v>3156.4833278690567</v>
      </c>
    </row>
    <row r="1938" spans="30:31" ht="14" thickBot="1" x14ac:dyDescent="0.2">
      <c r="AD1938" s="98">
        <f t="shared" si="195"/>
        <v>46861</v>
      </c>
      <c r="AE1938" s="7">
        <f t="shared" si="196"/>
        <v>3162.4219666375261</v>
      </c>
    </row>
    <row r="1939" spans="30:31" ht="14" thickBot="1" x14ac:dyDescent="0.2">
      <c r="AD1939" s="98">
        <f t="shared" si="195"/>
        <v>46862</v>
      </c>
      <c r="AE1939" s="7">
        <f t="shared" si="196"/>
        <v>3168.3717784193645</v>
      </c>
    </row>
    <row r="1940" spans="30:31" ht="14" thickBot="1" x14ac:dyDescent="0.2">
      <c r="AD1940" s="98">
        <f t="shared" si="195"/>
        <v>46863</v>
      </c>
      <c r="AE1940" s="7">
        <f t="shared" si="196"/>
        <v>3174.3327842355898</v>
      </c>
    </row>
    <row r="1941" spans="30:31" ht="14" thickBot="1" x14ac:dyDescent="0.2">
      <c r="AD1941" s="98">
        <f t="shared" si="195"/>
        <v>46864</v>
      </c>
      <c r="AE1941" s="7">
        <f t="shared" si="196"/>
        <v>3180.3050051467676</v>
      </c>
    </row>
    <row r="1942" spans="30:31" ht="14" thickBot="1" x14ac:dyDescent="0.2">
      <c r="AD1942" s="98">
        <f t="shared" si="195"/>
        <v>46865</v>
      </c>
      <c r="AE1942" s="7">
        <f t="shared" si="196"/>
        <v>3186.2884622530883</v>
      </c>
    </row>
    <row r="1943" spans="30:31" ht="14" thickBot="1" x14ac:dyDescent="0.2">
      <c r="AD1943" s="98">
        <f t="shared" si="195"/>
        <v>46866</v>
      </c>
      <c r="AE1943" s="7">
        <f t="shared" si="196"/>
        <v>3192.28317669444</v>
      </c>
    </row>
    <row r="1944" spans="30:31" ht="14" thickBot="1" x14ac:dyDescent="0.2">
      <c r="AD1944" s="98">
        <f t="shared" si="195"/>
        <v>46867</v>
      </c>
      <c r="AE1944" s="7">
        <f t="shared" si="196"/>
        <v>3198.2891696504835</v>
      </c>
    </row>
    <row r="1945" spans="30:31" ht="14" thickBot="1" x14ac:dyDescent="0.2">
      <c r="AD1945" s="98">
        <f t="shared" si="195"/>
        <v>46868</v>
      </c>
      <c r="AE1945" s="7">
        <f t="shared" si="196"/>
        <v>3204.3064623407267</v>
      </c>
    </row>
    <row r="1946" spans="30:31" ht="14" thickBot="1" x14ac:dyDescent="0.2">
      <c r="AD1946" s="98">
        <f t="shared" si="195"/>
        <v>46869</v>
      </c>
      <c r="AE1946" s="7">
        <f t="shared" si="196"/>
        <v>3210.3350760246012</v>
      </c>
    </row>
    <row r="1947" spans="30:31" ht="14" thickBot="1" x14ac:dyDescent="0.2">
      <c r="AD1947" s="98">
        <f t="shared" si="195"/>
        <v>46870</v>
      </c>
      <c r="AE1947" s="7">
        <f t="shared" si="196"/>
        <v>3216.3750320015356</v>
      </c>
    </row>
    <row r="1948" spans="30:31" ht="14" thickBot="1" x14ac:dyDescent="0.2">
      <c r="AD1948" s="98">
        <f t="shared" si="195"/>
        <v>46871</v>
      </c>
      <c r="AE1948" s="7">
        <f t="shared" si="196"/>
        <v>3222.4263516110314</v>
      </c>
    </row>
    <row r="1949" spans="30:31" ht="14" thickBot="1" x14ac:dyDescent="0.2">
      <c r="AD1949" s="98">
        <f t="shared" si="195"/>
        <v>46872</v>
      </c>
      <c r="AE1949" s="7">
        <f t="shared" si="196"/>
        <v>3228.4890562327387</v>
      </c>
    </row>
    <row r="1950" spans="30:31" ht="14" thickBot="1" x14ac:dyDescent="0.2">
      <c r="AD1950" s="98">
        <f t="shared" si="195"/>
        <v>46873</v>
      </c>
      <c r="AE1950" s="7">
        <f t="shared" si="196"/>
        <v>3234.5631672865316</v>
      </c>
    </row>
    <row r="1951" spans="30:31" ht="14" thickBot="1" x14ac:dyDescent="0.2">
      <c r="AD1951" s="98">
        <f t="shared" si="195"/>
        <v>46874</v>
      </c>
      <c r="AE1951" s="7">
        <f t="shared" si="196"/>
        <v>3240.6487062325832</v>
      </c>
    </row>
    <row r="1952" spans="30:31" ht="14" thickBot="1" x14ac:dyDescent="0.2">
      <c r="AD1952" s="98">
        <f t="shared" si="195"/>
        <v>46875</v>
      </c>
      <c r="AE1952" s="7">
        <f t="shared" si="196"/>
        <v>3246.745694571443</v>
      </c>
    </row>
    <row r="1953" spans="30:31" ht="14" thickBot="1" x14ac:dyDescent="0.2">
      <c r="AD1953" s="98">
        <f t="shared" si="195"/>
        <v>46876</v>
      </c>
      <c r="AE1953" s="7">
        <f t="shared" si="196"/>
        <v>3252.8541538441104</v>
      </c>
    </row>
    <row r="1954" spans="30:31" ht="14" thickBot="1" x14ac:dyDescent="0.2">
      <c r="AD1954" s="98">
        <f t="shared" si="195"/>
        <v>46877</v>
      </c>
      <c r="AE1954" s="7">
        <f t="shared" si="196"/>
        <v>3258.9741056321136</v>
      </c>
    </row>
    <row r="1955" spans="30:31" ht="14" thickBot="1" x14ac:dyDescent="0.2">
      <c r="AD1955" s="98">
        <f t="shared" si="195"/>
        <v>46878</v>
      </c>
      <c r="AE1955" s="7">
        <f t="shared" si="196"/>
        <v>3265.105571557584</v>
      </c>
    </row>
    <row r="1956" spans="30:31" ht="14" thickBot="1" x14ac:dyDescent="0.2">
      <c r="AD1956" s="98">
        <f t="shared" si="195"/>
        <v>46879</v>
      </c>
      <c r="AE1956" s="7">
        <f t="shared" si="196"/>
        <v>3271.2485732833329</v>
      </c>
    </row>
    <row r="1957" spans="30:31" ht="14" thickBot="1" x14ac:dyDescent="0.2">
      <c r="AD1957" s="98">
        <f t="shared" si="195"/>
        <v>46880</v>
      </c>
      <c r="AE1957" s="7">
        <f t="shared" si="196"/>
        <v>3277.4031325129281</v>
      </c>
    </row>
    <row r="1958" spans="30:31" ht="14" thickBot="1" x14ac:dyDescent="0.2">
      <c r="AD1958" s="98">
        <f t="shared" si="195"/>
        <v>46881</v>
      </c>
      <c r="AE1958" s="7">
        <f t="shared" si="196"/>
        <v>3283.5692709907712</v>
      </c>
    </row>
    <row r="1959" spans="30:31" ht="14" thickBot="1" x14ac:dyDescent="0.2">
      <c r="AD1959" s="98">
        <f t="shared" si="195"/>
        <v>46882</v>
      </c>
      <c r="AE1959" s="7">
        <f t="shared" si="196"/>
        <v>3289.7470105021739</v>
      </c>
    </row>
    <row r="1960" spans="30:31" ht="14" thickBot="1" x14ac:dyDescent="0.2">
      <c r="AD1960" s="98">
        <f t="shared" si="195"/>
        <v>46883</v>
      </c>
      <c r="AE1960" s="7">
        <f t="shared" si="196"/>
        <v>3295.9363728734343</v>
      </c>
    </row>
    <row r="1961" spans="30:31" ht="14" thickBot="1" x14ac:dyDescent="0.2">
      <c r="AD1961" s="98">
        <f t="shared" si="195"/>
        <v>46884</v>
      </c>
      <c r="AE1961" s="7">
        <f t="shared" si="196"/>
        <v>3302.1373799719158</v>
      </c>
    </row>
    <row r="1962" spans="30:31" ht="14" thickBot="1" x14ac:dyDescent="0.2">
      <c r="AD1962" s="98">
        <f t="shared" si="195"/>
        <v>46885</v>
      </c>
      <c r="AE1962" s="7">
        <f t="shared" si="196"/>
        <v>3308.3500537061223</v>
      </c>
    </row>
    <row r="1963" spans="30:31" ht="14" thickBot="1" x14ac:dyDescent="0.2">
      <c r="AD1963" s="98">
        <f t="shared" si="195"/>
        <v>46886</v>
      </c>
      <c r="AE1963" s="7">
        <f t="shared" si="196"/>
        <v>3314.5744160257768</v>
      </c>
    </row>
    <row r="1964" spans="30:31" ht="14" thickBot="1" x14ac:dyDescent="0.2">
      <c r="AD1964" s="98">
        <f t="shared" si="195"/>
        <v>46887</v>
      </c>
      <c r="AE1964" s="7">
        <f t="shared" si="196"/>
        <v>3320.8104889218994</v>
      </c>
    </row>
    <row r="1965" spans="30:31" ht="14" thickBot="1" x14ac:dyDescent="0.2">
      <c r="AD1965" s="98">
        <f t="shared" si="195"/>
        <v>46888</v>
      </c>
      <c r="AE1965" s="7">
        <f t="shared" si="196"/>
        <v>3327.0582944268835</v>
      </c>
    </row>
    <row r="1966" spans="30:31" ht="14" thickBot="1" x14ac:dyDescent="0.2">
      <c r="AD1966" s="98">
        <f t="shared" si="195"/>
        <v>46889</v>
      </c>
      <c r="AE1966" s="7">
        <f t="shared" ref="AE1966:AE1996" si="197">AE1965*$AI$62</f>
        <v>3333.5267093206216</v>
      </c>
    </row>
    <row r="1967" spans="30:31" ht="14" thickBot="1" x14ac:dyDescent="0.2">
      <c r="AD1967" s="98">
        <f t="shared" si="195"/>
        <v>46890</v>
      </c>
      <c r="AE1967" s="7">
        <f t="shared" si="197"/>
        <v>3340.007700005805</v>
      </c>
    </row>
    <row r="1968" spans="30:31" ht="14" thickBot="1" x14ac:dyDescent="0.2">
      <c r="AD1968" s="98">
        <f t="shared" si="195"/>
        <v>46891</v>
      </c>
      <c r="AE1968" s="7">
        <f t="shared" si="197"/>
        <v>3346.5012909320917</v>
      </c>
    </row>
    <row r="1969" spans="30:31" ht="14" thickBot="1" x14ac:dyDescent="0.2">
      <c r="AD1969" s="98">
        <f t="shared" si="195"/>
        <v>46892</v>
      </c>
      <c r="AE1969" s="7">
        <f t="shared" si="197"/>
        <v>3353.0075065966739</v>
      </c>
    </row>
    <row r="1970" spans="30:31" ht="14" thickBot="1" x14ac:dyDescent="0.2">
      <c r="AD1970" s="98">
        <f t="shared" si="195"/>
        <v>46893</v>
      </c>
      <c r="AE1970" s="7">
        <f t="shared" si="197"/>
        <v>3359.5263715443712</v>
      </c>
    </row>
    <row r="1971" spans="30:31" ht="14" thickBot="1" x14ac:dyDescent="0.2">
      <c r="AD1971" s="98">
        <f t="shared" si="195"/>
        <v>46894</v>
      </c>
      <c r="AE1971" s="7">
        <f t="shared" si="197"/>
        <v>3366.0579103677228</v>
      </c>
    </row>
    <row r="1972" spans="30:31" ht="14" thickBot="1" x14ac:dyDescent="0.2">
      <c r="AD1972" s="98">
        <f t="shared" si="195"/>
        <v>46895</v>
      </c>
      <c r="AE1972" s="7">
        <f t="shared" si="197"/>
        <v>3372.6021477070799</v>
      </c>
    </row>
    <row r="1973" spans="30:31" ht="14" thickBot="1" x14ac:dyDescent="0.2">
      <c r="AD1973" s="98">
        <f t="shared" si="195"/>
        <v>46896</v>
      </c>
      <c r="AE1973" s="7">
        <f t="shared" si="197"/>
        <v>3379.1591082506998</v>
      </c>
    </row>
    <row r="1974" spans="30:31" ht="14" thickBot="1" x14ac:dyDescent="0.2">
      <c r="AD1974" s="98">
        <f t="shared" si="195"/>
        <v>46897</v>
      </c>
      <c r="AE1974" s="7">
        <f t="shared" si="197"/>
        <v>3385.7288167348379</v>
      </c>
    </row>
    <row r="1975" spans="30:31" ht="14" thickBot="1" x14ac:dyDescent="0.2">
      <c r="AD1975" s="98">
        <f t="shared" si="195"/>
        <v>46898</v>
      </c>
      <c r="AE1975" s="7">
        <f t="shared" si="197"/>
        <v>3392.3112979438415</v>
      </c>
    </row>
    <row r="1976" spans="30:31" ht="14" thickBot="1" x14ac:dyDescent="0.2">
      <c r="AD1976" s="98">
        <f t="shared" si="195"/>
        <v>46899</v>
      </c>
      <c r="AE1976" s="7">
        <f t="shared" si="197"/>
        <v>3398.9065767102434</v>
      </c>
    </row>
    <row r="1977" spans="30:31" ht="14" thickBot="1" x14ac:dyDescent="0.2">
      <c r="AD1977" s="98">
        <f t="shared" si="195"/>
        <v>46900</v>
      </c>
      <c r="AE1977" s="7">
        <f t="shared" si="197"/>
        <v>3405.5146779148554</v>
      </c>
    </row>
    <row r="1978" spans="30:31" ht="14" thickBot="1" x14ac:dyDescent="0.2">
      <c r="AD1978" s="98">
        <f t="shared" si="195"/>
        <v>46901</v>
      </c>
      <c r="AE1978" s="7">
        <f t="shared" si="197"/>
        <v>3412.1356264868618</v>
      </c>
    </row>
    <row r="1979" spans="30:31" ht="14" thickBot="1" x14ac:dyDescent="0.2">
      <c r="AD1979" s="98">
        <f t="shared" si="195"/>
        <v>46902</v>
      </c>
      <c r="AE1979" s="7">
        <f t="shared" si="197"/>
        <v>3418.769447403914</v>
      </c>
    </row>
    <row r="1980" spans="30:31" ht="14" thickBot="1" x14ac:dyDescent="0.2">
      <c r="AD1980" s="98">
        <f t="shared" si="195"/>
        <v>46903</v>
      </c>
      <c r="AE1980" s="7">
        <f t="shared" si="197"/>
        <v>3425.4161656922247</v>
      </c>
    </row>
    <row r="1981" spans="30:31" ht="14" thickBot="1" x14ac:dyDescent="0.2">
      <c r="AD1981" s="98">
        <f t="shared" si="195"/>
        <v>46904</v>
      </c>
      <c r="AE1981" s="7">
        <f t="shared" si="197"/>
        <v>3432.0758064266624</v>
      </c>
    </row>
    <row r="1982" spans="30:31" ht="14" thickBot="1" x14ac:dyDescent="0.2">
      <c r="AD1982" s="98">
        <f t="shared" si="195"/>
        <v>46905</v>
      </c>
      <c r="AE1982" s="7">
        <f t="shared" si="197"/>
        <v>3438.7483947308456</v>
      </c>
    </row>
    <row r="1983" spans="30:31" ht="14" thickBot="1" x14ac:dyDescent="0.2">
      <c r="AD1983" s="98">
        <f t="shared" si="195"/>
        <v>46906</v>
      </c>
      <c r="AE1983" s="7">
        <f t="shared" si="197"/>
        <v>3445.4339557772373</v>
      </c>
    </row>
    <row r="1984" spans="30:31" ht="14" thickBot="1" x14ac:dyDescent="0.2">
      <c r="AD1984" s="98">
        <f t="shared" si="195"/>
        <v>46907</v>
      </c>
      <c r="AE1984" s="7">
        <f t="shared" si="197"/>
        <v>3452.1325147872408</v>
      </c>
    </row>
    <row r="1985" spans="30:31" ht="14" thickBot="1" x14ac:dyDescent="0.2">
      <c r="AD1985" s="98">
        <f t="shared" si="195"/>
        <v>46908</v>
      </c>
      <c r="AE1985" s="7">
        <f t="shared" si="197"/>
        <v>3458.8440970312945</v>
      </c>
    </row>
    <row r="1986" spans="30:31" ht="14" thickBot="1" x14ac:dyDescent="0.2">
      <c r="AD1986" s="98">
        <f t="shared" si="195"/>
        <v>46909</v>
      </c>
      <c r="AE1986" s="7">
        <f t="shared" si="197"/>
        <v>3465.568727828967</v>
      </c>
    </row>
    <row r="1987" spans="30:31" ht="14" thickBot="1" x14ac:dyDescent="0.2">
      <c r="AD1987" s="98">
        <f t="shared" si="195"/>
        <v>46910</v>
      </c>
      <c r="AE1987" s="7">
        <f t="shared" si="197"/>
        <v>3472.3064325490532</v>
      </c>
    </row>
    <row r="1988" spans="30:31" ht="14" thickBot="1" x14ac:dyDescent="0.2">
      <c r="AD1988" s="98">
        <f t="shared" si="195"/>
        <v>46911</v>
      </c>
      <c r="AE1988" s="7">
        <f t="shared" si="197"/>
        <v>3479.057236609669</v>
      </c>
    </row>
    <row r="1989" spans="30:31" ht="14" thickBot="1" x14ac:dyDescent="0.2">
      <c r="AD1989" s="98">
        <f t="shared" si="195"/>
        <v>46912</v>
      </c>
      <c r="AE1989" s="7">
        <f t="shared" si="197"/>
        <v>3485.8211654783481</v>
      </c>
    </row>
    <row r="1990" spans="30:31" ht="14" thickBot="1" x14ac:dyDescent="0.2">
      <c r="AD1990" s="98">
        <f t="shared" si="195"/>
        <v>46913</v>
      </c>
      <c r="AE1990" s="7">
        <f t="shared" si="197"/>
        <v>3492.5982446721382</v>
      </c>
    </row>
    <row r="1991" spans="30:31" ht="14" thickBot="1" x14ac:dyDescent="0.2">
      <c r="AD1991" s="98">
        <f t="shared" si="195"/>
        <v>46914</v>
      </c>
      <c r="AE1991" s="7">
        <f t="shared" si="197"/>
        <v>3499.3884997576961</v>
      </c>
    </row>
    <row r="1992" spans="30:31" ht="14" thickBot="1" x14ac:dyDescent="0.2">
      <c r="AD1992" s="98">
        <f t="shared" si="195"/>
        <v>46915</v>
      </c>
      <c r="AE1992" s="7">
        <f t="shared" si="197"/>
        <v>3506.1919563513857</v>
      </c>
    </row>
    <row r="1993" spans="30:31" ht="14" thickBot="1" x14ac:dyDescent="0.2">
      <c r="AD1993" s="98">
        <f t="shared" ref="AD1993:AD2056" si="198">AD1992+1</f>
        <v>46916</v>
      </c>
      <c r="AE1993" s="7">
        <f t="shared" si="197"/>
        <v>3513.008640119373</v>
      </c>
    </row>
    <row r="1994" spans="30:31" ht="14" thickBot="1" x14ac:dyDescent="0.2">
      <c r="AD1994" s="98">
        <f t="shared" si="198"/>
        <v>46917</v>
      </c>
      <c r="AE1994" s="7">
        <f t="shared" si="197"/>
        <v>3519.8385767777245</v>
      </c>
    </row>
    <row r="1995" spans="30:31" ht="14" thickBot="1" x14ac:dyDescent="0.2">
      <c r="AD1995" s="98">
        <f t="shared" si="198"/>
        <v>46918</v>
      </c>
      <c r="AE1995" s="7">
        <f t="shared" si="197"/>
        <v>3526.6817920925027</v>
      </c>
    </row>
    <row r="1996" spans="30:31" ht="14" thickBot="1" x14ac:dyDescent="0.2">
      <c r="AD1996" s="98">
        <f t="shared" si="198"/>
        <v>46919</v>
      </c>
      <c r="AE1996" s="7">
        <f t="shared" si="197"/>
        <v>3533.538311879865</v>
      </c>
    </row>
    <row r="1997" spans="30:31" ht="14" thickBot="1" x14ac:dyDescent="0.2">
      <c r="AD1997" s="98">
        <f t="shared" si="198"/>
        <v>46920</v>
      </c>
      <c r="AE1997" s="7">
        <f t="shared" ref="AE1997:AE2026" si="199">AE1996*$AI$63</f>
        <v>3540.1863456025608</v>
      </c>
    </row>
    <row r="1998" spans="30:31" ht="14" thickBot="1" x14ac:dyDescent="0.2">
      <c r="AD1998" s="98">
        <f t="shared" si="198"/>
        <v>46921</v>
      </c>
      <c r="AE1998" s="7">
        <f t="shared" si="199"/>
        <v>3546.846887001268</v>
      </c>
    </row>
    <row r="1999" spans="30:31" ht="14" thickBot="1" x14ac:dyDescent="0.2">
      <c r="AD1999" s="98">
        <f t="shared" si="198"/>
        <v>46922</v>
      </c>
      <c r="AE1999" s="7">
        <f t="shared" si="199"/>
        <v>3553.5199596080511</v>
      </c>
    </row>
    <row r="2000" spans="30:31" ht="14" thickBot="1" x14ac:dyDescent="0.2">
      <c r="AD2000" s="98">
        <f t="shared" si="198"/>
        <v>46923</v>
      </c>
      <c r="AE2000" s="7">
        <f t="shared" si="199"/>
        <v>3560.2055869992478</v>
      </c>
    </row>
    <row r="2001" spans="30:31" ht="14" thickBot="1" x14ac:dyDescent="0.2">
      <c r="AD2001" s="98">
        <f t="shared" si="198"/>
        <v>46924</v>
      </c>
      <c r="AE2001" s="7">
        <f t="shared" si="199"/>
        <v>3566.9037927955533</v>
      </c>
    </row>
    <row r="2002" spans="30:31" ht="14" thickBot="1" x14ac:dyDescent="0.2">
      <c r="AD2002" s="98">
        <f t="shared" si="198"/>
        <v>46925</v>
      </c>
      <c r="AE2002" s="7">
        <f t="shared" si="199"/>
        <v>3573.6146006621025</v>
      </c>
    </row>
    <row r="2003" spans="30:31" ht="14" thickBot="1" x14ac:dyDescent="0.2">
      <c r="AD2003" s="98">
        <f t="shared" si="198"/>
        <v>46926</v>
      </c>
      <c r="AE2003" s="7">
        <f t="shared" si="199"/>
        <v>3580.3380343085546</v>
      </c>
    </row>
    <row r="2004" spans="30:31" ht="14" thickBot="1" x14ac:dyDescent="0.2">
      <c r="AD2004" s="98">
        <f t="shared" si="198"/>
        <v>46927</v>
      </c>
      <c r="AE2004" s="7">
        <f t="shared" si="199"/>
        <v>3587.0741174891759</v>
      </c>
    </row>
    <row r="2005" spans="30:31" ht="14" thickBot="1" x14ac:dyDescent="0.2">
      <c r="AD2005" s="98">
        <f t="shared" si="198"/>
        <v>46928</v>
      </c>
      <c r="AE2005" s="7">
        <f t="shared" si="199"/>
        <v>3593.822874002924</v>
      </c>
    </row>
    <row r="2006" spans="30:31" ht="14" thickBot="1" x14ac:dyDescent="0.2">
      <c r="AD2006" s="98">
        <f t="shared" si="198"/>
        <v>46929</v>
      </c>
      <c r="AE2006" s="7">
        <f t="shared" si="199"/>
        <v>3600.5843276935329</v>
      </c>
    </row>
    <row r="2007" spans="30:31" ht="14" thickBot="1" x14ac:dyDescent="0.2">
      <c r="AD2007" s="98">
        <f t="shared" si="198"/>
        <v>46930</v>
      </c>
      <c r="AE2007" s="7">
        <f t="shared" si="199"/>
        <v>3607.3585024495956</v>
      </c>
    </row>
    <row r="2008" spans="30:31" ht="14" thickBot="1" x14ac:dyDescent="0.2">
      <c r="AD2008" s="98">
        <f t="shared" si="198"/>
        <v>46931</v>
      </c>
      <c r="AE2008" s="7">
        <f t="shared" si="199"/>
        <v>3614.14542220465</v>
      </c>
    </row>
    <row r="2009" spans="30:31" ht="14" thickBot="1" x14ac:dyDescent="0.2">
      <c r="AD2009" s="98">
        <f t="shared" si="198"/>
        <v>46932</v>
      </c>
      <c r="AE2009" s="7">
        <f t="shared" si="199"/>
        <v>3620.9451109372626</v>
      </c>
    </row>
    <row r="2010" spans="30:31" ht="14" thickBot="1" x14ac:dyDescent="0.2">
      <c r="AD2010" s="98">
        <f t="shared" si="198"/>
        <v>46933</v>
      </c>
      <c r="AE2010" s="7">
        <f t="shared" si="199"/>
        <v>3627.7575926711129</v>
      </c>
    </row>
    <row r="2011" spans="30:31" ht="14" thickBot="1" x14ac:dyDescent="0.2">
      <c r="AD2011" s="98">
        <f t="shared" si="198"/>
        <v>46934</v>
      </c>
      <c r="AE2011" s="7">
        <f t="shared" si="199"/>
        <v>3634.5828914750796</v>
      </c>
    </row>
    <row r="2012" spans="30:31" ht="14" thickBot="1" x14ac:dyDescent="0.2">
      <c r="AD2012" s="98">
        <f t="shared" si="198"/>
        <v>46935</v>
      </c>
      <c r="AE2012" s="7">
        <f t="shared" si="199"/>
        <v>3641.4210314633242</v>
      </c>
    </row>
    <row r="2013" spans="30:31" ht="14" thickBot="1" x14ac:dyDescent="0.2">
      <c r="AD2013" s="98">
        <f t="shared" si="198"/>
        <v>46936</v>
      </c>
      <c r="AE2013" s="7">
        <f t="shared" si="199"/>
        <v>3648.2720367953771</v>
      </c>
    </row>
    <row r="2014" spans="30:31" ht="14" thickBot="1" x14ac:dyDescent="0.2">
      <c r="AD2014" s="98">
        <f t="shared" si="198"/>
        <v>46937</v>
      </c>
      <c r="AE2014" s="7">
        <f t="shared" si="199"/>
        <v>3655.1359316762228</v>
      </c>
    </row>
    <row r="2015" spans="30:31" ht="14" thickBot="1" x14ac:dyDescent="0.2">
      <c r="AD2015" s="98">
        <f t="shared" si="198"/>
        <v>46938</v>
      </c>
      <c r="AE2015" s="7">
        <f t="shared" si="199"/>
        <v>3662.0127403563852</v>
      </c>
    </row>
    <row r="2016" spans="30:31" ht="14" thickBot="1" x14ac:dyDescent="0.2">
      <c r="AD2016" s="98">
        <f t="shared" si="198"/>
        <v>46939</v>
      </c>
      <c r="AE2016" s="7">
        <f t="shared" si="199"/>
        <v>3668.902487132013</v>
      </c>
    </row>
    <row r="2017" spans="30:31" ht="14" thickBot="1" x14ac:dyDescent="0.2">
      <c r="AD2017" s="98">
        <f t="shared" si="198"/>
        <v>46940</v>
      </c>
      <c r="AE2017" s="7">
        <f t="shared" si="199"/>
        <v>3675.8051963449661</v>
      </c>
    </row>
    <row r="2018" spans="30:31" ht="14" thickBot="1" x14ac:dyDescent="0.2">
      <c r="AD2018" s="98">
        <f t="shared" si="198"/>
        <v>46941</v>
      </c>
      <c r="AE2018" s="7">
        <f t="shared" si="199"/>
        <v>3682.7208923829021</v>
      </c>
    </row>
    <row r="2019" spans="30:31" ht="14" thickBot="1" x14ac:dyDescent="0.2">
      <c r="AD2019" s="98">
        <f t="shared" si="198"/>
        <v>46942</v>
      </c>
      <c r="AE2019" s="7">
        <f t="shared" si="199"/>
        <v>3689.649599679361</v>
      </c>
    </row>
    <row r="2020" spans="30:31" ht="14" thickBot="1" x14ac:dyDescent="0.2">
      <c r="AD2020" s="98">
        <f t="shared" si="198"/>
        <v>46943</v>
      </c>
      <c r="AE2020" s="7">
        <f t="shared" si="199"/>
        <v>3696.5913427138521</v>
      </c>
    </row>
    <row r="2021" spans="30:31" ht="14" thickBot="1" x14ac:dyDescent="0.2">
      <c r="AD2021" s="98">
        <f t="shared" si="198"/>
        <v>46944</v>
      </c>
      <c r="AE2021" s="7">
        <f t="shared" si="199"/>
        <v>3703.5461460119418</v>
      </c>
    </row>
    <row r="2022" spans="30:31" ht="14" thickBot="1" x14ac:dyDescent="0.2">
      <c r="AD2022" s="98">
        <f t="shared" si="198"/>
        <v>46945</v>
      </c>
      <c r="AE2022" s="7">
        <f t="shared" si="199"/>
        <v>3710.514034145338</v>
      </c>
    </row>
    <row r="2023" spans="30:31" ht="14" thickBot="1" x14ac:dyDescent="0.2">
      <c r="AD2023" s="98">
        <f t="shared" si="198"/>
        <v>46946</v>
      </c>
      <c r="AE2023" s="7">
        <f t="shared" si="199"/>
        <v>3717.4950317319785</v>
      </c>
    </row>
    <row r="2024" spans="30:31" ht="14" thickBot="1" x14ac:dyDescent="0.2">
      <c r="AD2024" s="98">
        <f t="shared" si="198"/>
        <v>46947</v>
      </c>
      <c r="AE2024" s="7">
        <f t="shared" si="199"/>
        <v>3724.4891634361175</v>
      </c>
    </row>
    <row r="2025" spans="30:31" ht="14" thickBot="1" x14ac:dyDescent="0.2">
      <c r="AD2025" s="98">
        <f t="shared" si="198"/>
        <v>46948</v>
      </c>
      <c r="AE2025" s="7">
        <f t="shared" si="199"/>
        <v>3731.4964539684129</v>
      </c>
    </row>
    <row r="2026" spans="30:31" ht="14" thickBot="1" x14ac:dyDescent="0.2">
      <c r="AD2026" s="98">
        <f t="shared" si="198"/>
        <v>46949</v>
      </c>
      <c r="AE2026" s="7">
        <f t="shared" si="199"/>
        <v>3738.5169280860132</v>
      </c>
    </row>
    <row r="2027" spans="30:31" ht="14" thickBot="1" x14ac:dyDescent="0.2">
      <c r="AD2027" s="98">
        <f t="shared" si="198"/>
        <v>46950</v>
      </c>
      <c r="AE2027" s="7">
        <f t="shared" ref="AE2027:AE2057" si="200">AE2026*$AI$64</f>
        <v>3745.7852944439546</v>
      </c>
    </row>
    <row r="2028" spans="30:31" ht="14" thickBot="1" x14ac:dyDescent="0.2">
      <c r="AD2028" s="98">
        <f t="shared" si="198"/>
        <v>46951</v>
      </c>
      <c r="AE2028" s="7">
        <f t="shared" si="200"/>
        <v>3753.0677918465135</v>
      </c>
    </row>
    <row r="2029" spans="30:31" ht="14" thickBot="1" x14ac:dyDescent="0.2">
      <c r="AD2029" s="98">
        <f t="shared" si="198"/>
        <v>46952</v>
      </c>
      <c r="AE2029" s="7">
        <f t="shared" si="200"/>
        <v>3760.3644477670464</v>
      </c>
    </row>
    <row r="2030" spans="30:31" ht="14" thickBot="1" x14ac:dyDescent="0.2">
      <c r="AD2030" s="98">
        <f t="shared" si="198"/>
        <v>46953</v>
      </c>
      <c r="AE2030" s="7">
        <f t="shared" si="200"/>
        <v>3767.6752897323236</v>
      </c>
    </row>
    <row r="2031" spans="30:31" ht="14" thickBot="1" x14ac:dyDescent="0.2">
      <c r="AD2031" s="98">
        <f t="shared" si="198"/>
        <v>46954</v>
      </c>
      <c r="AE2031" s="7">
        <f t="shared" si="200"/>
        <v>3775.0003453226318</v>
      </c>
    </row>
    <row r="2032" spans="30:31" ht="14" thickBot="1" x14ac:dyDescent="0.2">
      <c r="AD2032" s="98">
        <f t="shared" si="198"/>
        <v>46955</v>
      </c>
      <c r="AE2032" s="7">
        <f t="shared" si="200"/>
        <v>3782.3396421718794</v>
      </c>
    </row>
    <row r="2033" spans="30:31" ht="14" thickBot="1" x14ac:dyDescent="0.2">
      <c r="AD2033" s="98">
        <f t="shared" si="198"/>
        <v>46956</v>
      </c>
      <c r="AE2033" s="7">
        <f t="shared" si="200"/>
        <v>3789.6932079677003</v>
      </c>
    </row>
    <row r="2034" spans="30:31" ht="14" thickBot="1" x14ac:dyDescent="0.2">
      <c r="AD2034" s="98">
        <f t="shared" si="198"/>
        <v>46957</v>
      </c>
      <c r="AE2034" s="7">
        <f t="shared" si="200"/>
        <v>3797.061070451558</v>
      </c>
    </row>
    <row r="2035" spans="30:31" ht="14" thickBot="1" x14ac:dyDescent="0.2">
      <c r="AD2035" s="98">
        <f t="shared" si="198"/>
        <v>46958</v>
      </c>
      <c r="AE2035" s="7">
        <f t="shared" si="200"/>
        <v>3804.4432574188509</v>
      </c>
    </row>
    <row r="2036" spans="30:31" ht="14" thickBot="1" x14ac:dyDescent="0.2">
      <c r="AD2036" s="98">
        <f t="shared" si="198"/>
        <v>46959</v>
      </c>
      <c r="AE2036" s="7">
        <f t="shared" si="200"/>
        <v>3811.8397967190158</v>
      </c>
    </row>
    <row r="2037" spans="30:31" ht="14" thickBot="1" x14ac:dyDescent="0.2">
      <c r="AD2037" s="98">
        <f t="shared" si="198"/>
        <v>46960</v>
      </c>
      <c r="AE2037" s="7">
        <f t="shared" si="200"/>
        <v>3819.2507162556353</v>
      </c>
    </row>
    <row r="2038" spans="30:31" ht="14" thickBot="1" x14ac:dyDescent="0.2">
      <c r="AD2038" s="98">
        <f t="shared" si="198"/>
        <v>46961</v>
      </c>
      <c r="AE2038" s="7">
        <f t="shared" si="200"/>
        <v>3826.6760439865407</v>
      </c>
    </row>
    <row r="2039" spans="30:31" ht="14" thickBot="1" x14ac:dyDescent="0.2">
      <c r="AD2039" s="98">
        <f t="shared" si="198"/>
        <v>46962</v>
      </c>
      <c r="AE2039" s="7">
        <f t="shared" si="200"/>
        <v>3834.115807923919</v>
      </c>
    </row>
    <row r="2040" spans="30:31" ht="14" thickBot="1" x14ac:dyDescent="0.2">
      <c r="AD2040" s="98">
        <f t="shared" si="198"/>
        <v>46963</v>
      </c>
      <c r="AE2040" s="7">
        <f t="shared" si="200"/>
        <v>3841.5700361344179</v>
      </c>
    </row>
    <row r="2041" spans="30:31" ht="14" thickBot="1" x14ac:dyDescent="0.2">
      <c r="AD2041" s="98">
        <f t="shared" si="198"/>
        <v>46964</v>
      </c>
      <c r="AE2041" s="7">
        <f t="shared" si="200"/>
        <v>3849.0387567392518</v>
      </c>
    </row>
    <row r="2042" spans="30:31" ht="14" thickBot="1" x14ac:dyDescent="0.2">
      <c r="AD2042" s="98">
        <f t="shared" si="198"/>
        <v>46965</v>
      </c>
      <c r="AE2042" s="7">
        <f t="shared" si="200"/>
        <v>3856.5219979143076</v>
      </c>
    </row>
    <row r="2043" spans="30:31" ht="14" thickBot="1" x14ac:dyDescent="0.2">
      <c r="AD2043" s="98">
        <f t="shared" si="198"/>
        <v>46966</v>
      </c>
      <c r="AE2043" s="7">
        <f t="shared" si="200"/>
        <v>3864.0197878902522</v>
      </c>
    </row>
    <row r="2044" spans="30:31" ht="14" thickBot="1" x14ac:dyDescent="0.2">
      <c r="AD2044" s="98">
        <f t="shared" si="198"/>
        <v>46967</v>
      </c>
      <c r="AE2044" s="7">
        <f t="shared" si="200"/>
        <v>3871.532154952637</v>
      </c>
    </row>
    <row r="2045" spans="30:31" ht="14" thickBot="1" x14ac:dyDescent="0.2">
      <c r="AD2045" s="98">
        <f t="shared" si="198"/>
        <v>46968</v>
      </c>
      <c r="AE2045" s="7">
        <f t="shared" si="200"/>
        <v>3879.0591274420067</v>
      </c>
    </row>
    <row r="2046" spans="30:31" ht="14" thickBot="1" x14ac:dyDescent="0.2">
      <c r="AD2046" s="98">
        <f t="shared" si="198"/>
        <v>46969</v>
      </c>
      <c r="AE2046" s="7">
        <f t="shared" si="200"/>
        <v>3886.600733754005</v>
      </c>
    </row>
    <row r="2047" spans="30:31" ht="14" thickBot="1" x14ac:dyDescent="0.2">
      <c r="AD2047" s="98">
        <f t="shared" si="198"/>
        <v>46970</v>
      </c>
      <c r="AE2047" s="7">
        <f t="shared" si="200"/>
        <v>3894.1570023394816</v>
      </c>
    </row>
    <row r="2048" spans="30:31" ht="14" thickBot="1" x14ac:dyDescent="0.2">
      <c r="AD2048" s="98">
        <f t="shared" si="198"/>
        <v>46971</v>
      </c>
      <c r="AE2048" s="7">
        <f t="shared" si="200"/>
        <v>3901.7279617046001</v>
      </c>
    </row>
    <row r="2049" spans="30:31" ht="14" thickBot="1" x14ac:dyDescent="0.2">
      <c r="AD2049" s="98">
        <f t="shared" si="198"/>
        <v>46972</v>
      </c>
      <c r="AE2049" s="7">
        <f t="shared" si="200"/>
        <v>3909.3136404109455</v>
      </c>
    </row>
    <row r="2050" spans="30:31" ht="14" thickBot="1" x14ac:dyDescent="0.2">
      <c r="AD2050" s="98">
        <f t="shared" si="198"/>
        <v>46973</v>
      </c>
      <c r="AE2050" s="7">
        <f t="shared" si="200"/>
        <v>3916.9140670756315</v>
      </c>
    </row>
    <row r="2051" spans="30:31" ht="14" thickBot="1" x14ac:dyDescent="0.2">
      <c r="AD2051" s="98">
        <f t="shared" si="198"/>
        <v>46974</v>
      </c>
      <c r="AE2051" s="7">
        <f t="shared" si="200"/>
        <v>3924.529270371409</v>
      </c>
    </row>
    <row r="2052" spans="30:31" ht="14" thickBot="1" x14ac:dyDescent="0.2">
      <c r="AD2052" s="98">
        <f t="shared" si="198"/>
        <v>46975</v>
      </c>
      <c r="AE2052" s="7">
        <f t="shared" si="200"/>
        <v>3932.1592790267737</v>
      </c>
    </row>
    <row r="2053" spans="30:31" ht="14" thickBot="1" x14ac:dyDescent="0.2">
      <c r="AD2053" s="98">
        <f t="shared" si="198"/>
        <v>46976</v>
      </c>
      <c r="AE2053" s="7">
        <f t="shared" si="200"/>
        <v>3939.8041218260755</v>
      </c>
    </row>
    <row r="2054" spans="30:31" ht="14" thickBot="1" x14ac:dyDescent="0.2">
      <c r="AD2054" s="98">
        <f t="shared" si="198"/>
        <v>46977</v>
      </c>
      <c r="AE2054" s="7">
        <f t="shared" si="200"/>
        <v>3947.4638276096257</v>
      </c>
    </row>
    <row r="2055" spans="30:31" ht="14" thickBot="1" x14ac:dyDescent="0.2">
      <c r="AD2055" s="98">
        <f t="shared" si="198"/>
        <v>46978</v>
      </c>
      <c r="AE2055" s="7">
        <f t="shared" si="200"/>
        <v>3955.1384252738062</v>
      </c>
    </row>
    <row r="2056" spans="30:31" ht="14" thickBot="1" x14ac:dyDescent="0.2">
      <c r="AD2056" s="98">
        <f t="shared" si="198"/>
        <v>46979</v>
      </c>
      <c r="AE2056" s="7">
        <f t="shared" si="200"/>
        <v>3962.8279437711799</v>
      </c>
    </row>
    <row r="2057" spans="30:31" ht="14" thickBot="1" x14ac:dyDescent="0.2">
      <c r="AD2057" s="98">
        <f t="shared" ref="AD2057:AD2120" si="201">AD2056+1</f>
        <v>46980</v>
      </c>
      <c r="AE2057" s="7">
        <f t="shared" si="200"/>
        <v>3970.5324121105978</v>
      </c>
    </row>
    <row r="2058" spans="30:31" ht="14" thickBot="1" x14ac:dyDescent="0.2">
      <c r="AD2058" s="98">
        <f t="shared" si="201"/>
        <v>46981</v>
      </c>
      <c r="AE2058" s="7">
        <f t="shared" ref="AE2058:AE2088" si="202">AE2057*$AI$65</f>
        <v>3978.0026108301145</v>
      </c>
    </row>
    <row r="2059" spans="30:31" ht="14" thickBot="1" x14ac:dyDescent="0.2">
      <c r="AD2059" s="98">
        <f t="shared" si="201"/>
        <v>46982</v>
      </c>
      <c r="AE2059" s="7">
        <f t="shared" si="202"/>
        <v>3985.4868640549512</v>
      </c>
    </row>
    <row r="2060" spans="30:31" ht="14" thickBot="1" x14ac:dyDescent="0.2">
      <c r="AD2060" s="98">
        <f t="shared" si="201"/>
        <v>46983</v>
      </c>
      <c r="AE2060" s="7">
        <f t="shared" si="202"/>
        <v>3992.9851982273926</v>
      </c>
    </row>
    <row r="2061" spans="30:31" ht="14" thickBot="1" x14ac:dyDescent="0.2">
      <c r="AD2061" s="98">
        <f t="shared" si="201"/>
        <v>46984</v>
      </c>
      <c r="AE2061" s="7">
        <f t="shared" si="202"/>
        <v>4000.4976398394715</v>
      </c>
    </row>
    <row r="2062" spans="30:31" ht="14" thickBot="1" x14ac:dyDescent="0.2">
      <c r="AD2062" s="98">
        <f t="shared" si="201"/>
        <v>46985</v>
      </c>
      <c r="AE2062" s="7">
        <f t="shared" si="202"/>
        <v>4008.024215433064</v>
      </c>
    </row>
    <row r="2063" spans="30:31" ht="14" thickBot="1" x14ac:dyDescent="0.2">
      <c r="AD2063" s="98">
        <f t="shared" si="201"/>
        <v>46986</v>
      </c>
      <c r="AE2063" s="7">
        <f t="shared" si="202"/>
        <v>4015.5649515999817</v>
      </c>
    </row>
    <row r="2064" spans="30:31" ht="14" thickBot="1" x14ac:dyDescent="0.2">
      <c r="AD2064" s="98">
        <f t="shared" si="201"/>
        <v>46987</v>
      </c>
      <c r="AE2064" s="7">
        <f t="shared" si="202"/>
        <v>4023.119874982066</v>
      </c>
    </row>
    <row r="2065" spans="30:31" ht="14" thickBot="1" x14ac:dyDescent="0.2">
      <c r="AD2065" s="98">
        <f t="shared" si="201"/>
        <v>46988</v>
      </c>
      <c r="AE2065" s="7">
        <f t="shared" si="202"/>
        <v>4030.6890122712839</v>
      </c>
    </row>
    <row r="2066" spans="30:31" ht="14" thickBot="1" x14ac:dyDescent="0.2">
      <c r="AD2066" s="98">
        <f t="shared" si="201"/>
        <v>46989</v>
      </c>
      <c r="AE2066" s="7">
        <f t="shared" si="202"/>
        <v>4038.2723902098196</v>
      </c>
    </row>
    <row r="2067" spans="30:31" ht="14" thickBot="1" x14ac:dyDescent="0.2">
      <c r="AD2067" s="98">
        <f t="shared" si="201"/>
        <v>46990</v>
      </c>
      <c r="AE2067" s="7">
        <f t="shared" si="202"/>
        <v>4045.8700355901706</v>
      </c>
    </row>
    <row r="2068" spans="30:31" ht="14" thickBot="1" x14ac:dyDescent="0.2">
      <c r="AD2068" s="98">
        <f t="shared" si="201"/>
        <v>46991</v>
      </c>
      <c r="AE2068" s="7">
        <f t="shared" si="202"/>
        <v>4053.4819752552421</v>
      </c>
    </row>
    <row r="2069" spans="30:31" ht="14" thickBot="1" x14ac:dyDescent="0.2">
      <c r="AD2069" s="98">
        <f t="shared" si="201"/>
        <v>46992</v>
      </c>
      <c r="AE2069" s="7">
        <f t="shared" si="202"/>
        <v>4061.1082360984424</v>
      </c>
    </row>
    <row r="2070" spans="30:31" ht="14" thickBot="1" x14ac:dyDescent="0.2">
      <c r="AD2070" s="98">
        <f t="shared" si="201"/>
        <v>46993</v>
      </c>
      <c r="AE2070" s="7">
        <f t="shared" si="202"/>
        <v>4068.7488450637766</v>
      </c>
    </row>
    <row r="2071" spans="30:31" ht="14" thickBot="1" x14ac:dyDescent="0.2">
      <c r="AD2071" s="98">
        <f t="shared" si="201"/>
        <v>46994</v>
      </c>
      <c r="AE2071" s="7">
        <f t="shared" si="202"/>
        <v>4076.4038291459428</v>
      </c>
    </row>
    <row r="2072" spans="30:31" ht="14" thickBot="1" x14ac:dyDescent="0.2">
      <c r="AD2072" s="98">
        <f t="shared" si="201"/>
        <v>46995</v>
      </c>
      <c r="AE2072" s="7">
        <f t="shared" si="202"/>
        <v>4084.0732153904269</v>
      </c>
    </row>
    <row r="2073" spans="30:31" ht="14" thickBot="1" x14ac:dyDescent="0.2">
      <c r="AD2073" s="98">
        <f t="shared" si="201"/>
        <v>46996</v>
      </c>
      <c r="AE2073" s="7">
        <f t="shared" si="202"/>
        <v>4091.7570308935988</v>
      </c>
    </row>
    <row r="2074" spans="30:31" ht="14" thickBot="1" x14ac:dyDescent="0.2">
      <c r="AD2074" s="98">
        <f t="shared" si="201"/>
        <v>46997</v>
      </c>
      <c r="AE2074" s="7">
        <f t="shared" si="202"/>
        <v>4099.4553028028076</v>
      </c>
    </row>
    <row r="2075" spans="30:31" ht="14" thickBot="1" x14ac:dyDescent="0.2">
      <c r="AD2075" s="98">
        <f t="shared" si="201"/>
        <v>46998</v>
      </c>
      <c r="AE2075" s="7">
        <f t="shared" si="202"/>
        <v>4107.168058316478</v>
      </c>
    </row>
    <row r="2076" spans="30:31" ht="14" thickBot="1" x14ac:dyDescent="0.2">
      <c r="AD2076" s="98">
        <f t="shared" si="201"/>
        <v>46999</v>
      </c>
      <c r="AE2076" s="7">
        <f t="shared" si="202"/>
        <v>4114.8953246842057</v>
      </c>
    </row>
    <row r="2077" spans="30:31" ht="14" thickBot="1" x14ac:dyDescent="0.2">
      <c r="AD2077" s="98">
        <f t="shared" si="201"/>
        <v>47000</v>
      </c>
      <c r="AE2077" s="7">
        <f t="shared" si="202"/>
        <v>4122.6371292068543</v>
      </c>
    </row>
    <row r="2078" spans="30:31" ht="14" thickBot="1" x14ac:dyDescent="0.2">
      <c r="AD2078" s="98">
        <f t="shared" si="201"/>
        <v>47001</v>
      </c>
      <c r="AE2078" s="7">
        <f t="shared" si="202"/>
        <v>4130.3934992366512</v>
      </c>
    </row>
    <row r="2079" spans="30:31" ht="14" thickBot="1" x14ac:dyDescent="0.2">
      <c r="AD2079" s="98">
        <f t="shared" si="201"/>
        <v>47002</v>
      </c>
      <c r="AE2079" s="7">
        <f t="shared" si="202"/>
        <v>4138.1644621772857</v>
      </c>
    </row>
    <row r="2080" spans="30:31" ht="14" thickBot="1" x14ac:dyDescent="0.2">
      <c r="AD2080" s="98">
        <f t="shared" si="201"/>
        <v>47003</v>
      </c>
      <c r="AE2080" s="7">
        <f t="shared" si="202"/>
        <v>4145.9500454840027</v>
      </c>
    </row>
    <row r="2081" spans="30:31" ht="14" thickBot="1" x14ac:dyDescent="0.2">
      <c r="AD2081" s="98">
        <f t="shared" si="201"/>
        <v>47004</v>
      </c>
      <c r="AE2081" s="7">
        <f t="shared" si="202"/>
        <v>4153.7502766637026</v>
      </c>
    </row>
    <row r="2082" spans="30:31" ht="14" thickBot="1" x14ac:dyDescent="0.2">
      <c r="AD2082" s="98">
        <f t="shared" si="201"/>
        <v>47005</v>
      </c>
      <c r="AE2082" s="7">
        <f t="shared" si="202"/>
        <v>4161.5651832750382</v>
      </c>
    </row>
    <row r="2083" spans="30:31" ht="14" thickBot="1" x14ac:dyDescent="0.2">
      <c r="AD2083" s="98">
        <f t="shared" si="201"/>
        <v>47006</v>
      </c>
      <c r="AE2083" s="7">
        <f t="shared" si="202"/>
        <v>4169.3947929285105</v>
      </c>
    </row>
    <row r="2084" spans="30:31" ht="14" thickBot="1" x14ac:dyDescent="0.2">
      <c r="AD2084" s="98">
        <f t="shared" si="201"/>
        <v>47007</v>
      </c>
      <c r="AE2084" s="7">
        <f t="shared" si="202"/>
        <v>4177.2391332865682</v>
      </c>
    </row>
    <row r="2085" spans="30:31" ht="14" thickBot="1" x14ac:dyDescent="0.2">
      <c r="AD2085" s="98">
        <f t="shared" si="201"/>
        <v>47008</v>
      </c>
      <c r="AE2085" s="7">
        <f t="shared" si="202"/>
        <v>4185.0982320637031</v>
      </c>
    </row>
    <row r="2086" spans="30:31" ht="14" thickBot="1" x14ac:dyDescent="0.2">
      <c r="AD2086" s="98">
        <f t="shared" si="201"/>
        <v>47009</v>
      </c>
      <c r="AE2086" s="7">
        <f t="shared" si="202"/>
        <v>4192.9721170265502</v>
      </c>
    </row>
    <row r="2087" spans="30:31" ht="14" thickBot="1" x14ac:dyDescent="0.2">
      <c r="AD2087" s="98">
        <f t="shared" si="201"/>
        <v>47010</v>
      </c>
      <c r="AE2087" s="7">
        <f t="shared" si="202"/>
        <v>4200.8608159939849</v>
      </c>
    </row>
    <row r="2088" spans="30:31" ht="14" thickBot="1" x14ac:dyDescent="0.2">
      <c r="AD2088" s="98">
        <f t="shared" si="201"/>
        <v>47011</v>
      </c>
      <c r="AE2088" s="7">
        <f t="shared" si="202"/>
        <v>4208.7643568372205</v>
      </c>
    </row>
    <row r="2089" spans="30:31" ht="14" thickBot="1" x14ac:dyDescent="0.2">
      <c r="AD2089" s="98">
        <f t="shared" si="201"/>
        <v>47012</v>
      </c>
      <c r="AE2089" s="7">
        <f t="shared" ref="AE2089:AE2118" si="203">AE2088*$AI$66</f>
        <v>4216.6827674799088</v>
      </c>
    </row>
    <row r="2090" spans="30:31" ht="14" thickBot="1" x14ac:dyDescent="0.2">
      <c r="AD2090" s="98">
        <f t="shared" si="201"/>
        <v>47013</v>
      </c>
      <c r="AE2090" s="7">
        <f t="shared" si="203"/>
        <v>4224.616075898236</v>
      </c>
    </row>
    <row r="2091" spans="30:31" ht="14" thickBot="1" x14ac:dyDescent="0.2">
      <c r="AD2091" s="98">
        <f t="shared" si="201"/>
        <v>47014</v>
      </c>
      <c r="AE2091" s="7">
        <f t="shared" si="203"/>
        <v>4232.5643101210235</v>
      </c>
    </row>
    <row r="2092" spans="30:31" ht="14" thickBot="1" x14ac:dyDescent="0.2">
      <c r="AD2092" s="98">
        <f t="shared" si="201"/>
        <v>47015</v>
      </c>
      <c r="AE2092" s="7">
        <f t="shared" si="203"/>
        <v>4240.527498229827</v>
      </c>
    </row>
    <row r="2093" spans="30:31" ht="14" thickBot="1" x14ac:dyDescent="0.2">
      <c r="AD2093" s="98">
        <f t="shared" si="201"/>
        <v>47016</v>
      </c>
      <c r="AE2093" s="7">
        <f t="shared" si="203"/>
        <v>4248.5056683590346</v>
      </c>
    </row>
    <row r="2094" spans="30:31" ht="14" thickBot="1" x14ac:dyDescent="0.2">
      <c r="AD2094" s="98">
        <f t="shared" si="201"/>
        <v>47017</v>
      </c>
      <c r="AE2094" s="7">
        <f t="shared" si="203"/>
        <v>4256.4988486959674</v>
      </c>
    </row>
    <row r="2095" spans="30:31" ht="14" thickBot="1" x14ac:dyDescent="0.2">
      <c r="AD2095" s="98">
        <f t="shared" si="201"/>
        <v>47018</v>
      </c>
      <c r="AE2095" s="7">
        <f t="shared" si="203"/>
        <v>4264.5070674809767</v>
      </c>
    </row>
    <row r="2096" spans="30:31" ht="14" thickBot="1" x14ac:dyDescent="0.2">
      <c r="AD2096" s="98">
        <f t="shared" si="201"/>
        <v>47019</v>
      </c>
      <c r="AE2096" s="7">
        <f t="shared" si="203"/>
        <v>4272.5303530075471</v>
      </c>
    </row>
    <row r="2097" spans="30:31" ht="14" thickBot="1" x14ac:dyDescent="0.2">
      <c r="AD2097" s="98">
        <f t="shared" si="201"/>
        <v>47020</v>
      </c>
      <c r="AE2097" s="7">
        <f t="shared" si="203"/>
        <v>4280.5687336223946</v>
      </c>
    </row>
    <row r="2098" spans="30:31" ht="14" thickBot="1" x14ac:dyDescent="0.2">
      <c r="AD2098" s="98">
        <f t="shared" si="201"/>
        <v>47021</v>
      </c>
      <c r="AE2098" s="7">
        <f t="shared" si="203"/>
        <v>4288.6222377255663</v>
      </c>
    </row>
    <row r="2099" spans="30:31" ht="14" thickBot="1" x14ac:dyDescent="0.2">
      <c r="AD2099" s="98">
        <f t="shared" si="201"/>
        <v>47022</v>
      </c>
      <c r="AE2099" s="7">
        <f t="shared" si="203"/>
        <v>4296.6908937705421</v>
      </c>
    </row>
    <row r="2100" spans="30:31" ht="14" thickBot="1" x14ac:dyDescent="0.2">
      <c r="AD2100" s="98">
        <f t="shared" si="201"/>
        <v>47023</v>
      </c>
      <c r="AE2100" s="7">
        <f t="shared" si="203"/>
        <v>4304.7747302643338</v>
      </c>
    </row>
    <row r="2101" spans="30:31" ht="14" thickBot="1" x14ac:dyDescent="0.2">
      <c r="AD2101" s="98">
        <f t="shared" si="201"/>
        <v>47024</v>
      </c>
      <c r="AE2101" s="7">
        <f t="shared" si="203"/>
        <v>4312.8737757675881</v>
      </c>
    </row>
    <row r="2102" spans="30:31" ht="14" thickBot="1" x14ac:dyDescent="0.2">
      <c r="AD2102" s="98">
        <f t="shared" si="201"/>
        <v>47025</v>
      </c>
      <c r="AE2102" s="7">
        <f t="shared" si="203"/>
        <v>4320.9880588946844</v>
      </c>
    </row>
    <row r="2103" spans="30:31" ht="14" thickBot="1" x14ac:dyDescent="0.2">
      <c r="AD2103" s="98">
        <f t="shared" si="201"/>
        <v>47026</v>
      </c>
      <c r="AE2103" s="7">
        <f t="shared" si="203"/>
        <v>4329.117608313838</v>
      </c>
    </row>
    <row r="2104" spans="30:31" ht="14" thickBot="1" x14ac:dyDescent="0.2">
      <c r="AD2104" s="98">
        <f t="shared" si="201"/>
        <v>47027</v>
      </c>
      <c r="AE2104" s="7">
        <f t="shared" si="203"/>
        <v>4337.2624527472008</v>
      </c>
    </row>
    <row r="2105" spans="30:31" ht="14" thickBot="1" x14ac:dyDescent="0.2">
      <c r="AD2105" s="98">
        <f t="shared" si="201"/>
        <v>47028</v>
      </c>
      <c r="AE2105" s="7">
        <f t="shared" si="203"/>
        <v>4345.4226209709623</v>
      </c>
    </row>
    <row r="2106" spans="30:31" ht="14" thickBot="1" x14ac:dyDescent="0.2">
      <c r="AD2106" s="98">
        <f t="shared" si="201"/>
        <v>47029</v>
      </c>
      <c r="AE2106" s="7">
        <f t="shared" si="203"/>
        <v>4353.5981418154533</v>
      </c>
    </row>
    <row r="2107" spans="30:31" ht="14" thickBot="1" x14ac:dyDescent="0.2">
      <c r="AD2107" s="98">
        <f t="shared" si="201"/>
        <v>47030</v>
      </c>
      <c r="AE2107" s="7">
        <f t="shared" si="203"/>
        <v>4361.7890441652453</v>
      </c>
    </row>
    <row r="2108" spans="30:31" ht="14" thickBot="1" x14ac:dyDescent="0.2">
      <c r="AD2108" s="98">
        <f t="shared" si="201"/>
        <v>47031</v>
      </c>
      <c r="AE2108" s="7">
        <f t="shared" si="203"/>
        <v>4369.9953569592535</v>
      </c>
    </row>
    <row r="2109" spans="30:31" ht="14" thickBot="1" x14ac:dyDescent="0.2">
      <c r="AD2109" s="98">
        <f t="shared" si="201"/>
        <v>47032</v>
      </c>
      <c r="AE2109" s="7">
        <f t="shared" si="203"/>
        <v>4378.2171091908385</v>
      </c>
    </row>
    <row r="2110" spans="30:31" ht="14" thickBot="1" x14ac:dyDescent="0.2">
      <c r="AD2110" s="98">
        <f t="shared" si="201"/>
        <v>47033</v>
      </c>
      <c r="AE2110" s="7">
        <f t="shared" si="203"/>
        <v>4386.4543299079105</v>
      </c>
    </row>
    <row r="2111" spans="30:31" ht="14" thickBot="1" x14ac:dyDescent="0.2">
      <c r="AD2111" s="98">
        <f t="shared" si="201"/>
        <v>47034</v>
      </c>
      <c r="AE2111" s="7">
        <f t="shared" si="203"/>
        <v>4394.7070482130302</v>
      </c>
    </row>
    <row r="2112" spans="30:31" ht="14" thickBot="1" x14ac:dyDescent="0.2">
      <c r="AD2112" s="98">
        <f t="shared" si="201"/>
        <v>47035</v>
      </c>
      <c r="AE2112" s="7">
        <f t="shared" si="203"/>
        <v>4402.9752932635129</v>
      </c>
    </row>
    <row r="2113" spans="30:31" ht="14" thickBot="1" x14ac:dyDescent="0.2">
      <c r="AD2113" s="98">
        <f t="shared" si="201"/>
        <v>47036</v>
      </c>
      <c r="AE2113" s="7">
        <f t="shared" si="203"/>
        <v>4411.2590942715287</v>
      </c>
    </row>
    <row r="2114" spans="30:31" ht="14" thickBot="1" x14ac:dyDescent="0.2">
      <c r="AD2114" s="98">
        <f t="shared" si="201"/>
        <v>47037</v>
      </c>
      <c r="AE2114" s="7">
        <f t="shared" si="203"/>
        <v>4419.5584805042099</v>
      </c>
    </row>
    <row r="2115" spans="30:31" ht="14" thickBot="1" x14ac:dyDescent="0.2">
      <c r="AD2115" s="98">
        <f t="shared" si="201"/>
        <v>47038</v>
      </c>
      <c r="AE2115" s="7">
        <f t="shared" si="203"/>
        <v>4427.8734812837511</v>
      </c>
    </row>
    <row r="2116" spans="30:31" ht="14" thickBot="1" x14ac:dyDescent="0.2">
      <c r="AD2116" s="98">
        <f t="shared" si="201"/>
        <v>47039</v>
      </c>
      <c r="AE2116" s="7">
        <f t="shared" si="203"/>
        <v>4436.2041259875141</v>
      </c>
    </row>
    <row r="2117" spans="30:31" ht="14" thickBot="1" x14ac:dyDescent="0.2">
      <c r="AD2117" s="98">
        <f t="shared" si="201"/>
        <v>47040</v>
      </c>
      <c r="AE2117" s="7">
        <f t="shared" si="203"/>
        <v>4444.5504440481318</v>
      </c>
    </row>
    <row r="2118" spans="30:31" ht="14" thickBot="1" x14ac:dyDescent="0.2">
      <c r="AD2118" s="98">
        <f t="shared" si="201"/>
        <v>47041</v>
      </c>
      <c r="AE2118" s="7">
        <f t="shared" si="203"/>
        <v>4452.9124649536125</v>
      </c>
    </row>
    <row r="2119" spans="30:31" ht="14" thickBot="1" x14ac:dyDescent="0.2">
      <c r="AD2119" s="98">
        <f t="shared" si="201"/>
        <v>47042</v>
      </c>
      <c r="AE2119" s="7">
        <f t="shared" ref="AE2119:AE2149" si="204">AE2118*$AI$67</f>
        <v>4461.5697479826067</v>
      </c>
    </row>
    <row r="2120" spans="30:31" ht="14" thickBot="1" x14ac:dyDescent="0.2">
      <c r="AD2120" s="98">
        <f t="shared" si="201"/>
        <v>47043</v>
      </c>
      <c r="AE2120" s="7">
        <f t="shared" si="204"/>
        <v>4470.2438623663684</v>
      </c>
    </row>
    <row r="2121" spans="30:31" ht="14" thickBot="1" x14ac:dyDescent="0.2">
      <c r="AD2121" s="98">
        <f t="shared" ref="AD2121:AD2184" si="205">AD2120+1</f>
        <v>47044</v>
      </c>
      <c r="AE2121" s="7">
        <f t="shared" si="204"/>
        <v>4478.9348408281548</v>
      </c>
    </row>
    <row r="2122" spans="30:31" ht="14" thickBot="1" x14ac:dyDescent="0.2">
      <c r="AD2122" s="98">
        <f t="shared" si="205"/>
        <v>47045</v>
      </c>
      <c r="AE2122" s="7">
        <f t="shared" si="204"/>
        <v>4487.6427161548436</v>
      </c>
    </row>
    <row r="2123" spans="30:31" ht="14" thickBot="1" x14ac:dyDescent="0.2">
      <c r="AD2123" s="98">
        <f t="shared" si="205"/>
        <v>47046</v>
      </c>
      <c r="AE2123" s="7">
        <f t="shared" si="204"/>
        <v>4496.3675211970558</v>
      </c>
    </row>
    <row r="2124" spans="30:31" ht="14" thickBot="1" x14ac:dyDescent="0.2">
      <c r="AD2124" s="98">
        <f t="shared" si="205"/>
        <v>47047</v>
      </c>
      <c r="AE2124" s="7">
        <f t="shared" si="204"/>
        <v>4505.109288869281</v>
      </c>
    </row>
    <row r="2125" spans="30:31" ht="14" thickBot="1" x14ac:dyDescent="0.2">
      <c r="AD2125" s="98">
        <f t="shared" si="205"/>
        <v>47048</v>
      </c>
      <c r="AE2125" s="7">
        <f t="shared" si="204"/>
        <v>4513.86805215</v>
      </c>
    </row>
    <row r="2126" spans="30:31" ht="14" thickBot="1" x14ac:dyDescent="0.2">
      <c r="AD2126" s="98">
        <f t="shared" si="205"/>
        <v>47049</v>
      </c>
      <c r="AE2126" s="7">
        <f t="shared" si="204"/>
        <v>4522.6438440818101</v>
      </c>
    </row>
    <row r="2127" spans="30:31" ht="14" thickBot="1" x14ac:dyDescent="0.2">
      <c r="AD2127" s="98">
        <f t="shared" si="205"/>
        <v>47050</v>
      </c>
      <c r="AE2127" s="7">
        <f t="shared" si="204"/>
        <v>4531.4366977715499</v>
      </c>
    </row>
    <row r="2128" spans="30:31" ht="14" thickBot="1" x14ac:dyDescent="0.2">
      <c r="AD2128" s="98">
        <f t="shared" si="205"/>
        <v>47051</v>
      </c>
      <c r="AE2128" s="7">
        <f t="shared" si="204"/>
        <v>4540.2466463904229</v>
      </c>
    </row>
    <row r="2129" spans="30:31" ht="14" thickBot="1" x14ac:dyDescent="0.2">
      <c r="AD2129" s="98">
        <f t="shared" si="205"/>
        <v>47052</v>
      </c>
      <c r="AE2129" s="7">
        <f t="shared" si="204"/>
        <v>4549.0737231741241</v>
      </c>
    </row>
    <row r="2130" spans="30:31" ht="14" thickBot="1" x14ac:dyDescent="0.2">
      <c r="AD2130" s="98">
        <f t="shared" si="205"/>
        <v>47053</v>
      </c>
      <c r="AE2130" s="7">
        <f t="shared" si="204"/>
        <v>4557.9179614229643</v>
      </c>
    </row>
    <row r="2131" spans="30:31" ht="14" thickBot="1" x14ac:dyDescent="0.2">
      <c r="AD2131" s="98">
        <f t="shared" si="205"/>
        <v>47054</v>
      </c>
      <c r="AE2131" s="7">
        <f t="shared" si="204"/>
        <v>4566.7793945019966</v>
      </c>
    </row>
    <row r="2132" spans="30:31" ht="14" thickBot="1" x14ac:dyDescent="0.2">
      <c r="AD2132" s="98">
        <f t="shared" si="205"/>
        <v>47055</v>
      </c>
      <c r="AE2132" s="7">
        <f t="shared" si="204"/>
        <v>4575.6580558411424</v>
      </c>
    </row>
    <row r="2133" spans="30:31" ht="14" thickBot="1" x14ac:dyDescent="0.2">
      <c r="AD2133" s="98">
        <f t="shared" si="205"/>
        <v>47056</v>
      </c>
      <c r="AE2133" s="7">
        <f t="shared" si="204"/>
        <v>4584.5539789353161</v>
      </c>
    </row>
    <row r="2134" spans="30:31" ht="14" thickBot="1" x14ac:dyDescent="0.2">
      <c r="AD2134" s="98">
        <f t="shared" si="205"/>
        <v>47057</v>
      </c>
      <c r="AE2134" s="7">
        <f t="shared" si="204"/>
        <v>4593.4671973445529</v>
      </c>
    </row>
    <row r="2135" spans="30:31" ht="14" thickBot="1" x14ac:dyDescent="0.2">
      <c r="AD2135" s="98">
        <f t="shared" si="205"/>
        <v>47058</v>
      </c>
      <c r="AE2135" s="7">
        <f t="shared" si="204"/>
        <v>4602.3977446941353</v>
      </c>
    </row>
    <row r="2136" spans="30:31" ht="14" thickBot="1" x14ac:dyDescent="0.2">
      <c r="AD2136" s="98">
        <f t="shared" si="205"/>
        <v>47059</v>
      </c>
      <c r="AE2136" s="7">
        <f t="shared" si="204"/>
        <v>4611.3456546747184</v>
      </c>
    </row>
    <row r="2137" spans="30:31" ht="14" thickBot="1" x14ac:dyDescent="0.2">
      <c r="AD2137" s="98">
        <f t="shared" si="205"/>
        <v>47060</v>
      </c>
      <c r="AE2137" s="7">
        <f t="shared" si="204"/>
        <v>4620.3109610424599</v>
      </c>
    </row>
    <row r="2138" spans="30:31" ht="14" thickBot="1" x14ac:dyDescent="0.2">
      <c r="AD2138" s="98">
        <f t="shared" si="205"/>
        <v>47061</v>
      </c>
      <c r="AE2138" s="7">
        <f t="shared" si="204"/>
        <v>4629.293697619144</v>
      </c>
    </row>
    <row r="2139" spans="30:31" ht="14" thickBot="1" x14ac:dyDescent="0.2">
      <c r="AD2139" s="98">
        <f t="shared" si="205"/>
        <v>47062</v>
      </c>
      <c r="AE2139" s="7">
        <f t="shared" si="204"/>
        <v>4638.2938982923106</v>
      </c>
    </row>
    <row r="2140" spans="30:31" ht="14" thickBot="1" x14ac:dyDescent="0.2">
      <c r="AD2140" s="98">
        <f t="shared" si="205"/>
        <v>47063</v>
      </c>
      <c r="AE2140" s="7">
        <f t="shared" si="204"/>
        <v>4647.3115970153849</v>
      </c>
    </row>
    <row r="2141" spans="30:31" ht="14" thickBot="1" x14ac:dyDescent="0.2">
      <c r="AD2141" s="98">
        <f t="shared" si="205"/>
        <v>47064</v>
      </c>
      <c r="AE2141" s="7">
        <f t="shared" si="204"/>
        <v>4656.3468278078026</v>
      </c>
    </row>
    <row r="2142" spans="30:31" ht="14" thickBot="1" x14ac:dyDescent="0.2">
      <c r="AD2142" s="98">
        <f t="shared" si="205"/>
        <v>47065</v>
      </c>
      <c r="AE2142" s="7">
        <f t="shared" si="204"/>
        <v>4665.3996247551404</v>
      </c>
    </row>
    <row r="2143" spans="30:31" ht="14" thickBot="1" x14ac:dyDescent="0.2">
      <c r="AD2143" s="98">
        <f t="shared" si="205"/>
        <v>47066</v>
      </c>
      <c r="AE2143" s="7">
        <f t="shared" si="204"/>
        <v>4674.4700220092418</v>
      </c>
    </row>
    <row r="2144" spans="30:31" ht="14" thickBot="1" x14ac:dyDescent="0.2">
      <c r="AD2144" s="98">
        <f t="shared" si="205"/>
        <v>47067</v>
      </c>
      <c r="AE2144" s="7">
        <f t="shared" si="204"/>
        <v>4683.5580537883498</v>
      </c>
    </row>
    <row r="2145" spans="30:31" ht="14" thickBot="1" x14ac:dyDescent="0.2">
      <c r="AD2145" s="98">
        <f t="shared" si="205"/>
        <v>47068</v>
      </c>
      <c r="AE2145" s="7">
        <f t="shared" si="204"/>
        <v>4692.6637543772331</v>
      </c>
    </row>
    <row r="2146" spans="30:31" ht="14" thickBot="1" x14ac:dyDescent="0.2">
      <c r="AD2146" s="98">
        <f t="shared" si="205"/>
        <v>47069</v>
      </c>
      <c r="AE2146" s="7">
        <f t="shared" si="204"/>
        <v>4701.7871581273157</v>
      </c>
    </row>
    <row r="2147" spans="30:31" ht="14" thickBot="1" x14ac:dyDescent="0.2">
      <c r="AD2147" s="98">
        <f t="shared" si="205"/>
        <v>47070</v>
      </c>
      <c r="AE2147" s="7">
        <f t="shared" si="204"/>
        <v>4710.9282994568084</v>
      </c>
    </row>
    <row r="2148" spans="30:31" ht="14" thickBot="1" x14ac:dyDescent="0.2">
      <c r="AD2148" s="98">
        <f t="shared" si="205"/>
        <v>47071</v>
      </c>
      <c r="AE2148" s="7">
        <f t="shared" si="204"/>
        <v>4720.0872128508363</v>
      </c>
    </row>
    <row r="2149" spans="30:31" ht="14" thickBot="1" x14ac:dyDescent="0.2">
      <c r="AD2149" s="98">
        <f t="shared" si="205"/>
        <v>47072</v>
      </c>
      <c r="AE2149" s="7">
        <f t="shared" si="204"/>
        <v>4729.2639328615705</v>
      </c>
    </row>
    <row r="2150" spans="30:31" ht="14" thickBot="1" x14ac:dyDescent="0.2">
      <c r="AD2150" s="98">
        <f t="shared" si="205"/>
        <v>47073</v>
      </c>
      <c r="AE2150" s="7">
        <f t="shared" ref="AE2150:AE2179" si="206">AE2149*$AI$68</f>
        <v>4738.1616165242858</v>
      </c>
    </row>
    <row r="2151" spans="30:31" ht="14" thickBot="1" x14ac:dyDescent="0.2">
      <c r="AD2151" s="98">
        <f t="shared" si="205"/>
        <v>47074</v>
      </c>
      <c r="AE2151" s="7">
        <f t="shared" si="206"/>
        <v>4747.0760403765289</v>
      </c>
    </row>
    <row r="2152" spans="30:31" ht="14" thickBot="1" x14ac:dyDescent="0.2">
      <c r="AD2152" s="98">
        <f t="shared" si="205"/>
        <v>47075</v>
      </c>
      <c r="AE2152" s="7">
        <f t="shared" si="206"/>
        <v>4756.0072359134565</v>
      </c>
    </row>
    <row r="2153" spans="30:31" ht="14" thickBot="1" x14ac:dyDescent="0.2">
      <c r="AD2153" s="98">
        <f t="shared" si="205"/>
        <v>47076</v>
      </c>
      <c r="AE2153" s="7">
        <f t="shared" si="206"/>
        <v>4764.9552346894816</v>
      </c>
    </row>
    <row r="2154" spans="30:31" ht="14" thickBot="1" x14ac:dyDescent="0.2">
      <c r="AD2154" s="98">
        <f t="shared" si="205"/>
        <v>47077</v>
      </c>
      <c r="AE2154" s="7">
        <f t="shared" si="206"/>
        <v>4773.9200683183835</v>
      </c>
    </row>
    <row r="2155" spans="30:31" ht="14" thickBot="1" x14ac:dyDescent="0.2">
      <c r="AD2155" s="98">
        <f t="shared" si="205"/>
        <v>47078</v>
      </c>
      <c r="AE2155" s="7">
        <f t="shared" si="206"/>
        <v>4782.901768473419</v>
      </c>
    </row>
    <row r="2156" spans="30:31" ht="14" thickBot="1" x14ac:dyDescent="0.2">
      <c r="AD2156" s="98">
        <f t="shared" si="205"/>
        <v>47079</v>
      </c>
      <c r="AE2156" s="7">
        <f t="shared" si="206"/>
        <v>4791.9003668874366</v>
      </c>
    </row>
    <row r="2157" spans="30:31" ht="14" thickBot="1" x14ac:dyDescent="0.2">
      <c r="AD2157" s="98">
        <f t="shared" si="205"/>
        <v>47080</v>
      </c>
      <c r="AE2157" s="7">
        <f t="shared" si="206"/>
        <v>4800.9158953529877</v>
      </c>
    </row>
    <row r="2158" spans="30:31" ht="14" thickBot="1" x14ac:dyDescent="0.2">
      <c r="AD2158" s="98">
        <f t="shared" si="205"/>
        <v>47081</v>
      </c>
      <c r="AE2158" s="7">
        <f t="shared" si="206"/>
        <v>4809.9483857224368</v>
      </c>
    </row>
    <row r="2159" spans="30:31" ht="14" thickBot="1" x14ac:dyDescent="0.2">
      <c r="AD2159" s="98">
        <f t="shared" si="205"/>
        <v>47082</v>
      </c>
      <c r="AE2159" s="7">
        <f t="shared" si="206"/>
        <v>4818.9978699080766</v>
      </c>
    </row>
    <row r="2160" spans="30:31" ht="14" thickBot="1" x14ac:dyDescent="0.2">
      <c r="AD2160" s="98">
        <f t="shared" si="205"/>
        <v>47083</v>
      </c>
      <c r="AE2160" s="7">
        <f t="shared" si="206"/>
        <v>4828.0643798822402</v>
      </c>
    </row>
    <row r="2161" spans="30:31" ht="14" thickBot="1" x14ac:dyDescent="0.2">
      <c r="AD2161" s="98">
        <f t="shared" si="205"/>
        <v>47084</v>
      </c>
      <c r="AE2161" s="7">
        <f t="shared" si="206"/>
        <v>4837.1479476774139</v>
      </c>
    </row>
    <row r="2162" spans="30:31" ht="14" thickBot="1" x14ac:dyDescent="0.2">
      <c r="AD2162" s="98">
        <f t="shared" si="205"/>
        <v>47085</v>
      </c>
      <c r="AE2162" s="7">
        <f t="shared" si="206"/>
        <v>4846.2486053863495</v>
      </c>
    </row>
    <row r="2163" spans="30:31" ht="14" thickBot="1" x14ac:dyDescent="0.2">
      <c r="AD2163" s="98">
        <f t="shared" si="205"/>
        <v>47086</v>
      </c>
      <c r="AE2163" s="7">
        <f t="shared" si="206"/>
        <v>4855.3663851621786</v>
      </c>
    </row>
    <row r="2164" spans="30:31" ht="14" thickBot="1" x14ac:dyDescent="0.2">
      <c r="AD2164" s="98">
        <f t="shared" si="205"/>
        <v>47087</v>
      </c>
      <c r="AE2164" s="7">
        <f t="shared" si="206"/>
        <v>4864.501319218527</v>
      </c>
    </row>
    <row r="2165" spans="30:31" ht="14" thickBot="1" x14ac:dyDescent="0.2">
      <c r="AD2165" s="98">
        <f t="shared" si="205"/>
        <v>47088</v>
      </c>
      <c r="AE2165" s="7">
        <f t="shared" si="206"/>
        <v>4873.6534398296262</v>
      </c>
    </row>
    <row r="2166" spans="30:31" ht="14" thickBot="1" x14ac:dyDescent="0.2">
      <c r="AD2166" s="98">
        <f t="shared" si="205"/>
        <v>47089</v>
      </c>
      <c r="AE2166" s="7">
        <f t="shared" si="206"/>
        <v>4882.8227793304295</v>
      </c>
    </row>
    <row r="2167" spans="30:31" ht="14" thickBot="1" x14ac:dyDescent="0.2">
      <c r="AD2167" s="98">
        <f t="shared" si="205"/>
        <v>47090</v>
      </c>
      <c r="AE2167" s="7">
        <f t="shared" si="206"/>
        <v>4892.0093701167243</v>
      </c>
    </row>
    <row r="2168" spans="30:31" ht="14" thickBot="1" x14ac:dyDescent="0.2">
      <c r="AD2168" s="98">
        <f t="shared" si="205"/>
        <v>47091</v>
      </c>
      <c r="AE2168" s="7">
        <f t="shared" si="206"/>
        <v>4901.2132446452497</v>
      </c>
    </row>
    <row r="2169" spans="30:31" ht="14" thickBot="1" x14ac:dyDescent="0.2">
      <c r="AD2169" s="98">
        <f t="shared" si="205"/>
        <v>47092</v>
      </c>
      <c r="AE2169" s="7">
        <f t="shared" si="206"/>
        <v>4910.4344354338082</v>
      </c>
    </row>
    <row r="2170" spans="30:31" ht="14" thickBot="1" x14ac:dyDescent="0.2">
      <c r="AD2170" s="98">
        <f t="shared" si="205"/>
        <v>47093</v>
      </c>
      <c r="AE2170" s="7">
        <f t="shared" si="206"/>
        <v>4919.6729750613822</v>
      </c>
    </row>
    <row r="2171" spans="30:31" ht="14" thickBot="1" x14ac:dyDescent="0.2">
      <c r="AD2171" s="98">
        <f t="shared" si="205"/>
        <v>47094</v>
      </c>
      <c r="AE2171" s="7">
        <f t="shared" si="206"/>
        <v>4928.9288961682469</v>
      </c>
    </row>
    <row r="2172" spans="30:31" ht="14" thickBot="1" x14ac:dyDescent="0.2">
      <c r="AD2172" s="98">
        <f t="shared" si="205"/>
        <v>47095</v>
      </c>
      <c r="AE2172" s="7">
        <f t="shared" si="206"/>
        <v>4938.2022314560891</v>
      </c>
    </row>
    <row r="2173" spans="30:31" ht="14" thickBot="1" x14ac:dyDescent="0.2">
      <c r="AD2173" s="98">
        <f t="shared" si="205"/>
        <v>47096</v>
      </c>
      <c r="AE2173" s="7">
        <f t="shared" si="206"/>
        <v>4947.4930136881194</v>
      </c>
    </row>
    <row r="2174" spans="30:31" ht="14" thickBot="1" x14ac:dyDescent="0.2">
      <c r="AD2174" s="98">
        <f t="shared" si="205"/>
        <v>47097</v>
      </c>
      <c r="AE2174" s="7">
        <f t="shared" si="206"/>
        <v>4956.8012756891912</v>
      </c>
    </row>
    <row r="2175" spans="30:31" ht="14" thickBot="1" x14ac:dyDescent="0.2">
      <c r="AD2175" s="98">
        <f t="shared" si="205"/>
        <v>47098</v>
      </c>
      <c r="AE2175" s="7">
        <f t="shared" si="206"/>
        <v>4966.1270503459127</v>
      </c>
    </row>
    <row r="2176" spans="30:31" ht="14" thickBot="1" x14ac:dyDescent="0.2">
      <c r="AD2176" s="98">
        <f t="shared" si="205"/>
        <v>47099</v>
      </c>
      <c r="AE2176" s="7">
        <f t="shared" si="206"/>
        <v>4975.4703706067667</v>
      </c>
    </row>
    <row r="2177" spans="30:31" ht="14" thickBot="1" x14ac:dyDescent="0.2">
      <c r="AD2177" s="98">
        <f t="shared" si="205"/>
        <v>47100</v>
      </c>
      <c r="AE2177" s="7">
        <f t="shared" si="206"/>
        <v>4984.8312694822262</v>
      </c>
    </row>
    <row r="2178" spans="30:31" ht="14" thickBot="1" x14ac:dyDescent="0.2">
      <c r="AD2178" s="98">
        <f t="shared" si="205"/>
        <v>47101</v>
      </c>
      <c r="AE2178" s="7">
        <f t="shared" si="206"/>
        <v>4994.2097800448682</v>
      </c>
    </row>
    <row r="2179" spans="30:31" ht="14" thickBot="1" x14ac:dyDescent="0.2">
      <c r="AD2179" s="98">
        <f t="shared" si="205"/>
        <v>47102</v>
      </c>
      <c r="AE2179" s="7">
        <f t="shared" si="206"/>
        <v>5003.6059354294957</v>
      </c>
    </row>
    <row r="2180" spans="30:31" ht="14" thickBot="1" x14ac:dyDescent="0.2">
      <c r="AD2180" s="98">
        <f t="shared" si="205"/>
        <v>47103</v>
      </c>
      <c r="AE2180" s="7">
        <f t="shared" ref="AE2180:AE2210" si="207">AE2179*$AI$69</f>
        <v>5013.3338681228734</v>
      </c>
    </row>
    <row r="2181" spans="30:31" ht="14" thickBot="1" x14ac:dyDescent="0.2">
      <c r="AD2181" s="98">
        <f t="shared" si="205"/>
        <v>47104</v>
      </c>
      <c r="AE2181" s="7">
        <f t="shared" si="207"/>
        <v>5023.0807137114125</v>
      </c>
    </row>
    <row r="2182" spans="30:31" ht="14" thickBot="1" x14ac:dyDescent="0.2">
      <c r="AD2182" s="98">
        <f t="shared" si="205"/>
        <v>47105</v>
      </c>
      <c r="AE2182" s="7">
        <f t="shared" si="207"/>
        <v>5032.8465089652691</v>
      </c>
    </row>
    <row r="2183" spans="30:31" ht="14" thickBot="1" x14ac:dyDescent="0.2">
      <c r="AD2183" s="98">
        <f t="shared" si="205"/>
        <v>47106</v>
      </c>
      <c r="AE2183" s="7">
        <f t="shared" si="207"/>
        <v>5042.6312907260872</v>
      </c>
    </row>
    <row r="2184" spans="30:31" ht="14" thickBot="1" x14ac:dyDescent="0.2">
      <c r="AD2184" s="98">
        <f t="shared" si="205"/>
        <v>47107</v>
      </c>
      <c r="AE2184" s="7">
        <f t="shared" si="207"/>
        <v>5052.435095907138</v>
      </c>
    </row>
    <row r="2185" spans="30:31" ht="14" thickBot="1" x14ac:dyDescent="0.2">
      <c r="AD2185" s="98">
        <f t="shared" ref="AD2185:AD2248" si="208">AD2184+1</f>
        <v>47108</v>
      </c>
      <c r="AE2185" s="7">
        <f t="shared" si="207"/>
        <v>5062.2579614934593</v>
      </c>
    </row>
    <row r="2186" spans="30:31" ht="14" thickBot="1" x14ac:dyDescent="0.2">
      <c r="AD2186" s="98">
        <f t="shared" si="208"/>
        <v>47109</v>
      </c>
      <c r="AE2186" s="7">
        <f t="shared" si="207"/>
        <v>5072.0999245419935</v>
      </c>
    </row>
    <row r="2187" spans="30:31" ht="14" thickBot="1" x14ac:dyDescent="0.2">
      <c r="AD2187" s="98">
        <f t="shared" si="208"/>
        <v>47110</v>
      </c>
      <c r="AE2187" s="7">
        <f t="shared" si="207"/>
        <v>5081.9610221817284</v>
      </c>
    </row>
    <row r="2188" spans="30:31" ht="14" thickBot="1" x14ac:dyDescent="0.2">
      <c r="AD2188" s="98">
        <f t="shared" si="208"/>
        <v>47111</v>
      </c>
      <c r="AE2188" s="7">
        <f t="shared" si="207"/>
        <v>5091.8412916138386</v>
      </c>
    </row>
    <row r="2189" spans="30:31" ht="14" thickBot="1" x14ac:dyDescent="0.2">
      <c r="AD2189" s="98">
        <f t="shared" si="208"/>
        <v>47112</v>
      </c>
      <c r="AE2189" s="7">
        <f t="shared" si="207"/>
        <v>5101.7407701118245</v>
      </c>
    </row>
    <row r="2190" spans="30:31" ht="14" thickBot="1" x14ac:dyDescent="0.2">
      <c r="AD2190" s="98">
        <f t="shared" si="208"/>
        <v>47113</v>
      </c>
      <c r="AE2190" s="7">
        <f t="shared" si="207"/>
        <v>5111.6594950216522</v>
      </c>
    </row>
    <row r="2191" spans="30:31" ht="14" thickBot="1" x14ac:dyDescent="0.2">
      <c r="AD2191" s="98">
        <f t="shared" si="208"/>
        <v>47114</v>
      </c>
      <c r="AE2191" s="7">
        <f t="shared" si="207"/>
        <v>5121.5975037618955</v>
      </c>
    </row>
    <row r="2192" spans="30:31" ht="14" thickBot="1" x14ac:dyDescent="0.2">
      <c r="AD2192" s="98">
        <f t="shared" si="208"/>
        <v>47115</v>
      </c>
      <c r="AE2192" s="7">
        <f t="shared" si="207"/>
        <v>5131.5548338238777</v>
      </c>
    </row>
    <row r="2193" spans="30:31" ht="14" thickBot="1" x14ac:dyDescent="0.2">
      <c r="AD2193" s="98">
        <f t="shared" si="208"/>
        <v>47116</v>
      </c>
      <c r="AE2193" s="7">
        <f t="shared" si="207"/>
        <v>5141.5315227718111</v>
      </c>
    </row>
    <row r="2194" spans="30:31" ht="14" thickBot="1" x14ac:dyDescent="0.2">
      <c r="AD2194" s="98">
        <f t="shared" si="208"/>
        <v>47117</v>
      </c>
      <c r="AE2194" s="7">
        <f t="shared" si="207"/>
        <v>5151.52760824294</v>
      </c>
    </row>
    <row r="2195" spans="30:31" ht="14" thickBot="1" x14ac:dyDescent="0.2">
      <c r="AD2195" s="98">
        <f t="shared" si="208"/>
        <v>47118</v>
      </c>
      <c r="AE2195" s="7">
        <f t="shared" si="207"/>
        <v>5161.5431279476825</v>
      </c>
    </row>
    <row r="2196" spans="30:31" ht="14" thickBot="1" x14ac:dyDescent="0.2">
      <c r="AD2196" s="98">
        <f t="shared" si="208"/>
        <v>47119</v>
      </c>
      <c r="AE2196" s="7">
        <f t="shared" si="207"/>
        <v>5171.5781196697735</v>
      </c>
    </row>
    <row r="2197" spans="30:31" ht="14" thickBot="1" x14ac:dyDescent="0.2">
      <c r="AD2197" s="98">
        <f t="shared" si="208"/>
        <v>47120</v>
      </c>
      <c r="AE2197" s="7">
        <f t="shared" si="207"/>
        <v>5181.6326212664053</v>
      </c>
    </row>
    <row r="2198" spans="30:31" ht="14" thickBot="1" x14ac:dyDescent="0.2">
      <c r="AD2198" s="98">
        <f t="shared" si="208"/>
        <v>47121</v>
      </c>
      <c r="AE2198" s="7">
        <f t="shared" si="207"/>
        <v>5191.7066706683718</v>
      </c>
    </row>
    <row r="2199" spans="30:31" ht="14" thickBot="1" x14ac:dyDescent="0.2">
      <c r="AD2199" s="98">
        <f t="shared" si="208"/>
        <v>47122</v>
      </c>
      <c r="AE2199" s="7">
        <f t="shared" si="207"/>
        <v>5201.8003058802115</v>
      </c>
    </row>
    <row r="2200" spans="30:31" ht="14" thickBot="1" x14ac:dyDescent="0.2">
      <c r="AD2200" s="98">
        <f t="shared" si="208"/>
        <v>47123</v>
      </c>
      <c r="AE2200" s="7">
        <f t="shared" si="207"/>
        <v>5211.9135649803502</v>
      </c>
    </row>
    <row r="2201" spans="30:31" ht="14" thickBot="1" x14ac:dyDescent="0.2">
      <c r="AD2201" s="98">
        <f t="shared" si="208"/>
        <v>47124</v>
      </c>
      <c r="AE2201" s="7">
        <f t="shared" si="207"/>
        <v>5222.0464861212467</v>
      </c>
    </row>
    <row r="2202" spans="30:31" ht="14" thickBot="1" x14ac:dyDescent="0.2">
      <c r="AD2202" s="98">
        <f t="shared" si="208"/>
        <v>47125</v>
      </c>
      <c r="AE2202" s="7">
        <f t="shared" si="207"/>
        <v>5232.1991075295336</v>
      </c>
    </row>
    <row r="2203" spans="30:31" ht="14" thickBot="1" x14ac:dyDescent="0.2">
      <c r="AD2203" s="98">
        <f t="shared" si="208"/>
        <v>47126</v>
      </c>
      <c r="AE2203" s="7">
        <f t="shared" si="207"/>
        <v>5242.3714675061647</v>
      </c>
    </row>
    <row r="2204" spans="30:31" ht="14" thickBot="1" x14ac:dyDescent="0.2">
      <c r="AD2204" s="98">
        <f t="shared" si="208"/>
        <v>47127</v>
      </c>
      <c r="AE2204" s="7">
        <f t="shared" si="207"/>
        <v>5252.5636044265566</v>
      </c>
    </row>
    <row r="2205" spans="30:31" ht="14" thickBot="1" x14ac:dyDescent="0.2">
      <c r="AD2205" s="98">
        <f t="shared" si="208"/>
        <v>47128</v>
      </c>
      <c r="AE2205" s="7">
        <f t="shared" si="207"/>
        <v>5262.7755567407348</v>
      </c>
    </row>
    <row r="2206" spans="30:31" ht="14" thickBot="1" x14ac:dyDescent="0.2">
      <c r="AD2206" s="98">
        <f t="shared" si="208"/>
        <v>47129</v>
      </c>
      <c r="AE2206" s="7">
        <f t="shared" si="207"/>
        <v>5273.0073629734798</v>
      </c>
    </row>
    <row r="2207" spans="30:31" ht="14" thickBot="1" x14ac:dyDescent="0.2">
      <c r="AD2207" s="98">
        <f t="shared" si="208"/>
        <v>47130</v>
      </c>
      <c r="AE2207" s="7">
        <f t="shared" si="207"/>
        <v>5283.2590617244696</v>
      </c>
    </row>
    <row r="2208" spans="30:31" ht="14" thickBot="1" x14ac:dyDescent="0.2">
      <c r="AD2208" s="98">
        <f t="shared" si="208"/>
        <v>47131</v>
      </c>
      <c r="AE2208" s="7">
        <f t="shared" si="207"/>
        <v>5293.5306916684294</v>
      </c>
    </row>
    <row r="2209" spans="30:31" ht="14" thickBot="1" x14ac:dyDescent="0.2">
      <c r="AD2209" s="98">
        <f t="shared" si="208"/>
        <v>47132</v>
      </c>
      <c r="AE2209" s="7">
        <f t="shared" si="207"/>
        <v>5303.8222915552733</v>
      </c>
    </row>
    <row r="2210" spans="30:31" ht="14" thickBot="1" x14ac:dyDescent="0.2">
      <c r="AD2210" s="98">
        <f t="shared" si="208"/>
        <v>47133</v>
      </c>
      <c r="AE2210" s="7">
        <f t="shared" si="207"/>
        <v>5314.1339002102532</v>
      </c>
    </row>
    <row r="2211" spans="30:31" ht="14" thickBot="1" x14ac:dyDescent="0.2">
      <c r="AD2211" s="98">
        <f t="shared" si="208"/>
        <v>47134</v>
      </c>
      <c r="AE2211" s="7">
        <f t="shared" ref="AE2211:AE2241" si="209">AE2210*$AI$70</f>
        <v>5324.1319639801422</v>
      </c>
    </row>
    <row r="2212" spans="30:31" ht="14" thickBot="1" x14ac:dyDescent="0.2">
      <c r="AD2212" s="98">
        <f t="shared" si="208"/>
        <v>47135</v>
      </c>
      <c r="AE2212" s="7">
        <f t="shared" si="209"/>
        <v>5334.1488382055113</v>
      </c>
    </row>
    <row r="2213" spans="30:31" ht="14" thickBot="1" x14ac:dyDescent="0.2">
      <c r="AD2213" s="98">
        <f t="shared" si="208"/>
        <v>47136</v>
      </c>
      <c r="AE2213" s="7">
        <f t="shared" si="209"/>
        <v>5344.1845582765363</v>
      </c>
    </row>
    <row r="2214" spans="30:31" ht="14" thickBot="1" x14ac:dyDescent="0.2">
      <c r="AD2214" s="98">
        <f t="shared" si="208"/>
        <v>47137</v>
      </c>
      <c r="AE2214" s="7">
        <f t="shared" si="209"/>
        <v>5354.2391596499774</v>
      </c>
    </row>
    <row r="2215" spans="30:31" ht="14" thickBot="1" x14ac:dyDescent="0.2">
      <c r="AD2215" s="98">
        <f t="shared" si="208"/>
        <v>47138</v>
      </c>
      <c r="AE2215" s="7">
        <f t="shared" si="209"/>
        <v>5364.3126778493024</v>
      </c>
    </row>
    <row r="2216" spans="30:31" ht="14" thickBot="1" x14ac:dyDescent="0.2">
      <c r="AD2216" s="98">
        <f t="shared" si="208"/>
        <v>47139</v>
      </c>
      <c r="AE2216" s="7">
        <f t="shared" si="209"/>
        <v>5374.4051484648126</v>
      </c>
    </row>
    <row r="2217" spans="30:31" ht="14" thickBot="1" x14ac:dyDescent="0.2">
      <c r="AD2217" s="98">
        <f t="shared" si="208"/>
        <v>47140</v>
      </c>
      <c r="AE2217" s="7">
        <f t="shared" si="209"/>
        <v>5384.5166071537706</v>
      </c>
    </row>
    <row r="2218" spans="30:31" ht="14" thickBot="1" x14ac:dyDescent="0.2">
      <c r="AD2218" s="98">
        <f t="shared" si="208"/>
        <v>47141</v>
      </c>
      <c r="AE2218" s="7">
        <f t="shared" si="209"/>
        <v>5394.6470896405253</v>
      </c>
    </row>
    <row r="2219" spans="30:31" ht="14" thickBot="1" x14ac:dyDescent="0.2">
      <c r="AD2219" s="98">
        <f t="shared" si="208"/>
        <v>47142</v>
      </c>
      <c r="AE2219" s="7">
        <f t="shared" si="209"/>
        <v>5404.7966317166365</v>
      </c>
    </row>
    <row r="2220" spans="30:31" ht="14" thickBot="1" x14ac:dyDescent="0.2">
      <c r="AD2220" s="98">
        <f t="shared" si="208"/>
        <v>47143</v>
      </c>
      <c r="AE2220" s="7">
        <f t="shared" si="209"/>
        <v>5414.9652692410027</v>
      </c>
    </row>
    <row r="2221" spans="30:31" ht="14" thickBot="1" x14ac:dyDescent="0.2">
      <c r="AD2221" s="98">
        <f t="shared" si="208"/>
        <v>47144</v>
      </c>
      <c r="AE2221" s="7">
        <f t="shared" si="209"/>
        <v>5425.153038139988</v>
      </c>
    </row>
    <row r="2222" spans="30:31" ht="14" thickBot="1" x14ac:dyDescent="0.2">
      <c r="AD2222" s="98">
        <f t="shared" si="208"/>
        <v>47145</v>
      </c>
      <c r="AE2222" s="7">
        <f t="shared" si="209"/>
        <v>5435.3599744075482</v>
      </c>
    </row>
    <row r="2223" spans="30:31" ht="14" thickBot="1" x14ac:dyDescent="0.2">
      <c r="AD2223" s="98">
        <f t="shared" si="208"/>
        <v>47146</v>
      </c>
      <c r="AE2223" s="7">
        <f t="shared" si="209"/>
        <v>5445.5861141053601</v>
      </c>
    </row>
    <row r="2224" spans="30:31" ht="14" thickBot="1" x14ac:dyDescent="0.2">
      <c r="AD2224" s="98">
        <f t="shared" si="208"/>
        <v>47147</v>
      </c>
      <c r="AE2224" s="7">
        <f t="shared" si="209"/>
        <v>5455.8314933629454</v>
      </c>
    </row>
    <row r="2225" spans="30:31" ht="14" thickBot="1" x14ac:dyDescent="0.2">
      <c r="AD2225" s="98">
        <f t="shared" si="208"/>
        <v>47148</v>
      </c>
      <c r="AE2225" s="7">
        <f t="shared" si="209"/>
        <v>5466.096148377801</v>
      </c>
    </row>
    <row r="2226" spans="30:31" ht="14" thickBot="1" x14ac:dyDescent="0.2">
      <c r="AD2226" s="98">
        <f t="shared" si="208"/>
        <v>47149</v>
      </c>
      <c r="AE2226" s="7">
        <f t="shared" si="209"/>
        <v>5476.3801154155271</v>
      </c>
    </row>
    <row r="2227" spans="30:31" ht="14" thickBot="1" x14ac:dyDescent="0.2">
      <c r="AD2227" s="98">
        <f t="shared" si="208"/>
        <v>47150</v>
      </c>
      <c r="AE2227" s="7">
        <f t="shared" si="209"/>
        <v>5486.6834308099524</v>
      </c>
    </row>
    <row r="2228" spans="30:31" ht="14" thickBot="1" x14ac:dyDescent="0.2">
      <c r="AD2228" s="98">
        <f t="shared" si="208"/>
        <v>47151</v>
      </c>
      <c r="AE2228" s="7">
        <f t="shared" si="209"/>
        <v>5497.0061309632656</v>
      </c>
    </row>
    <row r="2229" spans="30:31" ht="14" thickBot="1" x14ac:dyDescent="0.2">
      <c r="AD2229" s="98">
        <f t="shared" si="208"/>
        <v>47152</v>
      </c>
      <c r="AE2229" s="7">
        <f t="shared" si="209"/>
        <v>5507.3482523461435</v>
      </c>
    </row>
    <row r="2230" spans="30:31" ht="14" thickBot="1" x14ac:dyDescent="0.2">
      <c r="AD2230" s="98">
        <f t="shared" si="208"/>
        <v>47153</v>
      </c>
      <c r="AE2230" s="7">
        <f t="shared" si="209"/>
        <v>5517.7098314978775</v>
      </c>
    </row>
    <row r="2231" spans="30:31" ht="14" thickBot="1" x14ac:dyDescent="0.2">
      <c r="AD2231" s="98">
        <f t="shared" si="208"/>
        <v>47154</v>
      </c>
      <c r="AE2231" s="7">
        <f t="shared" si="209"/>
        <v>5528.0909050265054</v>
      </c>
    </row>
    <row r="2232" spans="30:31" ht="14" thickBot="1" x14ac:dyDescent="0.2">
      <c r="AD2232" s="98">
        <f t="shared" si="208"/>
        <v>47155</v>
      </c>
      <c r="AE2232" s="7">
        <f t="shared" si="209"/>
        <v>5538.4915096089399</v>
      </c>
    </row>
    <row r="2233" spans="30:31" ht="14" thickBot="1" x14ac:dyDescent="0.2">
      <c r="AD2233" s="98">
        <f t="shared" si="208"/>
        <v>47156</v>
      </c>
      <c r="AE2233" s="7">
        <f t="shared" si="209"/>
        <v>5548.9116819910969</v>
      </c>
    </row>
    <row r="2234" spans="30:31" ht="14" thickBot="1" x14ac:dyDescent="0.2">
      <c r="AD2234" s="98">
        <f t="shared" si="208"/>
        <v>47157</v>
      </c>
      <c r="AE2234" s="7">
        <f t="shared" si="209"/>
        <v>5559.3514589880278</v>
      </c>
    </row>
    <row r="2235" spans="30:31" ht="14" thickBot="1" x14ac:dyDescent="0.2">
      <c r="AD2235" s="98">
        <f t="shared" si="208"/>
        <v>47158</v>
      </c>
      <c r="AE2235" s="7">
        <f t="shared" si="209"/>
        <v>5569.8108774840475</v>
      </c>
    </row>
    <row r="2236" spans="30:31" ht="14" thickBot="1" x14ac:dyDescent="0.2">
      <c r="AD2236" s="98">
        <f t="shared" si="208"/>
        <v>47159</v>
      </c>
      <c r="AE2236" s="7">
        <f t="shared" si="209"/>
        <v>5580.2899744328661</v>
      </c>
    </row>
    <row r="2237" spans="30:31" ht="14" thickBot="1" x14ac:dyDescent="0.2">
      <c r="AD2237" s="98">
        <f t="shared" si="208"/>
        <v>47160</v>
      </c>
      <c r="AE2237" s="7">
        <f t="shared" si="209"/>
        <v>5590.7887868577172</v>
      </c>
    </row>
    <row r="2238" spans="30:31" ht="14" thickBot="1" x14ac:dyDescent="0.2">
      <c r="AD2238" s="98">
        <f t="shared" si="208"/>
        <v>47161</v>
      </c>
      <c r="AE2238" s="7">
        <f t="shared" si="209"/>
        <v>5601.3073518514921</v>
      </c>
    </row>
    <row r="2239" spans="30:31" ht="14" thickBot="1" x14ac:dyDescent="0.2">
      <c r="AD2239" s="98">
        <f t="shared" si="208"/>
        <v>47162</v>
      </c>
      <c r="AE2239" s="7">
        <f t="shared" si="209"/>
        <v>5611.8457065768671</v>
      </c>
    </row>
    <row r="2240" spans="30:31" ht="14" thickBot="1" x14ac:dyDescent="0.2">
      <c r="AD2240" s="98">
        <f t="shared" si="208"/>
        <v>47163</v>
      </c>
      <c r="AE2240" s="7">
        <f t="shared" si="209"/>
        <v>5622.403888266439</v>
      </c>
    </row>
    <row r="2241" spans="30:31" ht="14" thickBot="1" x14ac:dyDescent="0.2">
      <c r="AD2241" s="98">
        <f t="shared" si="208"/>
        <v>47164</v>
      </c>
      <c r="AE2241" s="7">
        <f t="shared" si="209"/>
        <v>5632.981934222852</v>
      </c>
    </row>
    <row r="2242" spans="30:31" ht="14" thickBot="1" x14ac:dyDescent="0.2">
      <c r="AD2242" s="98">
        <f t="shared" si="208"/>
        <v>47165</v>
      </c>
      <c r="AE2242" s="7">
        <f t="shared" ref="AE2242:AE2269" si="210">AE2241*$AI$71</f>
        <v>5643.5798818189342</v>
      </c>
    </row>
    <row r="2243" spans="30:31" ht="14" thickBot="1" x14ac:dyDescent="0.2">
      <c r="AD2243" s="98">
        <f t="shared" si="208"/>
        <v>47166</v>
      </c>
      <c r="AE2243" s="7">
        <f t="shared" si="210"/>
        <v>5654.1977684978256</v>
      </c>
    </row>
    <row r="2244" spans="30:31" ht="14" thickBot="1" x14ac:dyDescent="0.2">
      <c r="AD2244" s="98">
        <f t="shared" si="208"/>
        <v>47167</v>
      </c>
      <c r="AE2244" s="7">
        <f t="shared" si="210"/>
        <v>5664.8356317731123</v>
      </c>
    </row>
    <row r="2245" spans="30:31" ht="14" thickBot="1" x14ac:dyDescent="0.2">
      <c r="AD2245" s="98">
        <f t="shared" si="208"/>
        <v>47168</v>
      </c>
      <c r="AE2245" s="7">
        <f t="shared" si="210"/>
        <v>5675.4935092289597</v>
      </c>
    </row>
    <row r="2246" spans="30:31" ht="14" thickBot="1" x14ac:dyDescent="0.2">
      <c r="AD2246" s="98">
        <f t="shared" si="208"/>
        <v>47169</v>
      </c>
      <c r="AE2246" s="7">
        <f t="shared" si="210"/>
        <v>5686.171438520244</v>
      </c>
    </row>
    <row r="2247" spans="30:31" ht="14" thickBot="1" x14ac:dyDescent="0.2">
      <c r="AD2247" s="98">
        <f t="shared" si="208"/>
        <v>47170</v>
      </c>
      <c r="AE2247" s="7">
        <f t="shared" si="210"/>
        <v>5696.8694573726852</v>
      </c>
    </row>
    <row r="2248" spans="30:31" ht="14" thickBot="1" x14ac:dyDescent="0.2">
      <c r="AD2248" s="98">
        <f t="shared" si="208"/>
        <v>47171</v>
      </c>
      <c r="AE2248" s="7">
        <f t="shared" si="210"/>
        <v>5707.5876035829815</v>
      </c>
    </row>
    <row r="2249" spans="30:31" ht="14" thickBot="1" x14ac:dyDescent="0.2">
      <c r="AD2249" s="98">
        <f t="shared" ref="AD2249:AD2312" si="211">AD2248+1</f>
        <v>47172</v>
      </c>
      <c r="AE2249" s="7">
        <f t="shared" si="210"/>
        <v>5718.3259150189415</v>
      </c>
    </row>
    <row r="2250" spans="30:31" ht="14" thickBot="1" x14ac:dyDescent="0.2">
      <c r="AD2250" s="98">
        <f t="shared" si="211"/>
        <v>47173</v>
      </c>
      <c r="AE2250" s="7">
        <f t="shared" si="210"/>
        <v>5729.0844296196192</v>
      </c>
    </row>
    <row r="2251" spans="30:31" ht="14" thickBot="1" x14ac:dyDescent="0.2">
      <c r="AD2251" s="98">
        <f t="shared" si="211"/>
        <v>47174</v>
      </c>
      <c r="AE2251" s="7">
        <f t="shared" si="210"/>
        <v>5739.8631853954466</v>
      </c>
    </row>
    <row r="2252" spans="30:31" ht="14" thickBot="1" x14ac:dyDescent="0.2">
      <c r="AD2252" s="98">
        <f t="shared" si="211"/>
        <v>47175</v>
      </c>
      <c r="AE2252" s="7">
        <f t="shared" si="210"/>
        <v>5750.6622204283703</v>
      </c>
    </row>
    <row r="2253" spans="30:31" ht="14" thickBot="1" x14ac:dyDescent="0.2">
      <c r="AD2253" s="98">
        <f t="shared" si="211"/>
        <v>47176</v>
      </c>
      <c r="AE2253" s="7">
        <f t="shared" si="210"/>
        <v>5761.4815728719841</v>
      </c>
    </row>
    <row r="2254" spans="30:31" ht="14" thickBot="1" x14ac:dyDescent="0.2">
      <c r="AD2254" s="98">
        <f t="shared" si="211"/>
        <v>47177</v>
      </c>
      <c r="AE2254" s="7">
        <f t="shared" si="210"/>
        <v>5772.3212809516644</v>
      </c>
    </row>
    <row r="2255" spans="30:31" ht="14" thickBot="1" x14ac:dyDescent="0.2">
      <c r="AD2255" s="98">
        <f t="shared" si="211"/>
        <v>47178</v>
      </c>
      <c r="AE2255" s="7">
        <f t="shared" si="210"/>
        <v>5783.1813829647053</v>
      </c>
    </row>
    <row r="2256" spans="30:31" ht="14" thickBot="1" x14ac:dyDescent="0.2">
      <c r="AD2256" s="98">
        <f t="shared" si="211"/>
        <v>47179</v>
      </c>
      <c r="AE2256" s="7">
        <f t="shared" si="210"/>
        <v>5794.0619172804527</v>
      </c>
    </row>
    <row r="2257" spans="30:31" ht="14" thickBot="1" x14ac:dyDescent="0.2">
      <c r="AD2257" s="98">
        <f t="shared" si="211"/>
        <v>47180</v>
      </c>
      <c r="AE2257" s="7">
        <f t="shared" si="210"/>
        <v>5804.9629223404418</v>
      </c>
    </row>
    <row r="2258" spans="30:31" ht="14" thickBot="1" x14ac:dyDescent="0.2">
      <c r="AD2258" s="98">
        <f t="shared" si="211"/>
        <v>47181</v>
      </c>
      <c r="AE2258" s="7">
        <f t="shared" si="210"/>
        <v>5815.8844366585326</v>
      </c>
    </row>
    <row r="2259" spans="30:31" ht="14" thickBot="1" x14ac:dyDescent="0.2">
      <c r="AD2259" s="98">
        <f t="shared" si="211"/>
        <v>47182</v>
      </c>
      <c r="AE2259" s="7">
        <f t="shared" si="210"/>
        <v>5826.8264988210449</v>
      </c>
    </row>
    <row r="2260" spans="30:31" ht="14" thickBot="1" x14ac:dyDescent="0.2">
      <c r="AD2260" s="98">
        <f t="shared" si="211"/>
        <v>47183</v>
      </c>
      <c r="AE2260" s="7">
        <f t="shared" si="210"/>
        <v>5837.7891474868957</v>
      </c>
    </row>
    <row r="2261" spans="30:31" ht="14" thickBot="1" x14ac:dyDescent="0.2">
      <c r="AD2261" s="98">
        <f t="shared" si="211"/>
        <v>47184</v>
      </c>
      <c r="AE2261" s="7">
        <f t="shared" si="210"/>
        <v>5848.7724213877336</v>
      </c>
    </row>
    <row r="2262" spans="30:31" ht="14" thickBot="1" x14ac:dyDescent="0.2">
      <c r="AD2262" s="98">
        <f t="shared" si="211"/>
        <v>47185</v>
      </c>
      <c r="AE2262" s="7">
        <f t="shared" si="210"/>
        <v>5859.7763593280797</v>
      </c>
    </row>
    <row r="2263" spans="30:31" ht="14" thickBot="1" x14ac:dyDescent="0.2">
      <c r="AD2263" s="98">
        <f t="shared" si="211"/>
        <v>47186</v>
      </c>
      <c r="AE2263" s="7">
        <f t="shared" si="210"/>
        <v>5870.80100018546</v>
      </c>
    </row>
    <row r="2264" spans="30:31" ht="14" thickBot="1" x14ac:dyDescent="0.2">
      <c r="AD2264" s="98">
        <f t="shared" si="211"/>
        <v>47187</v>
      </c>
      <c r="AE2264" s="7">
        <f t="shared" si="210"/>
        <v>5881.8463829105467</v>
      </c>
    </row>
    <row r="2265" spans="30:31" ht="14" thickBot="1" x14ac:dyDescent="0.2">
      <c r="AD2265" s="98">
        <f t="shared" si="211"/>
        <v>47188</v>
      </c>
      <c r="AE2265" s="7">
        <f t="shared" si="210"/>
        <v>5892.9125465272937</v>
      </c>
    </row>
    <row r="2266" spans="30:31" ht="14" thickBot="1" x14ac:dyDescent="0.2">
      <c r="AD2266" s="98">
        <f t="shared" si="211"/>
        <v>47189</v>
      </c>
      <c r="AE2266" s="7">
        <f t="shared" si="210"/>
        <v>5903.9995301330746</v>
      </c>
    </row>
    <row r="2267" spans="30:31" ht="14" thickBot="1" x14ac:dyDescent="0.2">
      <c r="AD2267" s="98">
        <f t="shared" si="211"/>
        <v>47190</v>
      </c>
      <c r="AE2267" s="7">
        <f t="shared" si="210"/>
        <v>5915.1073728988222</v>
      </c>
    </row>
    <row r="2268" spans="30:31" ht="14" thickBot="1" x14ac:dyDescent="0.2">
      <c r="AD2268" s="98">
        <f t="shared" si="211"/>
        <v>47191</v>
      </c>
      <c r="AE2268" s="7">
        <f t="shared" si="210"/>
        <v>5926.2361140691646</v>
      </c>
    </row>
    <row r="2269" spans="30:31" ht="14" thickBot="1" x14ac:dyDescent="0.2">
      <c r="AD2269" s="98">
        <f t="shared" si="211"/>
        <v>47192</v>
      </c>
      <c r="AE2269" s="7">
        <f t="shared" si="210"/>
        <v>5937.3857929625656</v>
      </c>
    </row>
    <row r="2270" spans="30:31" ht="14" thickBot="1" x14ac:dyDescent="0.2">
      <c r="AD2270" s="98">
        <f t="shared" si="211"/>
        <v>47193</v>
      </c>
      <c r="AE2270" s="7">
        <f t="shared" ref="AE2270:AE2300" si="212">AE2269*$AI$72</f>
        <v>5949.7545507942741</v>
      </c>
    </row>
    <row r="2271" spans="30:31" ht="14" thickBot="1" x14ac:dyDescent="0.2">
      <c r="AD2271" s="98">
        <f t="shared" si="211"/>
        <v>47194</v>
      </c>
      <c r="AE2271" s="7">
        <f t="shared" si="212"/>
        <v>5962.1490752134396</v>
      </c>
    </row>
    <row r="2272" spans="30:31" ht="14" thickBot="1" x14ac:dyDescent="0.2">
      <c r="AD2272" s="98">
        <f t="shared" si="211"/>
        <v>47195</v>
      </c>
      <c r="AE2272" s="7">
        <f t="shared" si="212"/>
        <v>5974.5694198969986</v>
      </c>
    </row>
    <row r="2273" spans="30:31" ht="14" thickBot="1" x14ac:dyDescent="0.2">
      <c r="AD2273" s="98">
        <f t="shared" si="211"/>
        <v>47196</v>
      </c>
      <c r="AE2273" s="7">
        <f t="shared" si="212"/>
        <v>5987.0156386337067</v>
      </c>
    </row>
    <row r="2274" spans="30:31" ht="14" thickBot="1" x14ac:dyDescent="0.2">
      <c r="AD2274" s="98">
        <f t="shared" si="211"/>
        <v>47197</v>
      </c>
      <c r="AE2274" s="7">
        <f t="shared" si="212"/>
        <v>5999.4877853243734</v>
      </c>
    </row>
    <row r="2275" spans="30:31" ht="14" thickBot="1" x14ac:dyDescent="0.2">
      <c r="AD2275" s="98">
        <f t="shared" si="211"/>
        <v>47198</v>
      </c>
      <c r="AE2275" s="7">
        <f t="shared" si="212"/>
        <v>6011.9859139820946</v>
      </c>
    </row>
    <row r="2276" spans="30:31" ht="14" thickBot="1" x14ac:dyDescent="0.2">
      <c r="AD2276" s="98">
        <f t="shared" si="211"/>
        <v>47199</v>
      </c>
      <c r="AE2276" s="7">
        <f t="shared" si="212"/>
        <v>6024.5100787324845</v>
      </c>
    </row>
    <row r="2277" spans="30:31" ht="14" thickBot="1" x14ac:dyDescent="0.2">
      <c r="AD2277" s="98">
        <f t="shared" si="211"/>
        <v>47200</v>
      </c>
      <c r="AE2277" s="7">
        <f t="shared" si="212"/>
        <v>6037.0603338139126</v>
      </c>
    </row>
    <row r="2278" spans="30:31" ht="14" thickBot="1" x14ac:dyDescent="0.2">
      <c r="AD2278" s="98">
        <f t="shared" si="211"/>
        <v>47201</v>
      </c>
      <c r="AE2278" s="7">
        <f t="shared" si="212"/>
        <v>6049.6367335777386</v>
      </c>
    </row>
    <row r="2279" spans="30:31" ht="14" thickBot="1" x14ac:dyDescent="0.2">
      <c r="AD2279" s="98">
        <f t="shared" si="211"/>
        <v>47202</v>
      </c>
      <c r="AE2279" s="7">
        <f t="shared" si="212"/>
        <v>6062.2393324885452</v>
      </c>
    </row>
    <row r="2280" spans="30:31" ht="14" thickBot="1" x14ac:dyDescent="0.2">
      <c r="AD2280" s="98">
        <f t="shared" si="211"/>
        <v>47203</v>
      </c>
      <c r="AE2280" s="7">
        <f t="shared" si="212"/>
        <v>6074.8681851243773</v>
      </c>
    </row>
    <row r="2281" spans="30:31" ht="14" thickBot="1" x14ac:dyDescent="0.2">
      <c r="AD2281" s="98">
        <f t="shared" si="211"/>
        <v>47204</v>
      </c>
      <c r="AE2281" s="7">
        <f t="shared" si="212"/>
        <v>6087.5233461769758</v>
      </c>
    </row>
    <row r="2282" spans="30:31" ht="14" thickBot="1" x14ac:dyDescent="0.2">
      <c r="AD2282" s="98">
        <f t="shared" si="211"/>
        <v>47205</v>
      </c>
      <c r="AE2282" s="7">
        <f t="shared" si="212"/>
        <v>6100.2048704520166</v>
      </c>
    </row>
    <row r="2283" spans="30:31" ht="14" thickBot="1" x14ac:dyDescent="0.2">
      <c r="AD2283" s="98">
        <f t="shared" si="211"/>
        <v>47206</v>
      </c>
      <c r="AE2283" s="7">
        <f t="shared" si="212"/>
        <v>6112.9128128693446</v>
      </c>
    </row>
    <row r="2284" spans="30:31" ht="14" thickBot="1" x14ac:dyDescent="0.2">
      <c r="AD2284" s="98">
        <f t="shared" si="211"/>
        <v>47207</v>
      </c>
      <c r="AE2284" s="7">
        <f t="shared" si="212"/>
        <v>6125.6472284632155</v>
      </c>
    </row>
    <row r="2285" spans="30:31" ht="14" thickBot="1" x14ac:dyDescent="0.2">
      <c r="AD2285" s="98">
        <f t="shared" si="211"/>
        <v>47208</v>
      </c>
      <c r="AE2285" s="7">
        <f t="shared" si="212"/>
        <v>6138.4081723825311</v>
      </c>
    </row>
    <row r="2286" spans="30:31" ht="14" thickBot="1" x14ac:dyDescent="0.2">
      <c r="AD2286" s="98">
        <f t="shared" si="211"/>
        <v>47209</v>
      </c>
      <c r="AE2286" s="7">
        <f t="shared" si="212"/>
        <v>6151.1956998910809</v>
      </c>
    </row>
    <row r="2287" spans="30:31" ht="14" thickBot="1" x14ac:dyDescent="0.2">
      <c r="AD2287" s="98">
        <f t="shared" si="211"/>
        <v>47210</v>
      </c>
      <c r="AE2287" s="7">
        <f t="shared" si="212"/>
        <v>6164.0098663677782</v>
      </c>
    </row>
    <row r="2288" spans="30:31" ht="14" thickBot="1" x14ac:dyDescent="0.2">
      <c r="AD2288" s="98">
        <f t="shared" si="211"/>
        <v>47211</v>
      </c>
      <c r="AE2288" s="7">
        <f t="shared" si="212"/>
        <v>6176.8507273069026</v>
      </c>
    </row>
    <row r="2289" spans="30:31" ht="14" thickBot="1" x14ac:dyDescent="0.2">
      <c r="AD2289" s="98">
        <f t="shared" si="211"/>
        <v>47212</v>
      </c>
      <c r="AE2289" s="7">
        <f t="shared" si="212"/>
        <v>6189.7183383183392</v>
      </c>
    </row>
    <row r="2290" spans="30:31" ht="14" thickBot="1" x14ac:dyDescent="0.2">
      <c r="AD2290" s="98">
        <f t="shared" si="211"/>
        <v>47213</v>
      </c>
      <c r="AE2290" s="7">
        <f t="shared" si="212"/>
        <v>6202.6127551278196</v>
      </c>
    </row>
    <row r="2291" spans="30:31" ht="14" thickBot="1" x14ac:dyDescent="0.2">
      <c r="AD2291" s="98">
        <f t="shared" si="211"/>
        <v>47214</v>
      </c>
      <c r="AE2291" s="7">
        <f t="shared" si="212"/>
        <v>6215.5340335771625</v>
      </c>
    </row>
    <row r="2292" spans="30:31" ht="14" thickBot="1" x14ac:dyDescent="0.2">
      <c r="AD2292" s="98">
        <f t="shared" si="211"/>
        <v>47215</v>
      </c>
      <c r="AE2292" s="7">
        <f t="shared" si="212"/>
        <v>6228.4822296245175</v>
      </c>
    </row>
    <row r="2293" spans="30:31" ht="14" thickBot="1" x14ac:dyDescent="0.2">
      <c r="AD2293" s="98">
        <f t="shared" si="211"/>
        <v>47216</v>
      </c>
      <c r="AE2293" s="7">
        <f t="shared" si="212"/>
        <v>6241.4573993446047</v>
      </c>
    </row>
    <row r="2294" spans="30:31" ht="14" thickBot="1" x14ac:dyDescent="0.2">
      <c r="AD2294" s="98">
        <f t="shared" si="211"/>
        <v>47217</v>
      </c>
      <c r="AE2294" s="7">
        <f t="shared" si="212"/>
        <v>6254.459598928961</v>
      </c>
    </row>
    <row r="2295" spans="30:31" ht="14" thickBot="1" x14ac:dyDescent="0.2">
      <c r="AD2295" s="98">
        <f t="shared" si="211"/>
        <v>47218</v>
      </c>
      <c r="AE2295" s="7">
        <f t="shared" si="212"/>
        <v>6267.4888846861795</v>
      </c>
    </row>
    <row r="2296" spans="30:31" ht="14" thickBot="1" x14ac:dyDescent="0.2">
      <c r="AD2296" s="98">
        <f t="shared" si="211"/>
        <v>47219</v>
      </c>
      <c r="AE2296" s="7">
        <f t="shared" si="212"/>
        <v>6280.5453130421556</v>
      </c>
    </row>
    <row r="2297" spans="30:31" ht="14" thickBot="1" x14ac:dyDescent="0.2">
      <c r="AD2297" s="98">
        <f t="shared" si="211"/>
        <v>47220</v>
      </c>
      <c r="AE2297" s="7">
        <f t="shared" si="212"/>
        <v>6293.6289405403322</v>
      </c>
    </row>
    <row r="2298" spans="30:31" ht="14" thickBot="1" x14ac:dyDescent="0.2">
      <c r="AD2298" s="98">
        <f t="shared" si="211"/>
        <v>47221</v>
      </c>
      <c r="AE2298" s="7">
        <f t="shared" si="212"/>
        <v>6306.7398238419437</v>
      </c>
    </row>
    <row r="2299" spans="30:31" ht="14" thickBot="1" x14ac:dyDescent="0.2">
      <c r="AD2299" s="98">
        <f t="shared" si="211"/>
        <v>47222</v>
      </c>
      <c r="AE2299" s="7">
        <f t="shared" si="212"/>
        <v>6319.8780197262586</v>
      </c>
    </row>
    <row r="2300" spans="30:31" ht="14" thickBot="1" x14ac:dyDescent="0.2">
      <c r="AD2300" s="98">
        <f t="shared" si="211"/>
        <v>47223</v>
      </c>
      <c r="AE2300" s="7">
        <f t="shared" si="212"/>
        <v>6333.0435850908307</v>
      </c>
    </row>
    <row r="2301" spans="30:31" ht="14" thickBot="1" x14ac:dyDescent="0.2">
      <c r="AD2301" s="98">
        <f t="shared" si="211"/>
        <v>47224</v>
      </c>
      <c r="AE2301" s="7">
        <f t="shared" ref="AE2301:AE2330" si="213">AE2300*$AI$73</f>
        <v>6344.958635560055</v>
      </c>
    </row>
    <row r="2302" spans="30:31" ht="14" thickBot="1" x14ac:dyDescent="0.2">
      <c r="AD2302" s="98">
        <f t="shared" si="211"/>
        <v>47225</v>
      </c>
      <c r="AE2302" s="7">
        <f t="shared" si="213"/>
        <v>6356.8961031223844</v>
      </c>
    </row>
    <row r="2303" spans="30:31" ht="14" thickBot="1" x14ac:dyDescent="0.2">
      <c r="AD2303" s="98">
        <f t="shared" si="211"/>
        <v>47226</v>
      </c>
      <c r="AE2303" s="7">
        <f t="shared" si="213"/>
        <v>6368.8560299535584</v>
      </c>
    </row>
    <row r="2304" spans="30:31" ht="14" thickBot="1" x14ac:dyDescent="0.2">
      <c r="AD2304" s="98">
        <f t="shared" si="211"/>
        <v>47227</v>
      </c>
      <c r="AE2304" s="7">
        <f t="shared" si="213"/>
        <v>6380.8384583086654</v>
      </c>
    </row>
    <row r="2305" spans="30:31" ht="14" thickBot="1" x14ac:dyDescent="0.2">
      <c r="AD2305" s="98">
        <f t="shared" si="211"/>
        <v>47228</v>
      </c>
      <c r="AE2305" s="7">
        <f t="shared" si="213"/>
        <v>6392.8434305222945</v>
      </c>
    </row>
    <row r="2306" spans="30:31" ht="14" thickBot="1" x14ac:dyDescent="0.2">
      <c r="AD2306" s="98">
        <f t="shared" si="211"/>
        <v>47229</v>
      </c>
      <c r="AE2306" s="7">
        <f t="shared" si="213"/>
        <v>6404.870989008682</v>
      </c>
    </row>
    <row r="2307" spans="30:31" ht="14" thickBot="1" x14ac:dyDescent="0.2">
      <c r="AD2307" s="98">
        <f t="shared" si="211"/>
        <v>47230</v>
      </c>
      <c r="AE2307" s="7">
        <f t="shared" si="213"/>
        <v>6416.9211762618643</v>
      </c>
    </row>
    <row r="2308" spans="30:31" ht="14" thickBot="1" x14ac:dyDescent="0.2">
      <c r="AD2308" s="98">
        <f t="shared" si="211"/>
        <v>47231</v>
      </c>
      <c r="AE2308" s="7">
        <f t="shared" si="213"/>
        <v>6428.9940348558257</v>
      </c>
    </row>
    <row r="2309" spans="30:31" ht="14" thickBot="1" x14ac:dyDescent="0.2">
      <c r="AD2309" s="98">
        <f t="shared" si="211"/>
        <v>47232</v>
      </c>
      <c r="AE2309" s="7">
        <f t="shared" si="213"/>
        <v>6441.0896074446491</v>
      </c>
    </row>
    <row r="2310" spans="30:31" ht="14" thickBot="1" x14ac:dyDescent="0.2">
      <c r="AD2310" s="98">
        <f t="shared" si="211"/>
        <v>47233</v>
      </c>
      <c r="AE2310" s="7">
        <f t="shared" si="213"/>
        <v>6453.2079367626684</v>
      </c>
    </row>
    <row r="2311" spans="30:31" ht="14" thickBot="1" x14ac:dyDescent="0.2">
      <c r="AD2311" s="98">
        <f t="shared" si="211"/>
        <v>47234</v>
      </c>
      <c r="AE2311" s="7">
        <f t="shared" si="213"/>
        <v>6465.3490656246177</v>
      </c>
    </row>
    <row r="2312" spans="30:31" ht="14" thickBot="1" x14ac:dyDescent="0.2">
      <c r="AD2312" s="98">
        <f t="shared" si="211"/>
        <v>47235</v>
      </c>
      <c r="AE2312" s="7">
        <f t="shared" si="213"/>
        <v>6477.5130369257822</v>
      </c>
    </row>
    <row r="2313" spans="30:31" ht="14" thickBot="1" x14ac:dyDescent="0.2">
      <c r="AD2313" s="98">
        <f t="shared" ref="AD2313:AD2376" si="214">AD2312+1</f>
        <v>47236</v>
      </c>
      <c r="AE2313" s="7">
        <f t="shared" si="213"/>
        <v>6489.6998936421523</v>
      </c>
    </row>
    <row r="2314" spans="30:31" ht="14" thickBot="1" x14ac:dyDescent="0.2">
      <c r="AD2314" s="98">
        <f t="shared" si="214"/>
        <v>47237</v>
      </c>
      <c r="AE2314" s="7">
        <f t="shared" si="213"/>
        <v>6501.9096788305733</v>
      </c>
    </row>
    <row r="2315" spans="30:31" ht="14" thickBot="1" x14ac:dyDescent="0.2">
      <c r="AD2315" s="98">
        <f t="shared" si="214"/>
        <v>47238</v>
      </c>
      <c r="AE2315" s="7">
        <f t="shared" si="213"/>
        <v>6514.1424356288981</v>
      </c>
    </row>
    <row r="2316" spans="30:31" ht="14" thickBot="1" x14ac:dyDescent="0.2">
      <c r="AD2316" s="98">
        <f t="shared" si="214"/>
        <v>47239</v>
      </c>
      <c r="AE2316" s="7">
        <f t="shared" si="213"/>
        <v>6526.3982072561394</v>
      </c>
    </row>
    <row r="2317" spans="30:31" ht="14" thickBot="1" x14ac:dyDescent="0.2">
      <c r="AD2317" s="98">
        <f t="shared" si="214"/>
        <v>47240</v>
      </c>
      <c r="AE2317" s="7">
        <f t="shared" si="213"/>
        <v>6538.6770370126214</v>
      </c>
    </row>
    <row r="2318" spans="30:31" ht="14" thickBot="1" x14ac:dyDescent="0.2">
      <c r="AD2318" s="98">
        <f t="shared" si="214"/>
        <v>47241</v>
      </c>
      <c r="AE2318" s="7">
        <f t="shared" si="213"/>
        <v>6550.9789682801365</v>
      </c>
    </row>
    <row r="2319" spans="30:31" ht="14" thickBot="1" x14ac:dyDescent="0.2">
      <c r="AD2319" s="98">
        <f t="shared" si="214"/>
        <v>47242</v>
      </c>
      <c r="AE2319" s="7">
        <f t="shared" si="213"/>
        <v>6563.304044522094</v>
      </c>
    </row>
    <row r="2320" spans="30:31" ht="14" thickBot="1" x14ac:dyDescent="0.2">
      <c r="AD2320" s="98">
        <f t="shared" si="214"/>
        <v>47243</v>
      </c>
      <c r="AE2320" s="7">
        <f t="shared" si="213"/>
        <v>6575.6523092836769</v>
      </c>
    </row>
    <row r="2321" spans="30:31" ht="14" thickBot="1" x14ac:dyDescent="0.2">
      <c r="AD2321" s="98">
        <f t="shared" si="214"/>
        <v>47244</v>
      </c>
      <c r="AE2321" s="7">
        <f t="shared" si="213"/>
        <v>6588.0238061919936</v>
      </c>
    </row>
    <row r="2322" spans="30:31" ht="14" thickBot="1" x14ac:dyDescent="0.2">
      <c r="AD2322" s="98">
        <f t="shared" si="214"/>
        <v>47245</v>
      </c>
      <c r="AE2322" s="7">
        <f t="shared" si="213"/>
        <v>6600.4185789562343</v>
      </c>
    </row>
    <row r="2323" spans="30:31" ht="14" thickBot="1" x14ac:dyDescent="0.2">
      <c r="AD2323" s="98">
        <f t="shared" si="214"/>
        <v>47246</v>
      </c>
      <c r="AE2323" s="7">
        <f t="shared" si="213"/>
        <v>6612.8366713678224</v>
      </c>
    </row>
    <row r="2324" spans="30:31" ht="14" thickBot="1" x14ac:dyDescent="0.2">
      <c r="AD2324" s="98">
        <f t="shared" si="214"/>
        <v>47247</v>
      </c>
      <c r="AE2324" s="7">
        <f t="shared" si="213"/>
        <v>6625.2781273005712</v>
      </c>
    </row>
    <row r="2325" spans="30:31" ht="14" thickBot="1" x14ac:dyDescent="0.2">
      <c r="AD2325" s="98">
        <f t="shared" si="214"/>
        <v>47248</v>
      </c>
      <c r="AE2325" s="7">
        <f t="shared" si="213"/>
        <v>6637.7429907108399</v>
      </c>
    </row>
    <row r="2326" spans="30:31" ht="14" thickBot="1" x14ac:dyDescent="0.2">
      <c r="AD2326" s="98">
        <f t="shared" si="214"/>
        <v>47249</v>
      </c>
      <c r="AE2326" s="7">
        <f t="shared" si="213"/>
        <v>6650.231305637687</v>
      </c>
    </row>
    <row r="2327" spans="30:31" ht="14" thickBot="1" x14ac:dyDescent="0.2">
      <c r="AD2327" s="98">
        <f t="shared" si="214"/>
        <v>47250</v>
      </c>
      <c r="AE2327" s="7">
        <f t="shared" si="213"/>
        <v>6662.7431162030261</v>
      </c>
    </row>
    <row r="2328" spans="30:31" ht="14" thickBot="1" x14ac:dyDescent="0.2">
      <c r="AD2328" s="98">
        <f t="shared" si="214"/>
        <v>47251</v>
      </c>
      <c r="AE2328" s="7">
        <f t="shared" si="213"/>
        <v>6675.2784666117823</v>
      </c>
    </row>
    <row r="2329" spans="30:31" ht="14" thickBot="1" x14ac:dyDescent="0.2">
      <c r="AD2329" s="98">
        <f t="shared" si="214"/>
        <v>47252</v>
      </c>
      <c r="AE2329" s="7">
        <f t="shared" si="213"/>
        <v>6687.8374011520482</v>
      </c>
    </row>
    <row r="2330" spans="30:31" ht="14" thickBot="1" x14ac:dyDescent="0.2">
      <c r="AD2330" s="98">
        <f t="shared" si="214"/>
        <v>47253</v>
      </c>
      <c r="AE2330" s="7">
        <f t="shared" si="213"/>
        <v>6700.4199641952409</v>
      </c>
    </row>
    <row r="2331" spans="30:31" ht="14" thickBot="1" x14ac:dyDescent="0.2">
      <c r="AD2331" s="98">
        <f t="shared" si="214"/>
        <v>47254</v>
      </c>
      <c r="AE2331" s="7">
        <f t="shared" ref="AE2331:AE2361" si="215">AE2330*$AI$74</f>
        <v>6713.4468162835556</v>
      </c>
    </row>
    <row r="2332" spans="30:31" ht="14" thickBot="1" x14ac:dyDescent="0.2">
      <c r="AD2332" s="98">
        <f t="shared" si="214"/>
        <v>47255</v>
      </c>
      <c r="AE2332" s="7">
        <f t="shared" si="215"/>
        <v>6726.498994974716</v>
      </c>
    </row>
    <row r="2333" spans="30:31" ht="14" thickBot="1" x14ac:dyDescent="0.2">
      <c r="AD2333" s="98">
        <f t="shared" si="214"/>
        <v>47256</v>
      </c>
      <c r="AE2333" s="7">
        <f t="shared" si="215"/>
        <v>6739.5765495083078</v>
      </c>
    </row>
    <row r="2334" spans="30:31" ht="14" thickBot="1" x14ac:dyDescent="0.2">
      <c r="AD2334" s="98">
        <f t="shared" si="214"/>
        <v>47257</v>
      </c>
      <c r="AE2334" s="7">
        <f t="shared" si="215"/>
        <v>6752.6795292196493</v>
      </c>
    </row>
    <row r="2335" spans="30:31" ht="14" thickBot="1" x14ac:dyDescent="0.2">
      <c r="AD2335" s="98">
        <f t="shared" si="214"/>
        <v>47258</v>
      </c>
      <c r="AE2335" s="7">
        <f t="shared" si="215"/>
        <v>6765.8079835399749</v>
      </c>
    </row>
    <row r="2336" spans="30:31" ht="14" thickBot="1" x14ac:dyDescent="0.2">
      <c r="AD2336" s="98">
        <f t="shared" si="214"/>
        <v>47259</v>
      </c>
      <c r="AE2336" s="7">
        <f t="shared" si="215"/>
        <v>6778.9619619966224</v>
      </c>
    </row>
    <row r="2337" spans="30:31" ht="14" thickBot="1" x14ac:dyDescent="0.2">
      <c r="AD2337" s="98">
        <f t="shared" si="214"/>
        <v>47260</v>
      </c>
      <c r="AE2337" s="7">
        <f t="shared" si="215"/>
        <v>6792.1415142132191</v>
      </c>
    </row>
    <row r="2338" spans="30:31" ht="14" thickBot="1" x14ac:dyDescent="0.2">
      <c r="AD2338" s="98">
        <f t="shared" si="214"/>
        <v>47261</v>
      </c>
      <c r="AE2338" s="7">
        <f t="shared" si="215"/>
        <v>6805.3466899098721</v>
      </c>
    </row>
    <row r="2339" spans="30:31" ht="14" thickBot="1" x14ac:dyDescent="0.2">
      <c r="AD2339" s="98">
        <f t="shared" si="214"/>
        <v>47262</v>
      </c>
      <c r="AE2339" s="7">
        <f t="shared" si="215"/>
        <v>6818.5775389033506</v>
      </c>
    </row>
    <row r="2340" spans="30:31" ht="14" thickBot="1" x14ac:dyDescent="0.2">
      <c r="AD2340" s="98">
        <f t="shared" si="214"/>
        <v>47263</v>
      </c>
      <c r="AE2340" s="7">
        <f t="shared" si="215"/>
        <v>6831.8341111072787</v>
      </c>
    </row>
    <row r="2341" spans="30:31" ht="14" thickBot="1" x14ac:dyDescent="0.2">
      <c r="AD2341" s="98">
        <f t="shared" si="214"/>
        <v>47264</v>
      </c>
      <c r="AE2341" s="7">
        <f t="shared" si="215"/>
        <v>6845.1164565323215</v>
      </c>
    </row>
    <row r="2342" spans="30:31" ht="14" thickBot="1" x14ac:dyDescent="0.2">
      <c r="AD2342" s="98">
        <f t="shared" si="214"/>
        <v>47265</v>
      </c>
      <c r="AE2342" s="7">
        <f t="shared" si="215"/>
        <v>6858.4246252863741</v>
      </c>
    </row>
    <row r="2343" spans="30:31" ht="14" thickBot="1" x14ac:dyDescent="0.2">
      <c r="AD2343" s="98">
        <f t="shared" si="214"/>
        <v>47266</v>
      </c>
      <c r="AE2343" s="7">
        <f t="shared" si="215"/>
        <v>6871.7586675747507</v>
      </c>
    </row>
    <row r="2344" spans="30:31" ht="14" thickBot="1" x14ac:dyDescent="0.2">
      <c r="AD2344" s="98">
        <f t="shared" si="214"/>
        <v>47267</v>
      </c>
      <c r="AE2344" s="7">
        <f t="shared" si="215"/>
        <v>6885.1186337003728</v>
      </c>
    </row>
    <row r="2345" spans="30:31" ht="14" thickBot="1" x14ac:dyDescent="0.2">
      <c r="AD2345" s="98">
        <f t="shared" si="214"/>
        <v>47268</v>
      </c>
      <c r="AE2345" s="7">
        <f t="shared" si="215"/>
        <v>6898.5045740639607</v>
      </c>
    </row>
    <row r="2346" spans="30:31" ht="14" thickBot="1" x14ac:dyDescent="0.2">
      <c r="AD2346" s="98">
        <f t="shared" si="214"/>
        <v>47269</v>
      </c>
      <c r="AE2346" s="7">
        <f t="shared" si="215"/>
        <v>6911.9165391642237</v>
      </c>
    </row>
    <row r="2347" spans="30:31" ht="14" thickBot="1" x14ac:dyDescent="0.2">
      <c r="AD2347" s="98">
        <f t="shared" si="214"/>
        <v>47270</v>
      </c>
      <c r="AE2347" s="7">
        <f t="shared" si="215"/>
        <v>6925.354579598049</v>
      </c>
    </row>
    <row r="2348" spans="30:31" ht="14" thickBot="1" x14ac:dyDescent="0.2">
      <c r="AD2348" s="98">
        <f t="shared" si="214"/>
        <v>47271</v>
      </c>
      <c r="AE2348" s="7">
        <f t="shared" si="215"/>
        <v>6938.8187460606941</v>
      </c>
    </row>
    <row r="2349" spans="30:31" ht="14" thickBot="1" x14ac:dyDescent="0.2">
      <c r="AD2349" s="98">
        <f t="shared" si="214"/>
        <v>47272</v>
      </c>
      <c r="AE2349" s="7">
        <f t="shared" si="215"/>
        <v>6952.3090893459766</v>
      </c>
    </row>
    <row r="2350" spans="30:31" ht="14" thickBot="1" x14ac:dyDescent="0.2">
      <c r="AD2350" s="98">
        <f t="shared" si="214"/>
        <v>47273</v>
      </c>
      <c r="AE2350" s="7">
        <f t="shared" si="215"/>
        <v>6965.8256603464679</v>
      </c>
    </row>
    <row r="2351" spans="30:31" ht="14" thickBot="1" x14ac:dyDescent="0.2">
      <c r="AD2351" s="98">
        <f t="shared" si="214"/>
        <v>47274</v>
      </c>
      <c r="AE2351" s="7">
        <f t="shared" si="215"/>
        <v>6979.3685100536832</v>
      </c>
    </row>
    <row r="2352" spans="30:31" ht="14" thickBot="1" x14ac:dyDescent="0.2">
      <c r="AD2352" s="98">
        <f t="shared" si="214"/>
        <v>47275</v>
      </c>
      <c r="AE2352" s="7">
        <f t="shared" si="215"/>
        <v>6992.9376895582736</v>
      </c>
    </row>
    <row r="2353" spans="30:31" ht="14" thickBot="1" x14ac:dyDescent="0.2">
      <c r="AD2353" s="98">
        <f t="shared" si="214"/>
        <v>47276</v>
      </c>
      <c r="AE2353" s="7">
        <f t="shared" si="215"/>
        <v>7006.5332500502218</v>
      </c>
    </row>
    <row r="2354" spans="30:31" ht="14" thickBot="1" x14ac:dyDescent="0.2">
      <c r="AD2354" s="98">
        <f t="shared" si="214"/>
        <v>47277</v>
      </c>
      <c r="AE2354" s="7">
        <f t="shared" si="215"/>
        <v>7020.1552428190325</v>
      </c>
    </row>
    <row r="2355" spans="30:31" ht="14" thickBot="1" x14ac:dyDescent="0.2">
      <c r="AD2355" s="98">
        <f t="shared" si="214"/>
        <v>47278</v>
      </c>
      <c r="AE2355" s="7">
        <f t="shared" si="215"/>
        <v>7033.8037192539259</v>
      </c>
    </row>
    <row r="2356" spans="30:31" ht="14" thickBot="1" x14ac:dyDescent="0.2">
      <c r="AD2356" s="98">
        <f t="shared" si="214"/>
        <v>47279</v>
      </c>
      <c r="AE2356" s="7">
        <f t="shared" si="215"/>
        <v>7047.4787308440336</v>
      </c>
    </row>
    <row r="2357" spans="30:31" ht="14" thickBot="1" x14ac:dyDescent="0.2">
      <c r="AD2357" s="98">
        <f t="shared" si="214"/>
        <v>47280</v>
      </c>
      <c r="AE2357" s="7">
        <f t="shared" si="215"/>
        <v>7061.18032917859</v>
      </c>
    </row>
    <row r="2358" spans="30:31" ht="14" thickBot="1" x14ac:dyDescent="0.2">
      <c r="AD2358" s="98">
        <f t="shared" si="214"/>
        <v>47281</v>
      </c>
      <c r="AE2358" s="7">
        <f t="shared" si="215"/>
        <v>7074.9085659471302</v>
      </c>
    </row>
    <row r="2359" spans="30:31" ht="14" thickBot="1" x14ac:dyDescent="0.2">
      <c r="AD2359" s="98">
        <f t="shared" si="214"/>
        <v>47282</v>
      </c>
      <c r="AE2359" s="7">
        <f t="shared" si="215"/>
        <v>7088.6634929396823</v>
      </c>
    </row>
    <row r="2360" spans="30:31" ht="14" thickBot="1" x14ac:dyDescent="0.2">
      <c r="AD2360" s="98">
        <f t="shared" si="214"/>
        <v>47283</v>
      </c>
      <c r="AE2360" s="7">
        <f t="shared" si="215"/>
        <v>7102.4451620469636</v>
      </c>
    </row>
    <row r="2361" spans="30:31" ht="14" thickBot="1" x14ac:dyDescent="0.2">
      <c r="AD2361" s="98">
        <f t="shared" si="214"/>
        <v>47284</v>
      </c>
      <c r="AE2361" s="7">
        <f t="shared" si="215"/>
        <v>7116.2536252605769</v>
      </c>
    </row>
    <row r="2362" spans="30:31" ht="14" thickBot="1" x14ac:dyDescent="0.2">
      <c r="AD2362" s="98">
        <f t="shared" si="214"/>
        <v>47285</v>
      </c>
      <c r="AE2362" s="7">
        <f t="shared" ref="AE2362:AE2391" si="216">AE2361*$AI$75</f>
        <v>7129.6422148001147</v>
      </c>
    </row>
    <row r="2363" spans="30:31" ht="14" thickBot="1" x14ac:dyDescent="0.2">
      <c r="AD2363" s="98">
        <f t="shared" si="214"/>
        <v>47286</v>
      </c>
      <c r="AE2363" s="7">
        <f t="shared" si="216"/>
        <v>7143.0559937636526</v>
      </c>
    </row>
    <row r="2364" spans="30:31" ht="14" thickBot="1" x14ac:dyDescent="0.2">
      <c r="AD2364" s="98">
        <f t="shared" si="214"/>
        <v>47287</v>
      </c>
      <c r="AE2364" s="7">
        <f t="shared" si="216"/>
        <v>7156.4950095428203</v>
      </c>
    </row>
    <row r="2365" spans="30:31" ht="14" thickBot="1" x14ac:dyDescent="0.2">
      <c r="AD2365" s="98">
        <f t="shared" si="214"/>
        <v>47288</v>
      </c>
      <c r="AE2365" s="7">
        <f t="shared" si="216"/>
        <v>7169.9593096184108</v>
      </c>
    </row>
    <row r="2366" spans="30:31" ht="14" thickBot="1" x14ac:dyDescent="0.2">
      <c r="AD2366" s="98">
        <f t="shared" si="214"/>
        <v>47289</v>
      </c>
      <c r="AE2366" s="7">
        <f t="shared" si="216"/>
        <v>7183.4489415605485</v>
      </c>
    </row>
    <row r="2367" spans="30:31" ht="14" thickBot="1" x14ac:dyDescent="0.2">
      <c r="AD2367" s="98">
        <f t="shared" si="214"/>
        <v>47290</v>
      </c>
      <c r="AE2367" s="7">
        <f t="shared" si="216"/>
        <v>7196.9639530288559</v>
      </c>
    </row>
    <row r="2368" spans="30:31" ht="14" thickBot="1" x14ac:dyDescent="0.2">
      <c r="AD2368" s="98">
        <f t="shared" si="214"/>
        <v>47291</v>
      </c>
      <c r="AE2368" s="7">
        <f t="shared" si="216"/>
        <v>7210.5043917726225</v>
      </c>
    </row>
    <row r="2369" spans="30:31" ht="14" thickBot="1" x14ac:dyDescent="0.2">
      <c r="AD2369" s="98">
        <f t="shared" si="214"/>
        <v>47292</v>
      </c>
      <c r="AE2369" s="7">
        <f t="shared" si="216"/>
        <v>7224.0703056309758</v>
      </c>
    </row>
    <row r="2370" spans="30:31" ht="14" thickBot="1" x14ac:dyDescent="0.2">
      <c r="AD2370" s="98">
        <f t="shared" si="214"/>
        <v>47293</v>
      </c>
      <c r="AE2370" s="7">
        <f t="shared" si="216"/>
        <v>7237.661742533046</v>
      </c>
    </row>
    <row r="2371" spans="30:31" ht="14" thickBot="1" x14ac:dyDescent="0.2">
      <c r="AD2371" s="98">
        <f t="shared" si="214"/>
        <v>47294</v>
      </c>
      <c r="AE2371" s="7">
        <f t="shared" si="216"/>
        <v>7251.2787504981379</v>
      </c>
    </row>
    <row r="2372" spans="30:31" ht="14" thickBot="1" x14ac:dyDescent="0.2">
      <c r="AD2372" s="98">
        <f t="shared" si="214"/>
        <v>47295</v>
      </c>
      <c r="AE2372" s="7">
        <f t="shared" si="216"/>
        <v>7264.921377635902</v>
      </c>
    </row>
    <row r="2373" spans="30:31" ht="14" thickBot="1" x14ac:dyDescent="0.2">
      <c r="AD2373" s="98">
        <f t="shared" si="214"/>
        <v>47296</v>
      </c>
      <c r="AE2373" s="7">
        <f t="shared" si="216"/>
        <v>7278.5896721465006</v>
      </c>
    </row>
    <row r="2374" spans="30:31" ht="14" thickBot="1" x14ac:dyDescent="0.2">
      <c r="AD2374" s="98">
        <f t="shared" si="214"/>
        <v>47297</v>
      </c>
      <c r="AE2374" s="7">
        <f t="shared" si="216"/>
        <v>7292.2836823207817</v>
      </c>
    </row>
    <row r="2375" spans="30:31" ht="14" thickBot="1" x14ac:dyDescent="0.2">
      <c r="AD2375" s="98">
        <f t="shared" si="214"/>
        <v>47298</v>
      </c>
      <c r="AE2375" s="7">
        <f t="shared" si="216"/>
        <v>7306.0034565404485</v>
      </c>
    </row>
    <row r="2376" spans="30:31" ht="14" thickBot="1" x14ac:dyDescent="0.2">
      <c r="AD2376" s="98">
        <f t="shared" si="214"/>
        <v>47299</v>
      </c>
      <c r="AE2376" s="7">
        <f t="shared" si="216"/>
        <v>7319.7490432782288</v>
      </c>
    </row>
    <row r="2377" spans="30:31" ht="14" thickBot="1" x14ac:dyDescent="0.2">
      <c r="AD2377" s="98">
        <f t="shared" ref="AD2377:AD2440" si="217">AD2376+1</f>
        <v>47300</v>
      </c>
      <c r="AE2377" s="7">
        <f t="shared" si="216"/>
        <v>7333.5204910980483</v>
      </c>
    </row>
    <row r="2378" spans="30:31" ht="14" thickBot="1" x14ac:dyDescent="0.2">
      <c r="AD2378" s="98">
        <f t="shared" si="217"/>
        <v>47301</v>
      </c>
      <c r="AE2378" s="7">
        <f t="shared" si="216"/>
        <v>7347.3178486552006</v>
      </c>
    </row>
    <row r="2379" spans="30:31" ht="14" thickBot="1" x14ac:dyDescent="0.2">
      <c r="AD2379" s="98">
        <f t="shared" si="217"/>
        <v>47302</v>
      </c>
      <c r="AE2379" s="7">
        <f t="shared" si="216"/>
        <v>7361.1411646965198</v>
      </c>
    </row>
    <row r="2380" spans="30:31" ht="14" thickBot="1" x14ac:dyDescent="0.2">
      <c r="AD2380" s="98">
        <f t="shared" si="217"/>
        <v>47303</v>
      </c>
      <c r="AE2380" s="7">
        <f t="shared" si="216"/>
        <v>7374.9904880605545</v>
      </c>
    </row>
    <row r="2381" spans="30:31" ht="14" thickBot="1" x14ac:dyDescent="0.2">
      <c r="AD2381" s="98">
        <f t="shared" si="217"/>
        <v>47304</v>
      </c>
      <c r="AE2381" s="7">
        <f t="shared" si="216"/>
        <v>7388.8658676777359</v>
      </c>
    </row>
    <row r="2382" spans="30:31" ht="14" thickBot="1" x14ac:dyDescent="0.2">
      <c r="AD2382" s="98">
        <f t="shared" si="217"/>
        <v>47305</v>
      </c>
      <c r="AE2382" s="7">
        <f t="shared" si="216"/>
        <v>7402.7673525705559</v>
      </c>
    </row>
    <row r="2383" spans="30:31" ht="14" thickBot="1" x14ac:dyDescent="0.2">
      <c r="AD2383" s="98">
        <f t="shared" si="217"/>
        <v>47306</v>
      </c>
      <c r="AE2383" s="7">
        <f t="shared" si="216"/>
        <v>7416.6949918537366</v>
      </c>
    </row>
    <row r="2384" spans="30:31" ht="14" thickBot="1" x14ac:dyDescent="0.2">
      <c r="AD2384" s="98">
        <f t="shared" si="217"/>
        <v>47307</v>
      </c>
      <c r="AE2384" s="7">
        <f t="shared" si="216"/>
        <v>7430.6488347344048</v>
      </c>
    </row>
    <row r="2385" spans="30:31" ht="14" thickBot="1" x14ac:dyDescent="0.2">
      <c r="AD2385" s="98">
        <f t="shared" si="217"/>
        <v>47308</v>
      </c>
      <c r="AE2385" s="7">
        <f t="shared" si="216"/>
        <v>7444.6289305122673</v>
      </c>
    </row>
    <row r="2386" spans="30:31" ht="14" thickBot="1" x14ac:dyDescent="0.2">
      <c r="AD2386" s="98">
        <f t="shared" si="217"/>
        <v>47309</v>
      </c>
      <c r="AE2386" s="7">
        <f t="shared" si="216"/>
        <v>7458.6353285797823</v>
      </c>
    </row>
    <row r="2387" spans="30:31" ht="14" thickBot="1" x14ac:dyDescent="0.2">
      <c r="AD2387" s="98">
        <f t="shared" si="217"/>
        <v>47310</v>
      </c>
      <c r="AE2387" s="7">
        <f t="shared" si="216"/>
        <v>7472.6680784223363</v>
      </c>
    </row>
    <row r="2388" spans="30:31" ht="14" thickBot="1" x14ac:dyDescent="0.2">
      <c r="AD2388" s="98">
        <f t="shared" si="217"/>
        <v>47311</v>
      </c>
      <c r="AE2388" s="7">
        <f t="shared" si="216"/>
        <v>7486.7272296184174</v>
      </c>
    </row>
    <row r="2389" spans="30:31" ht="14" thickBot="1" x14ac:dyDescent="0.2">
      <c r="AD2389" s="98">
        <f t="shared" si="217"/>
        <v>47312</v>
      </c>
      <c r="AE2389" s="7">
        <f t="shared" si="216"/>
        <v>7500.812831839793</v>
      </c>
    </row>
    <row r="2390" spans="30:31" ht="14" thickBot="1" x14ac:dyDescent="0.2">
      <c r="AD2390" s="98">
        <f t="shared" si="217"/>
        <v>47313</v>
      </c>
      <c r="AE2390" s="7">
        <f t="shared" si="216"/>
        <v>7514.9249348516814</v>
      </c>
    </row>
    <row r="2391" spans="30:31" ht="14" thickBot="1" x14ac:dyDescent="0.2">
      <c r="AD2391" s="98">
        <f t="shared" si="217"/>
        <v>47314</v>
      </c>
      <c r="AE2391" s="7">
        <f t="shared" si="216"/>
        <v>7529.0635885129304</v>
      </c>
    </row>
    <row r="2392" spans="30:31" ht="14" thickBot="1" x14ac:dyDescent="0.2">
      <c r="AD2392" s="98">
        <f t="shared" si="217"/>
        <v>47315</v>
      </c>
      <c r="AE2392" s="7">
        <f t="shared" ref="AE2392:AE2422" si="218">AE2391*$AI$76</f>
        <v>7543.7014766237025</v>
      </c>
    </row>
    <row r="2393" spans="30:31" ht="14" thickBot="1" x14ac:dyDescent="0.2">
      <c r="AD2393" s="98">
        <f t="shared" si="217"/>
        <v>47316</v>
      </c>
      <c r="AE2393" s="7">
        <f t="shared" si="218"/>
        <v>7558.3678234884519</v>
      </c>
    </row>
    <row r="2394" spans="30:31" ht="14" thickBot="1" x14ac:dyDescent="0.2">
      <c r="AD2394" s="98">
        <f t="shared" si="217"/>
        <v>47317</v>
      </c>
      <c r="AE2394" s="7">
        <f t="shared" si="218"/>
        <v>7573.0626844362441</v>
      </c>
    </row>
    <row r="2395" spans="30:31" ht="14" thickBot="1" x14ac:dyDescent="0.2">
      <c r="AD2395" s="98">
        <f t="shared" si="217"/>
        <v>47318</v>
      </c>
      <c r="AE2395" s="7">
        <f t="shared" si="218"/>
        <v>7587.7861149037153</v>
      </c>
    </row>
    <row r="2396" spans="30:31" ht="14" thickBot="1" x14ac:dyDescent="0.2">
      <c r="AD2396" s="98">
        <f t="shared" si="217"/>
        <v>47319</v>
      </c>
      <c r="AE2396" s="7">
        <f t="shared" si="218"/>
        <v>7602.5381704352803</v>
      </c>
    </row>
    <row r="2397" spans="30:31" ht="14" thickBot="1" x14ac:dyDescent="0.2">
      <c r="AD2397" s="98">
        <f t="shared" si="217"/>
        <v>47320</v>
      </c>
      <c r="AE2397" s="7">
        <f t="shared" si="218"/>
        <v>7617.3189066833438</v>
      </c>
    </row>
    <row r="2398" spans="30:31" ht="14" thickBot="1" x14ac:dyDescent="0.2">
      <c r="AD2398" s="98">
        <f t="shared" si="217"/>
        <v>47321</v>
      </c>
      <c r="AE2398" s="7">
        <f t="shared" si="218"/>
        <v>7632.1283794085066</v>
      </c>
    </row>
    <row r="2399" spans="30:31" ht="14" thickBot="1" x14ac:dyDescent="0.2">
      <c r="AD2399" s="98">
        <f t="shared" si="217"/>
        <v>47322</v>
      </c>
      <c r="AE2399" s="7">
        <f t="shared" si="218"/>
        <v>7646.9666444797804</v>
      </c>
    </row>
    <row r="2400" spans="30:31" ht="14" thickBot="1" x14ac:dyDescent="0.2">
      <c r="AD2400" s="98">
        <f t="shared" si="217"/>
        <v>47323</v>
      </c>
      <c r="AE2400" s="7">
        <f t="shared" si="218"/>
        <v>7661.8337578747951</v>
      </c>
    </row>
    <row r="2401" spans="30:31" ht="14" thickBot="1" x14ac:dyDescent="0.2">
      <c r="AD2401" s="98">
        <f t="shared" si="217"/>
        <v>47324</v>
      </c>
      <c r="AE2401" s="7">
        <f t="shared" si="218"/>
        <v>7676.7297756800135</v>
      </c>
    </row>
    <row r="2402" spans="30:31" ht="14" thickBot="1" x14ac:dyDescent="0.2">
      <c r="AD2402" s="98">
        <f t="shared" si="217"/>
        <v>47325</v>
      </c>
      <c r="AE2402" s="7">
        <f t="shared" si="218"/>
        <v>7691.6547540909387</v>
      </c>
    </row>
    <row r="2403" spans="30:31" ht="14" thickBot="1" x14ac:dyDescent="0.2">
      <c r="AD2403" s="98">
        <f t="shared" si="217"/>
        <v>47326</v>
      </c>
      <c r="AE2403" s="7">
        <f t="shared" si="218"/>
        <v>7706.6087494123285</v>
      </c>
    </row>
    <row r="2404" spans="30:31" ht="14" thickBot="1" x14ac:dyDescent="0.2">
      <c r="AD2404" s="98">
        <f t="shared" si="217"/>
        <v>47327</v>
      </c>
      <c r="AE2404" s="7">
        <f t="shared" si="218"/>
        <v>7721.5918180584094</v>
      </c>
    </row>
    <row r="2405" spans="30:31" ht="14" thickBot="1" x14ac:dyDescent="0.2">
      <c r="AD2405" s="98">
        <f t="shared" si="217"/>
        <v>47328</v>
      </c>
      <c r="AE2405" s="7">
        <f t="shared" si="218"/>
        <v>7736.6040165530849</v>
      </c>
    </row>
    <row r="2406" spans="30:31" ht="14" thickBot="1" x14ac:dyDescent="0.2">
      <c r="AD2406" s="98">
        <f t="shared" si="217"/>
        <v>47329</v>
      </c>
      <c r="AE2406" s="7">
        <f t="shared" si="218"/>
        <v>7751.6454015301533</v>
      </c>
    </row>
    <row r="2407" spans="30:31" ht="14" thickBot="1" x14ac:dyDescent="0.2">
      <c r="AD2407" s="98">
        <f t="shared" si="217"/>
        <v>47330</v>
      </c>
      <c r="AE2407" s="7">
        <f t="shared" si="218"/>
        <v>7766.7160297335195</v>
      </c>
    </row>
    <row r="2408" spans="30:31" ht="14" thickBot="1" x14ac:dyDescent="0.2">
      <c r="AD2408" s="98">
        <f t="shared" si="217"/>
        <v>47331</v>
      </c>
      <c r="AE2408" s="7">
        <f t="shared" si="218"/>
        <v>7781.8159580174079</v>
      </c>
    </row>
    <row r="2409" spans="30:31" ht="14" thickBot="1" x14ac:dyDescent="0.2">
      <c r="AD2409" s="98">
        <f t="shared" si="217"/>
        <v>47332</v>
      </c>
      <c r="AE2409" s="7">
        <f t="shared" si="218"/>
        <v>7796.9452433465785</v>
      </c>
    </row>
    <row r="2410" spans="30:31" ht="14" thickBot="1" x14ac:dyDescent="0.2">
      <c r="AD2410" s="98">
        <f t="shared" si="217"/>
        <v>47333</v>
      </c>
      <c r="AE2410" s="7">
        <f t="shared" si="218"/>
        <v>7812.1039427965407</v>
      </c>
    </row>
    <row r="2411" spans="30:31" ht="14" thickBot="1" x14ac:dyDescent="0.2">
      <c r="AD2411" s="98">
        <f t="shared" si="217"/>
        <v>47334</v>
      </c>
      <c r="AE2411" s="7">
        <f t="shared" si="218"/>
        <v>7827.2921135537708</v>
      </c>
    </row>
    <row r="2412" spans="30:31" ht="14" thickBot="1" x14ac:dyDescent="0.2">
      <c r="AD2412" s="98">
        <f t="shared" si="217"/>
        <v>47335</v>
      </c>
      <c r="AE2412" s="7">
        <f t="shared" si="218"/>
        <v>7842.5098129159242</v>
      </c>
    </row>
    <row r="2413" spans="30:31" ht="14" thickBot="1" x14ac:dyDescent="0.2">
      <c r="AD2413" s="98">
        <f t="shared" si="217"/>
        <v>47336</v>
      </c>
      <c r="AE2413" s="7">
        <f t="shared" si="218"/>
        <v>7857.7570982920552</v>
      </c>
    </row>
    <row r="2414" spans="30:31" ht="14" thickBot="1" x14ac:dyDescent="0.2">
      <c r="AD2414" s="98">
        <f t="shared" si="217"/>
        <v>47337</v>
      </c>
      <c r="AE2414" s="7">
        <f t="shared" si="218"/>
        <v>7873.0340272028307</v>
      </c>
    </row>
    <row r="2415" spans="30:31" ht="14" thickBot="1" x14ac:dyDescent="0.2">
      <c r="AD2415" s="98">
        <f t="shared" si="217"/>
        <v>47338</v>
      </c>
      <c r="AE2415" s="7">
        <f t="shared" si="218"/>
        <v>7888.3406572807498</v>
      </c>
    </row>
    <row r="2416" spans="30:31" ht="14" thickBot="1" x14ac:dyDescent="0.2">
      <c r="AD2416" s="98">
        <f t="shared" si="217"/>
        <v>47339</v>
      </c>
      <c r="AE2416" s="7">
        <f t="shared" si="218"/>
        <v>7903.677046270358</v>
      </c>
    </row>
    <row r="2417" spans="30:31" ht="14" thickBot="1" x14ac:dyDescent="0.2">
      <c r="AD2417" s="98">
        <f t="shared" si="217"/>
        <v>47340</v>
      </c>
      <c r="AE2417" s="7">
        <f t="shared" si="218"/>
        <v>7919.0432520284676</v>
      </c>
    </row>
    <row r="2418" spans="30:31" ht="14" thickBot="1" x14ac:dyDescent="0.2">
      <c r="AD2418" s="98">
        <f t="shared" si="217"/>
        <v>47341</v>
      </c>
      <c r="AE2418" s="7">
        <f t="shared" si="218"/>
        <v>7934.4393325243755</v>
      </c>
    </row>
    <row r="2419" spans="30:31" ht="14" thickBot="1" x14ac:dyDescent="0.2">
      <c r="AD2419" s="98">
        <f t="shared" si="217"/>
        <v>47342</v>
      </c>
      <c r="AE2419" s="7">
        <f t="shared" si="218"/>
        <v>7949.8653458400822</v>
      </c>
    </row>
    <row r="2420" spans="30:31" ht="14" thickBot="1" x14ac:dyDescent="0.2">
      <c r="AD2420" s="98">
        <f t="shared" si="217"/>
        <v>47343</v>
      </c>
      <c r="AE2420" s="7">
        <f t="shared" si="218"/>
        <v>7965.3213501705086</v>
      </c>
    </row>
    <row r="2421" spans="30:31" ht="14" thickBot="1" x14ac:dyDescent="0.2">
      <c r="AD2421" s="98">
        <f t="shared" si="217"/>
        <v>47344</v>
      </c>
      <c r="AE2421" s="7">
        <f t="shared" si="218"/>
        <v>7980.8074038237182</v>
      </c>
    </row>
    <row r="2422" spans="30:31" ht="14" thickBot="1" x14ac:dyDescent="0.2">
      <c r="AD2422" s="98">
        <f t="shared" si="217"/>
        <v>47345</v>
      </c>
      <c r="AE2422" s="7">
        <f t="shared" si="218"/>
        <v>7996.323565221137</v>
      </c>
    </row>
    <row r="2423" spans="30:31" ht="14" thickBot="1" x14ac:dyDescent="0.2">
      <c r="AD2423" s="98">
        <f t="shared" si="217"/>
        <v>47346</v>
      </c>
      <c r="AE2423" s="7">
        <f t="shared" ref="AE2423:AE2453" si="219">AE2422*$AI$77</f>
        <v>8011.367926998807</v>
      </c>
    </row>
    <row r="2424" spans="30:31" ht="14" thickBot="1" x14ac:dyDescent="0.2">
      <c r="AD2424" s="98">
        <f t="shared" si="217"/>
        <v>47347</v>
      </c>
      <c r="AE2424" s="7">
        <f t="shared" si="219"/>
        <v>8026.4405933866456</v>
      </c>
    </row>
    <row r="2425" spans="30:31" ht="14" thickBot="1" x14ac:dyDescent="0.2">
      <c r="AD2425" s="98">
        <f t="shared" si="217"/>
        <v>47348</v>
      </c>
      <c r="AE2425" s="7">
        <f t="shared" si="219"/>
        <v>8041.5416176372255</v>
      </c>
    </row>
    <row r="2426" spans="30:31" ht="14" thickBot="1" x14ac:dyDescent="0.2">
      <c r="AD2426" s="98">
        <f t="shared" si="217"/>
        <v>47349</v>
      </c>
      <c r="AE2426" s="7">
        <f t="shared" si="219"/>
        <v>8056.6710531033077</v>
      </c>
    </row>
    <row r="2427" spans="30:31" ht="14" thickBot="1" x14ac:dyDescent="0.2">
      <c r="AD2427" s="98">
        <f t="shared" si="217"/>
        <v>47350</v>
      </c>
      <c r="AE2427" s="7">
        <f t="shared" si="219"/>
        <v>8071.8289532380322</v>
      </c>
    </row>
    <row r="2428" spans="30:31" ht="14" thickBot="1" x14ac:dyDescent="0.2">
      <c r="AD2428" s="98">
        <f t="shared" si="217"/>
        <v>47351</v>
      </c>
      <c r="AE2428" s="7">
        <f t="shared" si="219"/>
        <v>8087.0153715951074</v>
      </c>
    </row>
    <row r="2429" spans="30:31" ht="14" thickBot="1" x14ac:dyDescent="0.2">
      <c r="AD2429" s="98">
        <f t="shared" si="217"/>
        <v>47352</v>
      </c>
      <c r="AE2429" s="7">
        <f t="shared" si="219"/>
        <v>8102.2303618289961</v>
      </c>
    </row>
    <row r="2430" spans="30:31" ht="14" thickBot="1" x14ac:dyDescent="0.2">
      <c r="AD2430" s="98">
        <f t="shared" si="217"/>
        <v>47353</v>
      </c>
      <c r="AE2430" s="7">
        <f t="shared" si="219"/>
        <v>8117.4739776951092</v>
      </c>
    </row>
    <row r="2431" spans="30:31" ht="14" thickBot="1" x14ac:dyDescent="0.2">
      <c r="AD2431" s="98">
        <f t="shared" si="217"/>
        <v>47354</v>
      </c>
      <c r="AE2431" s="7">
        <f t="shared" si="219"/>
        <v>8132.7462730499919</v>
      </c>
    </row>
    <row r="2432" spans="30:31" ht="14" thickBot="1" x14ac:dyDescent="0.2">
      <c r="AD2432" s="98">
        <f t="shared" si="217"/>
        <v>47355</v>
      </c>
      <c r="AE2432" s="7">
        <f t="shared" si="219"/>
        <v>8148.0473018515167</v>
      </c>
    </row>
    <row r="2433" spans="30:31" ht="14" thickBot="1" x14ac:dyDescent="0.2">
      <c r="AD2433" s="98">
        <f t="shared" si="217"/>
        <v>47356</v>
      </c>
      <c r="AE2433" s="7">
        <f t="shared" si="219"/>
        <v>8163.3771181590728</v>
      </c>
    </row>
    <row r="2434" spans="30:31" ht="14" thickBot="1" x14ac:dyDescent="0.2">
      <c r="AD2434" s="98">
        <f t="shared" si="217"/>
        <v>47357</v>
      </c>
      <c r="AE2434" s="7">
        <f t="shared" si="219"/>
        <v>8178.7357761337571</v>
      </c>
    </row>
    <row r="2435" spans="30:31" ht="14" thickBot="1" x14ac:dyDescent="0.2">
      <c r="AD2435" s="98">
        <f t="shared" si="217"/>
        <v>47358</v>
      </c>
      <c r="AE2435" s="7">
        <f t="shared" si="219"/>
        <v>8194.1233300385647</v>
      </c>
    </row>
    <row r="2436" spans="30:31" ht="14" thickBot="1" x14ac:dyDescent="0.2">
      <c r="AD2436" s="98">
        <f t="shared" si="217"/>
        <v>47359</v>
      </c>
      <c r="AE2436" s="7">
        <f t="shared" si="219"/>
        <v>8209.5398342385852</v>
      </c>
    </row>
    <row r="2437" spans="30:31" ht="14" thickBot="1" x14ac:dyDescent="0.2">
      <c r="AD2437" s="98">
        <f t="shared" si="217"/>
        <v>47360</v>
      </c>
      <c r="AE2437" s="7">
        <f t="shared" si="219"/>
        <v>8224.985343201186</v>
      </c>
    </row>
    <row r="2438" spans="30:31" ht="14" thickBot="1" x14ac:dyDescent="0.2">
      <c r="AD2438" s="98">
        <f t="shared" si="217"/>
        <v>47361</v>
      </c>
      <c r="AE2438" s="7">
        <f t="shared" si="219"/>
        <v>8240.459911496213</v>
      </c>
    </row>
    <row r="2439" spans="30:31" ht="14" thickBot="1" x14ac:dyDescent="0.2">
      <c r="AD2439" s="98">
        <f t="shared" si="217"/>
        <v>47362</v>
      </c>
      <c r="AE2439" s="7">
        <f t="shared" si="219"/>
        <v>8255.9635937961812</v>
      </c>
    </row>
    <row r="2440" spans="30:31" ht="14" thickBot="1" x14ac:dyDescent="0.2">
      <c r="AD2440" s="98">
        <f t="shared" si="217"/>
        <v>47363</v>
      </c>
      <c r="AE2440" s="7">
        <f t="shared" si="219"/>
        <v>8271.4964448764658</v>
      </c>
    </row>
    <row r="2441" spans="30:31" ht="14" thickBot="1" x14ac:dyDescent="0.2">
      <c r="AD2441" s="98">
        <f t="shared" ref="AD2441:AD2504" si="220">AD2440+1</f>
        <v>47364</v>
      </c>
      <c r="AE2441" s="7">
        <f t="shared" si="219"/>
        <v>8287.0585196154952</v>
      </c>
    </row>
    <row r="2442" spans="30:31" ht="14" thickBot="1" x14ac:dyDescent="0.2">
      <c r="AD2442" s="98">
        <f t="shared" si="220"/>
        <v>47365</v>
      </c>
      <c r="AE2442" s="7">
        <f t="shared" si="219"/>
        <v>8302.649872994949</v>
      </c>
    </row>
    <row r="2443" spans="30:31" ht="14" thickBot="1" x14ac:dyDescent="0.2">
      <c r="AD2443" s="98">
        <f t="shared" si="220"/>
        <v>47366</v>
      </c>
      <c r="AE2443" s="7">
        <f t="shared" si="219"/>
        <v>8318.2705600999489</v>
      </c>
    </row>
    <row r="2444" spans="30:31" ht="14" thickBot="1" x14ac:dyDescent="0.2">
      <c r="AD2444" s="98">
        <f t="shared" si="220"/>
        <v>47367</v>
      </c>
      <c r="AE2444" s="7">
        <f t="shared" si="219"/>
        <v>8333.9206361192555</v>
      </c>
    </row>
    <row r="2445" spans="30:31" ht="14" thickBot="1" x14ac:dyDescent="0.2">
      <c r="AD2445" s="98">
        <f t="shared" si="220"/>
        <v>47368</v>
      </c>
      <c r="AE2445" s="7">
        <f t="shared" si="219"/>
        <v>8349.6001563454611</v>
      </c>
    </row>
    <row r="2446" spans="30:31" ht="14" thickBot="1" x14ac:dyDescent="0.2">
      <c r="AD2446" s="98">
        <f t="shared" si="220"/>
        <v>47369</v>
      </c>
      <c r="AE2446" s="7">
        <f t="shared" si="219"/>
        <v>8365.3091761751857</v>
      </c>
    </row>
    <row r="2447" spans="30:31" ht="14" thickBot="1" x14ac:dyDescent="0.2">
      <c r="AD2447" s="98">
        <f t="shared" si="220"/>
        <v>47370</v>
      </c>
      <c r="AE2447" s="7">
        <f t="shared" si="219"/>
        <v>8381.047751109274</v>
      </c>
    </row>
    <row r="2448" spans="30:31" ht="14" thickBot="1" x14ac:dyDescent="0.2">
      <c r="AD2448" s="98">
        <f t="shared" si="220"/>
        <v>47371</v>
      </c>
      <c r="AE2448" s="7">
        <f t="shared" si="219"/>
        <v>8396.8159367529879</v>
      </c>
    </row>
    <row r="2449" spans="30:31" ht="14" thickBot="1" x14ac:dyDescent="0.2">
      <c r="AD2449" s="98">
        <f t="shared" si="220"/>
        <v>47372</v>
      </c>
      <c r="AE2449" s="7">
        <f t="shared" si="219"/>
        <v>8412.6137888162102</v>
      </c>
    </row>
    <row r="2450" spans="30:31" ht="14" thickBot="1" x14ac:dyDescent="0.2">
      <c r="AD2450" s="98">
        <f t="shared" si="220"/>
        <v>47373</v>
      </c>
      <c r="AE2450" s="7">
        <f t="shared" si="219"/>
        <v>8428.4413631136322</v>
      </c>
    </row>
    <row r="2451" spans="30:31" ht="14" thickBot="1" x14ac:dyDescent="0.2">
      <c r="AD2451" s="98">
        <f t="shared" si="220"/>
        <v>47374</v>
      </c>
      <c r="AE2451" s="7">
        <f t="shared" si="219"/>
        <v>8444.2987155649589</v>
      </c>
    </row>
    <row r="2452" spans="30:31" ht="14" thickBot="1" x14ac:dyDescent="0.2">
      <c r="AD2452" s="98">
        <f t="shared" si="220"/>
        <v>47375</v>
      </c>
      <c r="AE2452" s="7">
        <f t="shared" si="219"/>
        <v>8460.1859021951022</v>
      </c>
    </row>
    <row r="2453" spans="30:31" ht="14" thickBot="1" x14ac:dyDescent="0.2">
      <c r="AD2453" s="98">
        <f t="shared" si="220"/>
        <v>47376</v>
      </c>
      <c r="AE2453" s="7">
        <f t="shared" si="219"/>
        <v>8476.1029791343772</v>
      </c>
    </row>
    <row r="2454" spans="30:31" ht="14" thickBot="1" x14ac:dyDescent="0.2">
      <c r="AD2454" s="98">
        <f t="shared" si="220"/>
        <v>47377</v>
      </c>
      <c r="AE2454" s="7">
        <f t="shared" ref="AE2454:AE2483" si="221">AE2453*$AI$78</f>
        <v>8492.0500026187074</v>
      </c>
    </row>
    <row r="2455" spans="30:31" ht="14" thickBot="1" x14ac:dyDescent="0.2">
      <c r="AD2455" s="98">
        <f t="shared" si="220"/>
        <v>47378</v>
      </c>
      <c r="AE2455" s="7">
        <f t="shared" si="221"/>
        <v>8508.0270289898162</v>
      </c>
    </row>
    <row r="2456" spans="30:31" ht="14" thickBot="1" x14ac:dyDescent="0.2">
      <c r="AD2456" s="98">
        <f t="shared" si="220"/>
        <v>47379</v>
      </c>
      <c r="AE2456" s="7">
        <f t="shared" si="221"/>
        <v>8524.0341146954306</v>
      </c>
    </row>
    <row r="2457" spans="30:31" ht="14" thickBot="1" x14ac:dyDescent="0.2">
      <c r="AD2457" s="98">
        <f t="shared" si="220"/>
        <v>47380</v>
      </c>
      <c r="AE2457" s="7">
        <f t="shared" si="221"/>
        <v>8540.0713162894772</v>
      </c>
    </row>
    <row r="2458" spans="30:31" ht="14" thickBot="1" x14ac:dyDescent="0.2">
      <c r="AD2458" s="98">
        <f t="shared" si="220"/>
        <v>47381</v>
      </c>
      <c r="AE2458" s="7">
        <f t="shared" si="221"/>
        <v>8556.1386904322862</v>
      </c>
    </row>
    <row r="2459" spans="30:31" ht="14" thickBot="1" x14ac:dyDescent="0.2">
      <c r="AD2459" s="98">
        <f t="shared" si="220"/>
        <v>47382</v>
      </c>
      <c r="AE2459" s="7">
        <f t="shared" si="221"/>
        <v>8572.2362938907863</v>
      </c>
    </row>
    <row r="2460" spans="30:31" ht="14" thickBot="1" x14ac:dyDescent="0.2">
      <c r="AD2460" s="98">
        <f t="shared" si="220"/>
        <v>47383</v>
      </c>
      <c r="AE2460" s="7">
        <f t="shared" si="221"/>
        <v>8588.3641835387079</v>
      </c>
    </row>
    <row r="2461" spans="30:31" ht="14" thickBot="1" x14ac:dyDescent="0.2">
      <c r="AD2461" s="98">
        <f t="shared" si="220"/>
        <v>47384</v>
      </c>
      <c r="AE2461" s="7">
        <f t="shared" si="221"/>
        <v>8604.5224163567873</v>
      </c>
    </row>
    <row r="2462" spans="30:31" ht="14" thickBot="1" x14ac:dyDescent="0.2">
      <c r="AD2462" s="98">
        <f t="shared" si="220"/>
        <v>47385</v>
      </c>
      <c r="AE2462" s="7">
        <f t="shared" si="221"/>
        <v>8620.7110494329627</v>
      </c>
    </row>
    <row r="2463" spans="30:31" ht="14" thickBot="1" x14ac:dyDescent="0.2">
      <c r="AD2463" s="98">
        <f t="shared" si="220"/>
        <v>47386</v>
      </c>
      <c r="AE2463" s="7">
        <f t="shared" si="221"/>
        <v>8636.9301399625801</v>
      </c>
    </row>
    <row r="2464" spans="30:31" ht="14" thickBot="1" x14ac:dyDescent="0.2">
      <c r="AD2464" s="98">
        <f t="shared" si="220"/>
        <v>47387</v>
      </c>
      <c r="AE2464" s="7">
        <f t="shared" si="221"/>
        <v>8653.1797452485898</v>
      </c>
    </row>
    <row r="2465" spans="30:31" ht="14" thickBot="1" x14ac:dyDescent="0.2">
      <c r="AD2465" s="98">
        <f t="shared" si="220"/>
        <v>47388</v>
      </c>
      <c r="AE2465" s="7">
        <f t="shared" si="221"/>
        <v>8669.4599227017552</v>
      </c>
    </row>
    <row r="2466" spans="30:31" ht="14" thickBot="1" x14ac:dyDescent="0.2">
      <c r="AD2466" s="98">
        <f t="shared" si="220"/>
        <v>47389</v>
      </c>
      <c r="AE2466" s="7">
        <f t="shared" si="221"/>
        <v>8685.7707298408513</v>
      </c>
    </row>
    <row r="2467" spans="30:31" ht="14" thickBot="1" x14ac:dyDescent="0.2">
      <c r="AD2467" s="98">
        <f t="shared" si="220"/>
        <v>47390</v>
      </c>
      <c r="AE2467" s="7">
        <f t="shared" si="221"/>
        <v>8702.1122242928723</v>
      </c>
    </row>
    <row r="2468" spans="30:31" ht="14" thickBot="1" x14ac:dyDescent="0.2">
      <c r="AD2468" s="98">
        <f t="shared" si="220"/>
        <v>47391</v>
      </c>
      <c r="AE2468" s="7">
        <f t="shared" si="221"/>
        <v>8718.4844637932292</v>
      </c>
    </row>
    <row r="2469" spans="30:31" ht="14" thickBot="1" x14ac:dyDescent="0.2">
      <c r="AD2469" s="98">
        <f t="shared" si="220"/>
        <v>47392</v>
      </c>
      <c r="AE2469" s="7">
        <f t="shared" si="221"/>
        <v>8734.887506185958</v>
      </c>
    </row>
    <row r="2470" spans="30:31" ht="14" thickBot="1" x14ac:dyDescent="0.2">
      <c r="AD2470" s="98">
        <f t="shared" si="220"/>
        <v>47393</v>
      </c>
      <c r="AE2470" s="7">
        <f t="shared" si="221"/>
        <v>8751.3214094239247</v>
      </c>
    </row>
    <row r="2471" spans="30:31" ht="14" thickBot="1" x14ac:dyDescent="0.2">
      <c r="AD2471" s="98">
        <f t="shared" si="220"/>
        <v>47394</v>
      </c>
      <c r="AE2471" s="7">
        <f t="shared" si="221"/>
        <v>8767.7862315690254</v>
      </c>
    </row>
    <row r="2472" spans="30:31" ht="14" thickBot="1" x14ac:dyDescent="0.2">
      <c r="AD2472" s="98">
        <f t="shared" si="220"/>
        <v>47395</v>
      </c>
      <c r="AE2472" s="7">
        <f t="shared" si="221"/>
        <v>8784.2820307923976</v>
      </c>
    </row>
    <row r="2473" spans="30:31" ht="14" thickBot="1" x14ac:dyDescent="0.2">
      <c r="AD2473" s="98">
        <f t="shared" si="220"/>
        <v>47396</v>
      </c>
      <c r="AE2473" s="7">
        <f t="shared" si="221"/>
        <v>8800.8088653746181</v>
      </c>
    </row>
    <row r="2474" spans="30:31" ht="14" thickBot="1" x14ac:dyDescent="0.2">
      <c r="AD2474" s="98">
        <f t="shared" si="220"/>
        <v>47397</v>
      </c>
      <c r="AE2474" s="7">
        <f t="shared" si="221"/>
        <v>8817.3667937059181</v>
      </c>
    </row>
    <row r="2475" spans="30:31" ht="14" thickBot="1" x14ac:dyDescent="0.2">
      <c r="AD2475" s="98">
        <f t="shared" si="220"/>
        <v>47398</v>
      </c>
      <c r="AE2475" s="7">
        <f t="shared" si="221"/>
        <v>8833.9558742863828</v>
      </c>
    </row>
    <row r="2476" spans="30:31" ht="14" thickBot="1" x14ac:dyDescent="0.2">
      <c r="AD2476" s="98">
        <f t="shared" si="220"/>
        <v>47399</v>
      </c>
      <c r="AE2476" s="7">
        <f t="shared" si="221"/>
        <v>8850.576165726161</v>
      </c>
    </row>
    <row r="2477" spans="30:31" ht="14" thickBot="1" x14ac:dyDescent="0.2">
      <c r="AD2477" s="98">
        <f t="shared" si="220"/>
        <v>47400</v>
      </c>
      <c r="AE2477" s="7">
        <f t="shared" si="221"/>
        <v>8867.2277267456684</v>
      </c>
    </row>
    <row r="2478" spans="30:31" ht="14" thickBot="1" x14ac:dyDescent="0.2">
      <c r="AD2478" s="98">
        <f t="shared" si="220"/>
        <v>47401</v>
      </c>
      <c r="AE2478" s="7">
        <f t="shared" si="221"/>
        <v>8883.9106161758009</v>
      </c>
    </row>
    <row r="2479" spans="30:31" ht="14" thickBot="1" x14ac:dyDescent="0.2">
      <c r="AD2479" s="98">
        <f t="shared" si="220"/>
        <v>47402</v>
      </c>
      <c r="AE2479" s="7">
        <f t="shared" si="221"/>
        <v>8900.6248929581379</v>
      </c>
    </row>
    <row r="2480" spans="30:31" ht="14" thickBot="1" x14ac:dyDescent="0.2">
      <c r="AD2480" s="98">
        <f t="shared" si="220"/>
        <v>47403</v>
      </c>
      <c r="AE2480" s="7">
        <f t="shared" si="221"/>
        <v>8917.3706161451537</v>
      </c>
    </row>
    <row r="2481" spans="30:31" ht="14" thickBot="1" x14ac:dyDescent="0.2">
      <c r="AD2481" s="98">
        <f t="shared" si="220"/>
        <v>47404</v>
      </c>
      <c r="AE2481" s="7">
        <f t="shared" si="221"/>
        <v>8934.1478449004208</v>
      </c>
    </row>
    <row r="2482" spans="30:31" ht="14" thickBot="1" x14ac:dyDescent="0.2">
      <c r="AD2482" s="98">
        <f t="shared" si="220"/>
        <v>47405</v>
      </c>
      <c r="AE2482" s="7">
        <f t="shared" si="221"/>
        <v>8950.9566384988266</v>
      </c>
    </row>
    <row r="2483" spans="30:31" ht="14" thickBot="1" x14ac:dyDescent="0.2">
      <c r="AD2483" s="98">
        <f t="shared" si="220"/>
        <v>47406</v>
      </c>
      <c r="AE2483" s="7">
        <f t="shared" si="221"/>
        <v>8967.7970563267772</v>
      </c>
    </row>
    <row r="2484" spans="30:31" ht="14" thickBot="1" x14ac:dyDescent="0.2">
      <c r="AD2484" s="98">
        <f t="shared" si="220"/>
        <v>47407</v>
      </c>
      <c r="AE2484" s="7">
        <f t="shared" ref="AE2484:AE2514" si="222">AE2483*$AI$79</f>
        <v>8985.2321076273001</v>
      </c>
    </row>
    <row r="2485" spans="30:31" ht="14" thickBot="1" x14ac:dyDescent="0.2">
      <c r="AD2485" s="98">
        <f t="shared" si="220"/>
        <v>47408</v>
      </c>
      <c r="AE2485" s="7">
        <f t="shared" si="222"/>
        <v>9002.7010558828879</v>
      </c>
    </row>
    <row r="2486" spans="30:31" ht="14" thickBot="1" x14ac:dyDescent="0.2">
      <c r="AD2486" s="98">
        <f t="shared" si="220"/>
        <v>47409</v>
      </c>
      <c r="AE2486" s="7">
        <f t="shared" si="222"/>
        <v>9020.2039669954738</v>
      </c>
    </row>
    <row r="2487" spans="30:31" ht="14" thickBot="1" x14ac:dyDescent="0.2">
      <c r="AD2487" s="98">
        <f t="shared" si="220"/>
        <v>47410</v>
      </c>
      <c r="AE2487" s="7">
        <f t="shared" si="222"/>
        <v>9037.7409069951136</v>
      </c>
    </row>
    <row r="2488" spans="30:31" ht="14" thickBot="1" x14ac:dyDescent="0.2">
      <c r="AD2488" s="98">
        <f t="shared" si="220"/>
        <v>47411</v>
      </c>
      <c r="AE2488" s="7">
        <f t="shared" si="222"/>
        <v>9055.31194204024</v>
      </c>
    </row>
    <row r="2489" spans="30:31" ht="14" thickBot="1" x14ac:dyDescent="0.2">
      <c r="AD2489" s="98">
        <f t="shared" si="220"/>
        <v>47412</v>
      </c>
      <c r="AE2489" s="7">
        <f t="shared" si="222"/>
        <v>9072.9171384179081</v>
      </c>
    </row>
    <row r="2490" spans="30:31" ht="14" thickBot="1" x14ac:dyDescent="0.2">
      <c r="AD2490" s="98">
        <f t="shared" si="220"/>
        <v>47413</v>
      </c>
      <c r="AE2490" s="7">
        <f t="shared" si="222"/>
        <v>9090.5565625440486</v>
      </c>
    </row>
    <row r="2491" spans="30:31" ht="14" thickBot="1" x14ac:dyDescent="0.2">
      <c r="AD2491" s="98">
        <f t="shared" si="220"/>
        <v>47414</v>
      </c>
      <c r="AE2491" s="7">
        <f t="shared" si="222"/>
        <v>9108.2302809637185</v>
      </c>
    </row>
    <row r="2492" spans="30:31" ht="14" thickBot="1" x14ac:dyDescent="0.2">
      <c r="AD2492" s="98">
        <f t="shared" si="220"/>
        <v>47415</v>
      </c>
      <c r="AE2492" s="7">
        <f t="shared" si="222"/>
        <v>9125.938360351347</v>
      </c>
    </row>
    <row r="2493" spans="30:31" ht="14" thickBot="1" x14ac:dyDescent="0.2">
      <c r="AD2493" s="98">
        <f t="shared" si="220"/>
        <v>47416</v>
      </c>
      <c r="AE2493" s="7">
        <f t="shared" si="222"/>
        <v>9143.6808675109933</v>
      </c>
    </row>
    <row r="2494" spans="30:31" ht="14" thickBot="1" x14ac:dyDescent="0.2">
      <c r="AD2494" s="98">
        <f t="shared" si="220"/>
        <v>47417</v>
      </c>
      <c r="AE2494" s="7">
        <f t="shared" si="222"/>
        <v>9161.4578693765961</v>
      </c>
    </row>
    <row r="2495" spans="30:31" ht="14" thickBot="1" x14ac:dyDescent="0.2">
      <c r="AD2495" s="98">
        <f t="shared" si="220"/>
        <v>47418</v>
      </c>
      <c r="AE2495" s="7">
        <f t="shared" si="222"/>
        <v>9179.2694330122231</v>
      </c>
    </row>
    <row r="2496" spans="30:31" ht="14" thickBot="1" x14ac:dyDescent="0.2">
      <c r="AD2496" s="98">
        <f t="shared" si="220"/>
        <v>47419</v>
      </c>
      <c r="AE2496" s="7">
        <f t="shared" si="222"/>
        <v>9197.1156256123304</v>
      </c>
    </row>
    <row r="2497" spans="30:31" ht="14" thickBot="1" x14ac:dyDescent="0.2">
      <c r="AD2497" s="98">
        <f t="shared" si="220"/>
        <v>47420</v>
      </c>
      <c r="AE2497" s="7">
        <f t="shared" si="222"/>
        <v>9214.9965145020124</v>
      </c>
    </row>
    <row r="2498" spans="30:31" ht="14" thickBot="1" x14ac:dyDescent="0.2">
      <c r="AD2498" s="98">
        <f t="shared" si="220"/>
        <v>47421</v>
      </c>
      <c r="AE2498" s="7">
        <f t="shared" si="222"/>
        <v>9232.9121671372523</v>
      </c>
    </row>
    <row r="2499" spans="30:31" ht="14" thickBot="1" x14ac:dyDescent="0.2">
      <c r="AD2499" s="98">
        <f t="shared" si="220"/>
        <v>47422</v>
      </c>
      <c r="AE2499" s="7">
        <f t="shared" si="222"/>
        <v>9250.8626511051843</v>
      </c>
    </row>
    <row r="2500" spans="30:31" ht="14" thickBot="1" x14ac:dyDescent="0.2">
      <c r="AD2500" s="98">
        <f t="shared" si="220"/>
        <v>47423</v>
      </c>
      <c r="AE2500" s="7">
        <f t="shared" si="222"/>
        <v>9268.8480341243412</v>
      </c>
    </row>
    <row r="2501" spans="30:31" ht="14" thickBot="1" x14ac:dyDescent="0.2">
      <c r="AD2501" s="98">
        <f t="shared" si="220"/>
        <v>47424</v>
      </c>
      <c r="AE2501" s="7">
        <f t="shared" si="222"/>
        <v>9286.8683840449157</v>
      </c>
    </row>
    <row r="2502" spans="30:31" ht="14" thickBot="1" x14ac:dyDescent="0.2">
      <c r="AD2502" s="98">
        <f t="shared" si="220"/>
        <v>47425</v>
      </c>
      <c r="AE2502" s="7">
        <f t="shared" si="222"/>
        <v>9304.923768849012</v>
      </c>
    </row>
    <row r="2503" spans="30:31" ht="14" thickBot="1" x14ac:dyDescent="0.2">
      <c r="AD2503" s="98">
        <f t="shared" si="220"/>
        <v>47426</v>
      </c>
      <c r="AE2503" s="7">
        <f t="shared" si="222"/>
        <v>9323.0142566509057</v>
      </c>
    </row>
    <row r="2504" spans="30:31" ht="14" thickBot="1" x14ac:dyDescent="0.2">
      <c r="AD2504" s="98">
        <f t="shared" si="220"/>
        <v>47427</v>
      </c>
      <c r="AE2504" s="7">
        <f t="shared" si="222"/>
        <v>9341.1399156972966</v>
      </c>
    </row>
    <row r="2505" spans="30:31" ht="14" thickBot="1" x14ac:dyDescent="0.2">
      <c r="AD2505" s="98">
        <f t="shared" ref="AD2505:AD2568" si="223">AD2504+1</f>
        <v>47428</v>
      </c>
      <c r="AE2505" s="7">
        <f t="shared" si="222"/>
        <v>9359.3008143675725</v>
      </c>
    </row>
    <row r="2506" spans="30:31" ht="14" thickBot="1" x14ac:dyDescent="0.2">
      <c r="AD2506" s="98">
        <f t="shared" si="223"/>
        <v>47429</v>
      </c>
      <c r="AE2506" s="7">
        <f t="shared" si="222"/>
        <v>9377.4970211740583</v>
      </c>
    </row>
    <row r="2507" spans="30:31" ht="14" thickBot="1" x14ac:dyDescent="0.2">
      <c r="AD2507" s="98">
        <f t="shared" si="223"/>
        <v>47430</v>
      </c>
      <c r="AE2507" s="7">
        <f t="shared" si="222"/>
        <v>9395.7286047622838</v>
      </c>
    </row>
    <row r="2508" spans="30:31" ht="14" thickBot="1" x14ac:dyDescent="0.2">
      <c r="AD2508" s="98">
        <f t="shared" si="223"/>
        <v>47431</v>
      </c>
      <c r="AE2508" s="7">
        <f t="shared" si="222"/>
        <v>9413.9956339112377</v>
      </c>
    </row>
    <row r="2509" spans="30:31" ht="14" thickBot="1" x14ac:dyDescent="0.2">
      <c r="AD2509" s="98">
        <f t="shared" si="223"/>
        <v>47432</v>
      </c>
      <c r="AE2509" s="7">
        <f t="shared" si="222"/>
        <v>9432.2981775336248</v>
      </c>
    </row>
    <row r="2510" spans="30:31" ht="14" thickBot="1" x14ac:dyDescent="0.2">
      <c r="AD2510" s="98">
        <f t="shared" si="223"/>
        <v>47433</v>
      </c>
      <c r="AE2510" s="7">
        <f t="shared" si="222"/>
        <v>9450.6363046761326</v>
      </c>
    </row>
    <row r="2511" spans="30:31" ht="14" thickBot="1" x14ac:dyDescent="0.2">
      <c r="AD2511" s="98">
        <f t="shared" si="223"/>
        <v>47434</v>
      </c>
      <c r="AE2511" s="7">
        <f t="shared" si="222"/>
        <v>9469.0100845196866</v>
      </c>
    </row>
    <row r="2512" spans="30:31" ht="14" thickBot="1" x14ac:dyDescent="0.2">
      <c r="AD2512" s="98">
        <f t="shared" si="223"/>
        <v>47435</v>
      </c>
      <c r="AE2512" s="7">
        <f t="shared" si="222"/>
        <v>9487.4195863797104</v>
      </c>
    </row>
    <row r="2513" spans="30:31" ht="14" thickBot="1" x14ac:dyDescent="0.2">
      <c r="AD2513" s="98">
        <f t="shared" si="223"/>
        <v>47436</v>
      </c>
      <c r="AE2513" s="7">
        <f t="shared" si="222"/>
        <v>9505.8648797063943</v>
      </c>
    </row>
    <row r="2514" spans="30:31" ht="14" thickBot="1" x14ac:dyDescent="0.2">
      <c r="AD2514" s="98">
        <f t="shared" si="223"/>
        <v>47437</v>
      </c>
      <c r="AE2514" s="7">
        <f t="shared" si="222"/>
        <v>9524.3460340849488</v>
      </c>
    </row>
    <row r="2515" spans="30:31" ht="14" thickBot="1" x14ac:dyDescent="0.2">
      <c r="AD2515" s="98">
        <f t="shared" si="223"/>
        <v>47438</v>
      </c>
      <c r="AE2515" s="7">
        <f t="shared" ref="AE2515:AE2544" si="224">AE2514*$AI$80</f>
        <v>9542.2652323594793</v>
      </c>
    </row>
    <row r="2516" spans="30:31" ht="14" thickBot="1" x14ac:dyDescent="0.2">
      <c r="AD2516" s="98">
        <f t="shared" si="223"/>
        <v>47439</v>
      </c>
      <c r="AE2516" s="7">
        <f t="shared" si="224"/>
        <v>9560.2181439898286</v>
      </c>
    </row>
    <row r="2517" spans="30:31" ht="14" thickBot="1" x14ac:dyDescent="0.2">
      <c r="AD2517" s="98">
        <f t="shared" si="223"/>
        <v>47440</v>
      </c>
      <c r="AE2517" s="7">
        <f t="shared" si="224"/>
        <v>9578.2048324046373</v>
      </c>
    </row>
    <row r="2518" spans="30:31" ht="14" thickBot="1" x14ac:dyDescent="0.2">
      <c r="AD2518" s="98">
        <f t="shared" si="223"/>
        <v>47441</v>
      </c>
      <c r="AE2518" s="7">
        <f t="shared" si="224"/>
        <v>9596.2253611518809</v>
      </c>
    </row>
    <row r="2519" spans="30:31" ht="14" thickBot="1" x14ac:dyDescent="0.2">
      <c r="AD2519" s="98">
        <f t="shared" si="223"/>
        <v>47442</v>
      </c>
      <c r="AE2519" s="7">
        <f t="shared" si="224"/>
        <v>9614.2797938990916</v>
      </c>
    </row>
    <row r="2520" spans="30:31" ht="14" thickBot="1" x14ac:dyDescent="0.2">
      <c r="AD2520" s="98">
        <f t="shared" si="223"/>
        <v>47443</v>
      </c>
      <c r="AE2520" s="7">
        <f t="shared" si="224"/>
        <v>9632.3681944335895</v>
      </c>
    </row>
    <row r="2521" spans="30:31" ht="14" thickBot="1" x14ac:dyDescent="0.2">
      <c r="AD2521" s="98">
        <f t="shared" si="223"/>
        <v>47444</v>
      </c>
      <c r="AE2521" s="7">
        <f t="shared" si="224"/>
        <v>9650.4906266627022</v>
      </c>
    </row>
    <row r="2522" spans="30:31" ht="14" thickBot="1" x14ac:dyDescent="0.2">
      <c r="AD2522" s="98">
        <f t="shared" si="223"/>
        <v>47445</v>
      </c>
      <c r="AE2522" s="7">
        <f t="shared" si="224"/>
        <v>9668.6471546139965</v>
      </c>
    </row>
    <row r="2523" spans="30:31" ht="14" thickBot="1" x14ac:dyDescent="0.2">
      <c r="AD2523" s="98">
        <f t="shared" si="223"/>
        <v>47446</v>
      </c>
      <c r="AE2523" s="7">
        <f t="shared" si="224"/>
        <v>9686.8378424354978</v>
      </c>
    </row>
    <row r="2524" spans="30:31" ht="14" thickBot="1" x14ac:dyDescent="0.2">
      <c r="AD2524" s="98">
        <f t="shared" si="223"/>
        <v>47447</v>
      </c>
      <c r="AE2524" s="7">
        <f t="shared" si="224"/>
        <v>9705.0627543959235</v>
      </c>
    </row>
    <row r="2525" spans="30:31" ht="14" thickBot="1" x14ac:dyDescent="0.2">
      <c r="AD2525" s="98">
        <f t="shared" si="223"/>
        <v>47448</v>
      </c>
      <c r="AE2525" s="7">
        <f t="shared" si="224"/>
        <v>9723.3219548849029</v>
      </c>
    </row>
    <row r="2526" spans="30:31" ht="14" thickBot="1" x14ac:dyDescent="0.2">
      <c r="AD2526" s="98">
        <f t="shared" si="223"/>
        <v>47449</v>
      </c>
      <c r="AE2526" s="7">
        <f t="shared" si="224"/>
        <v>9741.6155084132115</v>
      </c>
    </row>
    <row r="2527" spans="30:31" ht="14" thickBot="1" x14ac:dyDescent="0.2">
      <c r="AD2527" s="98">
        <f t="shared" si="223"/>
        <v>47450</v>
      </c>
      <c r="AE2527" s="7">
        <f t="shared" si="224"/>
        <v>9759.9434796129954</v>
      </c>
    </row>
    <row r="2528" spans="30:31" ht="14" thickBot="1" x14ac:dyDescent="0.2">
      <c r="AD2528" s="98">
        <f t="shared" si="223"/>
        <v>47451</v>
      </c>
      <c r="AE2528" s="7">
        <f t="shared" si="224"/>
        <v>9778.3059332380017</v>
      </c>
    </row>
    <row r="2529" spans="30:31" ht="14" thickBot="1" x14ac:dyDescent="0.2">
      <c r="AD2529" s="98">
        <f t="shared" si="223"/>
        <v>47452</v>
      </c>
      <c r="AE2529" s="7">
        <f t="shared" si="224"/>
        <v>9796.7029341638026</v>
      </c>
    </row>
    <row r="2530" spans="30:31" ht="14" thickBot="1" x14ac:dyDescent="0.2">
      <c r="AD2530" s="98">
        <f t="shared" si="223"/>
        <v>47453</v>
      </c>
      <c r="AE2530" s="7">
        <f t="shared" si="224"/>
        <v>9815.1345473880283</v>
      </c>
    </row>
    <row r="2531" spans="30:31" ht="14" thickBot="1" x14ac:dyDescent="0.2">
      <c r="AD2531" s="98">
        <f t="shared" si="223"/>
        <v>47454</v>
      </c>
      <c r="AE2531" s="7">
        <f t="shared" si="224"/>
        <v>9833.6008380305993</v>
      </c>
    </row>
    <row r="2532" spans="30:31" ht="14" thickBot="1" x14ac:dyDescent="0.2">
      <c r="AD2532" s="98">
        <f t="shared" si="223"/>
        <v>47455</v>
      </c>
      <c r="AE2532" s="7">
        <f t="shared" si="224"/>
        <v>9852.1018713339508</v>
      </c>
    </row>
    <row r="2533" spans="30:31" ht="14" thickBot="1" x14ac:dyDescent="0.2">
      <c r="AD2533" s="98">
        <f t="shared" si="223"/>
        <v>47456</v>
      </c>
      <c r="AE2533" s="7">
        <f t="shared" si="224"/>
        <v>9870.6377126632669</v>
      </c>
    </row>
    <row r="2534" spans="30:31" ht="14" thickBot="1" x14ac:dyDescent="0.2">
      <c r="AD2534" s="98">
        <f t="shared" si="223"/>
        <v>47457</v>
      </c>
      <c r="AE2534" s="7">
        <f t="shared" si="224"/>
        <v>9889.20842750671</v>
      </c>
    </row>
    <row r="2535" spans="30:31" ht="14" thickBot="1" x14ac:dyDescent="0.2">
      <c r="AD2535" s="98">
        <f t="shared" si="223"/>
        <v>47458</v>
      </c>
      <c r="AE2535" s="7">
        <f t="shared" si="224"/>
        <v>9907.8140814756516</v>
      </c>
    </row>
    <row r="2536" spans="30:31" ht="14" thickBot="1" x14ac:dyDescent="0.2">
      <c r="AD2536" s="98">
        <f t="shared" si="223"/>
        <v>47459</v>
      </c>
      <c r="AE2536" s="7">
        <f t="shared" si="224"/>
        <v>9926.4547403049055</v>
      </c>
    </row>
    <row r="2537" spans="30:31" ht="14" thickBot="1" x14ac:dyDescent="0.2">
      <c r="AD2537" s="98">
        <f t="shared" si="223"/>
        <v>47460</v>
      </c>
      <c r="AE2537" s="7">
        <f t="shared" si="224"/>
        <v>9945.1304698529621</v>
      </c>
    </row>
    <row r="2538" spans="30:31" ht="14" thickBot="1" x14ac:dyDescent="0.2">
      <c r="AD2538" s="98">
        <f t="shared" si="223"/>
        <v>47461</v>
      </c>
      <c r="AE2538" s="7">
        <f t="shared" si="224"/>
        <v>9963.841336102214</v>
      </c>
    </row>
    <row r="2539" spans="30:31" ht="14" thickBot="1" x14ac:dyDescent="0.2">
      <c r="AD2539" s="98">
        <f t="shared" si="223"/>
        <v>47462</v>
      </c>
      <c r="AE2539" s="7">
        <f t="shared" si="224"/>
        <v>9982.5874051591982</v>
      </c>
    </row>
    <row r="2540" spans="30:31" ht="14" thickBot="1" x14ac:dyDescent="0.2">
      <c r="AD2540" s="98">
        <f t="shared" si="223"/>
        <v>47463</v>
      </c>
      <c r="AE2540" s="7">
        <f t="shared" si="224"/>
        <v>10001.368743254823</v>
      </c>
    </row>
    <row r="2541" spans="30:31" ht="14" thickBot="1" x14ac:dyDescent="0.2">
      <c r="AD2541" s="98">
        <f t="shared" si="223"/>
        <v>47464</v>
      </c>
      <c r="AE2541" s="7">
        <f t="shared" si="224"/>
        <v>10020.185416744604</v>
      </c>
    </row>
    <row r="2542" spans="30:31" ht="14" thickBot="1" x14ac:dyDescent="0.2">
      <c r="AD2542" s="98">
        <f t="shared" si="223"/>
        <v>47465</v>
      </c>
      <c r="AE2542" s="7">
        <f t="shared" si="224"/>
        <v>10039.037492108899</v>
      </c>
    </row>
    <row r="2543" spans="30:31" ht="14" thickBot="1" x14ac:dyDescent="0.2">
      <c r="AD2543" s="98">
        <f t="shared" si="223"/>
        <v>47466</v>
      </c>
      <c r="AE2543" s="7">
        <f t="shared" si="224"/>
        <v>10057.925035953143</v>
      </c>
    </row>
    <row r="2544" spans="30:31" ht="14" thickBot="1" x14ac:dyDescent="0.2">
      <c r="AD2544" s="98">
        <f t="shared" si="223"/>
        <v>47467</v>
      </c>
      <c r="AE2544" s="7">
        <f t="shared" si="224"/>
        <v>10076.848115008084</v>
      </c>
    </row>
    <row r="2545" spans="30:31" ht="14" thickBot="1" x14ac:dyDescent="0.2">
      <c r="AD2545" s="98">
        <f t="shared" si="223"/>
        <v>47468</v>
      </c>
      <c r="AE2545" s="7">
        <f t="shared" ref="AE2545:AE2575" si="225">AE2544*$AI$81</f>
        <v>10096.439366095641</v>
      </c>
    </row>
    <row r="2546" spans="30:31" ht="14" thickBot="1" x14ac:dyDescent="0.2">
      <c r="AD2546" s="98">
        <f t="shared" si="223"/>
        <v>47469</v>
      </c>
      <c r="AE2546" s="7">
        <f t="shared" si="225"/>
        <v>10116.068706188291</v>
      </c>
    </row>
    <row r="2547" spans="30:31" ht="14" thickBot="1" x14ac:dyDescent="0.2">
      <c r="AD2547" s="98">
        <f t="shared" si="223"/>
        <v>47470</v>
      </c>
      <c r="AE2547" s="7">
        <f t="shared" si="225"/>
        <v>10135.736209338083</v>
      </c>
    </row>
    <row r="2548" spans="30:31" ht="14" thickBot="1" x14ac:dyDescent="0.2">
      <c r="AD2548" s="98">
        <f t="shared" si="223"/>
        <v>47471</v>
      </c>
      <c r="AE2548" s="7">
        <f t="shared" si="225"/>
        <v>10155.44194974104</v>
      </c>
    </row>
    <row r="2549" spans="30:31" ht="14" thickBot="1" x14ac:dyDescent="0.2">
      <c r="AD2549" s="98">
        <f t="shared" si="223"/>
        <v>47472</v>
      </c>
      <c r="AE2549" s="7">
        <f t="shared" si="225"/>
        <v>10175.186001737433</v>
      </c>
    </row>
    <row r="2550" spans="30:31" ht="14" thickBot="1" x14ac:dyDescent="0.2">
      <c r="AD2550" s="98">
        <f t="shared" si="223"/>
        <v>47473</v>
      </c>
      <c r="AE2550" s="7">
        <f t="shared" si="225"/>
        <v>10194.968439812064</v>
      </c>
    </row>
    <row r="2551" spans="30:31" ht="14" thickBot="1" x14ac:dyDescent="0.2">
      <c r="AD2551" s="98">
        <f t="shared" si="223"/>
        <v>47474</v>
      </c>
      <c r="AE2551" s="7">
        <f t="shared" si="225"/>
        <v>10214.789338594552</v>
      </c>
    </row>
    <row r="2552" spans="30:31" ht="14" thickBot="1" x14ac:dyDescent="0.2">
      <c r="AD2552" s="98">
        <f t="shared" si="223"/>
        <v>47475</v>
      </c>
      <c r="AE2552" s="7">
        <f t="shared" si="225"/>
        <v>10234.648772859602</v>
      </c>
    </row>
    <row r="2553" spans="30:31" ht="14" thickBot="1" x14ac:dyDescent="0.2">
      <c r="AD2553" s="98">
        <f t="shared" si="223"/>
        <v>47476</v>
      </c>
      <c r="AE2553" s="7">
        <f t="shared" si="225"/>
        <v>10254.5468175273</v>
      </c>
    </row>
    <row r="2554" spans="30:31" ht="14" thickBot="1" x14ac:dyDescent="0.2">
      <c r="AD2554" s="98">
        <f t="shared" si="223"/>
        <v>47477</v>
      </c>
      <c r="AE2554" s="7">
        <f t="shared" si="225"/>
        <v>10274.483547663389</v>
      </c>
    </row>
    <row r="2555" spans="30:31" ht="14" thickBot="1" x14ac:dyDescent="0.2">
      <c r="AD2555" s="98">
        <f t="shared" si="223"/>
        <v>47478</v>
      </c>
      <c r="AE2555" s="7">
        <f t="shared" si="225"/>
        <v>10294.459038479554</v>
      </c>
    </row>
    <row r="2556" spans="30:31" ht="14" thickBot="1" x14ac:dyDescent="0.2">
      <c r="AD2556" s="98">
        <f t="shared" si="223"/>
        <v>47479</v>
      </c>
      <c r="AE2556" s="7">
        <f t="shared" si="225"/>
        <v>10314.473365333706</v>
      </c>
    </row>
    <row r="2557" spans="30:31" ht="14" thickBot="1" x14ac:dyDescent="0.2">
      <c r="AD2557" s="98">
        <f t="shared" si="223"/>
        <v>47480</v>
      </c>
      <c r="AE2557" s="7">
        <f t="shared" si="225"/>
        <v>10334.526603730264</v>
      </c>
    </row>
    <row r="2558" spans="30:31" ht="14" thickBot="1" x14ac:dyDescent="0.2">
      <c r="AD2558" s="98">
        <f t="shared" si="223"/>
        <v>47481</v>
      </c>
      <c r="AE2558" s="7">
        <f t="shared" si="225"/>
        <v>10354.618829320443</v>
      </c>
    </row>
    <row r="2559" spans="30:31" ht="14" thickBot="1" x14ac:dyDescent="0.2">
      <c r="AD2559" s="98">
        <f t="shared" si="223"/>
        <v>47482</v>
      </c>
      <c r="AE2559" s="7">
        <f t="shared" si="225"/>
        <v>10374.750117902537</v>
      </c>
    </row>
    <row r="2560" spans="30:31" ht="14" thickBot="1" x14ac:dyDescent="0.2">
      <c r="AD2560" s="98">
        <f t="shared" si="223"/>
        <v>47483</v>
      </c>
      <c r="AE2560" s="7">
        <f t="shared" si="225"/>
        <v>10394.920545422205</v>
      </c>
    </row>
    <row r="2561" spans="30:31" ht="14" thickBot="1" x14ac:dyDescent="0.2">
      <c r="AD2561" s="98">
        <f t="shared" si="223"/>
        <v>47484</v>
      </c>
      <c r="AE2561" s="7">
        <f t="shared" si="225"/>
        <v>10415.130187972762</v>
      </c>
    </row>
    <row r="2562" spans="30:31" ht="14" thickBot="1" x14ac:dyDescent="0.2">
      <c r="AD2562" s="98">
        <f t="shared" si="223"/>
        <v>47485</v>
      </c>
      <c r="AE2562" s="7">
        <f t="shared" si="225"/>
        <v>10435.379121795459</v>
      </c>
    </row>
    <row r="2563" spans="30:31" ht="14" thickBot="1" x14ac:dyDescent="0.2">
      <c r="AD2563" s="98">
        <f t="shared" si="223"/>
        <v>47486</v>
      </c>
      <c r="AE2563" s="7">
        <f t="shared" si="225"/>
        <v>10455.667423279774</v>
      </c>
    </row>
    <row r="2564" spans="30:31" ht="14" thickBot="1" x14ac:dyDescent="0.2">
      <c r="AD2564" s="98">
        <f t="shared" si="223"/>
        <v>47487</v>
      </c>
      <c r="AE2564" s="7">
        <f t="shared" si="225"/>
        <v>10475.995168963702</v>
      </c>
    </row>
    <row r="2565" spans="30:31" ht="14" thickBot="1" x14ac:dyDescent="0.2">
      <c r="AD2565" s="98">
        <f t="shared" si="223"/>
        <v>47488</v>
      </c>
      <c r="AE2565" s="7">
        <f t="shared" si="225"/>
        <v>10496.362435534042</v>
      </c>
    </row>
    <row r="2566" spans="30:31" ht="14" thickBot="1" x14ac:dyDescent="0.2">
      <c r="AD2566" s="98">
        <f t="shared" si="223"/>
        <v>47489</v>
      </c>
      <c r="AE2566" s="7">
        <f t="shared" si="225"/>
        <v>10516.769299826685</v>
      </c>
    </row>
    <row r="2567" spans="30:31" ht="14" thickBot="1" x14ac:dyDescent="0.2">
      <c r="AD2567" s="98">
        <f t="shared" si="223"/>
        <v>47490</v>
      </c>
      <c r="AE2567" s="7">
        <f t="shared" si="225"/>
        <v>10537.215838826905</v>
      </c>
    </row>
    <row r="2568" spans="30:31" ht="14" thickBot="1" x14ac:dyDescent="0.2">
      <c r="AD2568" s="98">
        <f t="shared" si="223"/>
        <v>47491</v>
      </c>
      <c r="AE2568" s="7">
        <f t="shared" si="225"/>
        <v>10557.702129669651</v>
      </c>
    </row>
    <row r="2569" spans="30:31" ht="14" thickBot="1" x14ac:dyDescent="0.2">
      <c r="AD2569" s="98">
        <f t="shared" ref="AD2569:AD2632" si="226">AD2568+1</f>
        <v>47492</v>
      </c>
      <c r="AE2569" s="7">
        <f t="shared" si="225"/>
        <v>10578.228249639835</v>
      </c>
    </row>
    <row r="2570" spans="30:31" ht="14" thickBot="1" x14ac:dyDescent="0.2">
      <c r="AD2570" s="98">
        <f t="shared" si="226"/>
        <v>47493</v>
      </c>
      <c r="AE2570" s="7">
        <f t="shared" si="225"/>
        <v>10598.794276172626</v>
      </c>
    </row>
    <row r="2571" spans="30:31" ht="14" thickBot="1" x14ac:dyDescent="0.2">
      <c r="AD2571" s="98">
        <f t="shared" si="226"/>
        <v>47494</v>
      </c>
      <c r="AE2571" s="7">
        <f t="shared" si="225"/>
        <v>10619.400286853743</v>
      </c>
    </row>
    <row r="2572" spans="30:31" ht="14" thickBot="1" x14ac:dyDescent="0.2">
      <c r="AD2572" s="98">
        <f t="shared" si="226"/>
        <v>47495</v>
      </c>
      <c r="AE2572" s="7">
        <f t="shared" si="225"/>
        <v>10640.046359419743</v>
      </c>
    </row>
    <row r="2573" spans="30:31" ht="14" thickBot="1" x14ac:dyDescent="0.2">
      <c r="AD2573" s="98">
        <f t="shared" si="226"/>
        <v>47496</v>
      </c>
      <c r="AE2573" s="7">
        <f t="shared" si="225"/>
        <v>10660.732571758317</v>
      </c>
    </row>
    <row r="2574" spans="30:31" ht="14" thickBot="1" x14ac:dyDescent="0.2">
      <c r="AD2574" s="98">
        <f t="shared" si="226"/>
        <v>47497</v>
      </c>
      <c r="AE2574" s="7">
        <f t="shared" si="225"/>
        <v>10681.459001908588</v>
      </c>
    </row>
    <row r="2575" spans="30:31" ht="14" thickBot="1" x14ac:dyDescent="0.2">
      <c r="AD2575" s="98">
        <f t="shared" si="226"/>
        <v>47498</v>
      </c>
      <c r="AE2575" s="7">
        <f t="shared" si="225"/>
        <v>10702.225728061398</v>
      </c>
    </row>
    <row r="2576" spans="30:31" ht="14" thickBot="1" x14ac:dyDescent="0.2">
      <c r="AD2576" s="98">
        <f t="shared" si="226"/>
        <v>47499</v>
      </c>
      <c r="AE2576" s="7">
        <f t="shared" ref="AE2576:AE2606" si="227">AE2575*$AI$82</f>
        <v>10722.361000773413</v>
      </c>
    </row>
    <row r="2577" spans="30:31" ht="14" thickBot="1" x14ac:dyDescent="0.2">
      <c r="AD2577" s="98">
        <f t="shared" si="226"/>
        <v>47500</v>
      </c>
      <c r="AE2577" s="7">
        <f t="shared" si="227"/>
        <v>10742.534156185486</v>
      </c>
    </row>
    <row r="2578" spans="30:31" ht="14" thickBot="1" x14ac:dyDescent="0.2">
      <c r="AD2578" s="98">
        <f t="shared" si="226"/>
        <v>47501</v>
      </c>
      <c r="AE2578" s="7">
        <f t="shared" si="227"/>
        <v>10762.745265570498</v>
      </c>
    </row>
    <row r="2579" spans="30:31" ht="14" thickBot="1" x14ac:dyDescent="0.2">
      <c r="AD2579" s="98">
        <f t="shared" si="226"/>
        <v>47502</v>
      </c>
      <c r="AE2579" s="7">
        <f t="shared" si="227"/>
        <v>10782.994400335429</v>
      </c>
    </row>
    <row r="2580" spans="30:31" ht="14" thickBot="1" x14ac:dyDescent="0.2">
      <c r="AD2580" s="98">
        <f t="shared" si="226"/>
        <v>47503</v>
      </c>
      <c r="AE2580" s="7">
        <f t="shared" si="227"/>
        <v>10803.281632021601</v>
      </c>
    </row>
    <row r="2581" spans="30:31" ht="14" thickBot="1" x14ac:dyDescent="0.2">
      <c r="AD2581" s="98">
        <f t="shared" si="226"/>
        <v>47504</v>
      </c>
      <c r="AE2581" s="7">
        <f t="shared" si="227"/>
        <v>10823.607032304937</v>
      </c>
    </row>
    <row r="2582" spans="30:31" ht="14" thickBot="1" x14ac:dyDescent="0.2">
      <c r="AD2582" s="98">
        <f t="shared" si="226"/>
        <v>47505</v>
      </c>
      <c r="AE2582" s="7">
        <f t="shared" si="227"/>
        <v>10843.970672996211</v>
      </c>
    </row>
    <row r="2583" spans="30:31" ht="14" thickBot="1" x14ac:dyDescent="0.2">
      <c r="AD2583" s="98">
        <f t="shared" si="226"/>
        <v>47506</v>
      </c>
      <c r="AE2583" s="7">
        <f t="shared" si="227"/>
        <v>10864.372626041302</v>
      </c>
    </row>
    <row r="2584" spans="30:31" ht="14" thickBot="1" x14ac:dyDescent="0.2">
      <c r="AD2584" s="98">
        <f t="shared" si="226"/>
        <v>47507</v>
      </c>
      <c r="AE2584" s="7">
        <f t="shared" si="227"/>
        <v>10884.81296352145</v>
      </c>
    </row>
    <row r="2585" spans="30:31" ht="14" thickBot="1" x14ac:dyDescent="0.2">
      <c r="AD2585" s="98">
        <f t="shared" si="226"/>
        <v>47508</v>
      </c>
      <c r="AE2585" s="7">
        <f t="shared" si="227"/>
        <v>10905.291757653509</v>
      </c>
    </row>
    <row r="2586" spans="30:31" ht="14" thickBot="1" x14ac:dyDescent="0.2">
      <c r="AD2586" s="98">
        <f t="shared" si="226"/>
        <v>47509</v>
      </c>
      <c r="AE2586" s="7">
        <f t="shared" si="227"/>
        <v>10925.809080790201</v>
      </c>
    </row>
    <row r="2587" spans="30:31" ht="14" thickBot="1" x14ac:dyDescent="0.2">
      <c r="AD2587" s="98">
        <f t="shared" si="226"/>
        <v>47510</v>
      </c>
      <c r="AE2587" s="7">
        <f t="shared" si="227"/>
        <v>10946.365005420374</v>
      </c>
    </row>
    <row r="2588" spans="30:31" ht="14" thickBot="1" x14ac:dyDescent="0.2">
      <c r="AD2588" s="98">
        <f t="shared" si="226"/>
        <v>47511</v>
      </c>
      <c r="AE2588" s="7">
        <f t="shared" si="227"/>
        <v>10966.959604169257</v>
      </c>
    </row>
    <row r="2589" spans="30:31" ht="14" thickBot="1" x14ac:dyDescent="0.2">
      <c r="AD2589" s="98">
        <f t="shared" si="226"/>
        <v>47512</v>
      </c>
      <c r="AE2589" s="7">
        <f t="shared" si="227"/>
        <v>10987.592949798718</v>
      </c>
    </row>
    <row r="2590" spans="30:31" ht="14" thickBot="1" x14ac:dyDescent="0.2">
      <c r="AD2590" s="98">
        <f t="shared" si="226"/>
        <v>47513</v>
      </c>
      <c r="AE2590" s="7">
        <f t="shared" si="227"/>
        <v>11008.26511520752</v>
      </c>
    </row>
    <row r="2591" spans="30:31" ht="14" thickBot="1" x14ac:dyDescent="0.2">
      <c r="AD2591" s="98">
        <f t="shared" si="226"/>
        <v>47514</v>
      </c>
      <c r="AE2591" s="7">
        <f t="shared" si="227"/>
        <v>11028.976173431576</v>
      </c>
    </row>
    <row r="2592" spans="30:31" ht="14" thickBot="1" x14ac:dyDescent="0.2">
      <c r="AD2592" s="98">
        <f t="shared" si="226"/>
        <v>47515</v>
      </c>
      <c r="AE2592" s="7">
        <f t="shared" si="227"/>
        <v>11049.726197644211</v>
      </c>
    </row>
    <row r="2593" spans="30:31" ht="14" thickBot="1" x14ac:dyDescent="0.2">
      <c r="AD2593" s="98">
        <f t="shared" si="226"/>
        <v>47516</v>
      </c>
      <c r="AE2593" s="7">
        <f t="shared" si="227"/>
        <v>11070.515261156421</v>
      </c>
    </row>
    <row r="2594" spans="30:31" ht="14" thickBot="1" x14ac:dyDescent="0.2">
      <c r="AD2594" s="98">
        <f t="shared" si="226"/>
        <v>47517</v>
      </c>
      <c r="AE2594" s="7">
        <f t="shared" si="227"/>
        <v>11091.343437417127</v>
      </c>
    </row>
    <row r="2595" spans="30:31" ht="14" thickBot="1" x14ac:dyDescent="0.2">
      <c r="AD2595" s="98">
        <f t="shared" si="226"/>
        <v>47518</v>
      </c>
      <c r="AE2595" s="7">
        <f t="shared" si="227"/>
        <v>11112.210800013438</v>
      </c>
    </row>
    <row r="2596" spans="30:31" ht="14" thickBot="1" x14ac:dyDescent="0.2">
      <c r="AD2596" s="98">
        <f t="shared" si="226"/>
        <v>47519</v>
      </c>
      <c r="AE2596" s="7">
        <f t="shared" si="227"/>
        <v>11133.11742267091</v>
      </c>
    </row>
    <row r="2597" spans="30:31" ht="14" thickBot="1" x14ac:dyDescent="0.2">
      <c r="AD2597" s="98">
        <f t="shared" si="226"/>
        <v>47520</v>
      </c>
      <c r="AE2597" s="7">
        <f t="shared" si="227"/>
        <v>11154.06337925381</v>
      </c>
    </row>
    <row r="2598" spans="30:31" ht="14" thickBot="1" x14ac:dyDescent="0.2">
      <c r="AD2598" s="98">
        <f t="shared" si="226"/>
        <v>47521</v>
      </c>
      <c r="AE2598" s="7">
        <f t="shared" si="227"/>
        <v>11175.048743765372</v>
      </c>
    </row>
    <row r="2599" spans="30:31" ht="14" thickBot="1" x14ac:dyDescent="0.2">
      <c r="AD2599" s="98">
        <f t="shared" si="226"/>
        <v>47522</v>
      </c>
      <c r="AE2599" s="7">
        <f t="shared" si="227"/>
        <v>11196.07359034806</v>
      </c>
    </row>
    <row r="2600" spans="30:31" ht="14" thickBot="1" x14ac:dyDescent="0.2">
      <c r="AD2600" s="98">
        <f t="shared" si="226"/>
        <v>47523</v>
      </c>
      <c r="AE2600" s="7">
        <f t="shared" si="227"/>
        <v>11217.13799328383</v>
      </c>
    </row>
    <row r="2601" spans="30:31" ht="14" thickBot="1" x14ac:dyDescent="0.2">
      <c r="AD2601" s="98">
        <f t="shared" si="226"/>
        <v>47524</v>
      </c>
      <c r="AE2601" s="7">
        <f t="shared" si="227"/>
        <v>11238.242026994394</v>
      </c>
    </row>
    <row r="2602" spans="30:31" ht="14" thickBot="1" x14ac:dyDescent="0.2">
      <c r="AD2602" s="98">
        <f t="shared" si="226"/>
        <v>47525</v>
      </c>
      <c r="AE2602" s="7">
        <f t="shared" si="227"/>
        <v>11259.385766041483</v>
      </c>
    </row>
    <row r="2603" spans="30:31" ht="14" thickBot="1" x14ac:dyDescent="0.2">
      <c r="AD2603" s="98">
        <f t="shared" si="226"/>
        <v>47526</v>
      </c>
      <c r="AE2603" s="7">
        <f t="shared" si="227"/>
        <v>11280.569285127107</v>
      </c>
    </row>
    <row r="2604" spans="30:31" ht="14" thickBot="1" x14ac:dyDescent="0.2">
      <c r="AD2604" s="98">
        <f t="shared" si="226"/>
        <v>47527</v>
      </c>
      <c r="AE2604" s="7">
        <f t="shared" si="227"/>
        <v>11301.79265909382</v>
      </c>
    </row>
    <row r="2605" spans="30:31" ht="14" thickBot="1" x14ac:dyDescent="0.2">
      <c r="AD2605" s="98">
        <f t="shared" si="226"/>
        <v>47528</v>
      </c>
      <c r="AE2605" s="7">
        <f t="shared" si="227"/>
        <v>11323.055962924989</v>
      </c>
    </row>
    <row r="2606" spans="30:31" ht="14" thickBot="1" x14ac:dyDescent="0.2">
      <c r="AD2606" s="98">
        <f t="shared" si="226"/>
        <v>47529</v>
      </c>
      <c r="AE2606" s="7">
        <f t="shared" si="227"/>
        <v>11344.359271745052</v>
      </c>
    </row>
    <row r="2607" spans="30:31" ht="14" thickBot="1" x14ac:dyDescent="0.2">
      <c r="AD2607" s="98">
        <f t="shared" si="226"/>
        <v>47530</v>
      </c>
      <c r="AE2607" s="7">
        <f t="shared" ref="AE2607:AE2634" si="228">AE2606*$AI$83</f>
        <v>11365.702660819788</v>
      </c>
    </row>
    <row r="2608" spans="30:31" ht="14" thickBot="1" x14ac:dyDescent="0.2">
      <c r="AD2608" s="98">
        <f t="shared" si="226"/>
        <v>47531</v>
      </c>
      <c r="AE2608" s="7">
        <f t="shared" si="228"/>
        <v>11387.086205556585</v>
      </c>
    </row>
    <row r="2609" spans="30:31" ht="14" thickBot="1" x14ac:dyDescent="0.2">
      <c r="AD2609" s="98">
        <f t="shared" si="226"/>
        <v>47532</v>
      </c>
      <c r="AE2609" s="7">
        <f t="shared" si="228"/>
        <v>11408.509981504698</v>
      </c>
    </row>
    <row r="2610" spans="30:31" ht="14" thickBot="1" x14ac:dyDescent="0.2">
      <c r="AD2610" s="98">
        <f t="shared" si="226"/>
        <v>47533</v>
      </c>
      <c r="AE2610" s="7">
        <f t="shared" si="228"/>
        <v>11429.974064355523</v>
      </c>
    </row>
    <row r="2611" spans="30:31" ht="14" thickBot="1" x14ac:dyDescent="0.2">
      <c r="AD2611" s="98">
        <f t="shared" si="226"/>
        <v>47534</v>
      </c>
      <c r="AE2611" s="7">
        <f t="shared" si="228"/>
        <v>11451.478529942866</v>
      </c>
    </row>
    <row r="2612" spans="30:31" ht="14" thickBot="1" x14ac:dyDescent="0.2">
      <c r="AD2612" s="98">
        <f t="shared" si="226"/>
        <v>47535</v>
      </c>
      <c r="AE2612" s="7">
        <f t="shared" si="228"/>
        <v>11473.023454243203</v>
      </c>
    </row>
    <row r="2613" spans="30:31" ht="14" thickBot="1" x14ac:dyDescent="0.2">
      <c r="AD2613" s="98">
        <f t="shared" si="226"/>
        <v>47536</v>
      </c>
      <c r="AE2613" s="7">
        <f t="shared" si="228"/>
        <v>11494.608913375952</v>
      </c>
    </row>
    <row r="2614" spans="30:31" ht="14" thickBot="1" x14ac:dyDescent="0.2">
      <c r="AD2614" s="98">
        <f t="shared" si="226"/>
        <v>47537</v>
      </c>
      <c r="AE2614" s="7">
        <f t="shared" si="228"/>
        <v>11516.23498360375</v>
      </c>
    </row>
    <row r="2615" spans="30:31" ht="14" thickBot="1" x14ac:dyDescent="0.2">
      <c r="AD2615" s="98">
        <f t="shared" si="226"/>
        <v>47538</v>
      </c>
      <c r="AE2615" s="7">
        <f t="shared" si="228"/>
        <v>11537.901741332707</v>
      </c>
    </row>
    <row r="2616" spans="30:31" ht="14" thickBot="1" x14ac:dyDescent="0.2">
      <c r="AD2616" s="98">
        <f t="shared" si="226"/>
        <v>47539</v>
      </c>
      <c r="AE2616" s="7">
        <f t="shared" si="228"/>
        <v>11559.609263112688</v>
      </c>
    </row>
    <row r="2617" spans="30:31" ht="14" thickBot="1" x14ac:dyDescent="0.2">
      <c r="AD2617" s="98">
        <f t="shared" si="226"/>
        <v>47540</v>
      </c>
      <c r="AE2617" s="7">
        <f t="shared" si="228"/>
        <v>11581.357625637582</v>
      </c>
    </row>
    <row r="2618" spans="30:31" ht="14" thickBot="1" x14ac:dyDescent="0.2">
      <c r="AD2618" s="98">
        <f t="shared" si="226"/>
        <v>47541</v>
      </c>
      <c r="AE2618" s="7">
        <f t="shared" si="228"/>
        <v>11603.146905745565</v>
      </c>
    </row>
    <row r="2619" spans="30:31" ht="14" thickBot="1" x14ac:dyDescent="0.2">
      <c r="AD2619" s="98">
        <f t="shared" si="226"/>
        <v>47542</v>
      </c>
      <c r="AE2619" s="7">
        <f t="shared" si="228"/>
        <v>11624.977180419382</v>
      </c>
    </row>
    <row r="2620" spans="30:31" ht="14" thickBot="1" x14ac:dyDescent="0.2">
      <c r="AD2620" s="98">
        <f t="shared" si="226"/>
        <v>47543</v>
      </c>
      <c r="AE2620" s="7">
        <f t="shared" si="228"/>
        <v>11646.848526786613</v>
      </c>
    </row>
    <row r="2621" spans="30:31" ht="14" thickBot="1" x14ac:dyDescent="0.2">
      <c r="AD2621" s="98">
        <f t="shared" si="226"/>
        <v>47544</v>
      </c>
      <c r="AE2621" s="7">
        <f t="shared" si="228"/>
        <v>11668.761022119943</v>
      </c>
    </row>
    <row r="2622" spans="30:31" ht="14" thickBot="1" x14ac:dyDescent="0.2">
      <c r="AD2622" s="98">
        <f t="shared" si="226"/>
        <v>47545</v>
      </c>
      <c r="AE2622" s="7">
        <f t="shared" si="228"/>
        <v>11690.714743837443</v>
      </c>
    </row>
    <row r="2623" spans="30:31" ht="14" thickBot="1" x14ac:dyDescent="0.2">
      <c r="AD2623" s="98">
        <f t="shared" si="226"/>
        <v>47546</v>
      </c>
      <c r="AE2623" s="7">
        <f t="shared" si="228"/>
        <v>11712.709769502837</v>
      </c>
    </row>
    <row r="2624" spans="30:31" ht="14" thickBot="1" x14ac:dyDescent="0.2">
      <c r="AD2624" s="98">
        <f t="shared" si="226"/>
        <v>47547</v>
      </c>
      <c r="AE2624" s="7">
        <f t="shared" si="228"/>
        <v>11734.746176825778</v>
      </c>
    </row>
    <row r="2625" spans="30:31" ht="14" thickBot="1" x14ac:dyDescent="0.2">
      <c r="AD2625" s="98">
        <f t="shared" si="226"/>
        <v>47548</v>
      </c>
      <c r="AE2625" s="7">
        <f t="shared" si="228"/>
        <v>11756.824043662125</v>
      </c>
    </row>
    <row r="2626" spans="30:31" ht="14" thickBot="1" x14ac:dyDescent="0.2">
      <c r="AD2626" s="98">
        <f t="shared" si="226"/>
        <v>47549</v>
      </c>
      <c r="AE2626" s="7">
        <f t="shared" si="228"/>
        <v>11778.943448014214</v>
      </c>
    </row>
    <row r="2627" spans="30:31" ht="14" thickBot="1" x14ac:dyDescent="0.2">
      <c r="AD2627" s="98">
        <f t="shared" si="226"/>
        <v>47550</v>
      </c>
      <c r="AE2627" s="7">
        <f t="shared" si="228"/>
        <v>11801.104468031135</v>
      </c>
    </row>
    <row r="2628" spans="30:31" ht="14" thickBot="1" x14ac:dyDescent="0.2">
      <c r="AD2628" s="98">
        <f t="shared" si="226"/>
        <v>47551</v>
      </c>
      <c r="AE2628" s="7">
        <f t="shared" si="228"/>
        <v>11823.30718200901</v>
      </c>
    </row>
    <row r="2629" spans="30:31" ht="14" thickBot="1" x14ac:dyDescent="0.2">
      <c r="AD2629" s="98">
        <f t="shared" si="226"/>
        <v>47552</v>
      </c>
      <c r="AE2629" s="7">
        <f t="shared" si="228"/>
        <v>11845.551668391265</v>
      </c>
    </row>
    <row r="2630" spans="30:31" ht="14" thickBot="1" x14ac:dyDescent="0.2">
      <c r="AD2630" s="98">
        <f t="shared" si="226"/>
        <v>47553</v>
      </c>
      <c r="AE2630" s="7">
        <f t="shared" si="228"/>
        <v>11867.838005768914</v>
      </c>
    </row>
    <row r="2631" spans="30:31" ht="14" thickBot="1" x14ac:dyDescent="0.2">
      <c r="AD2631" s="98">
        <f t="shared" si="226"/>
        <v>47554</v>
      </c>
      <c r="AE2631" s="7">
        <f t="shared" si="228"/>
        <v>11890.16627288083</v>
      </c>
    </row>
    <row r="2632" spans="30:31" ht="14" thickBot="1" x14ac:dyDescent="0.2">
      <c r="AD2632" s="98">
        <f t="shared" si="226"/>
        <v>47555</v>
      </c>
      <c r="AE2632" s="7">
        <f t="shared" si="228"/>
        <v>11912.536548614029</v>
      </c>
    </row>
    <row r="2633" spans="30:31" ht="14" thickBot="1" x14ac:dyDescent="0.2">
      <c r="AD2633" s="98">
        <f t="shared" ref="AD2633:AD2696" si="229">AD2632+1</f>
        <v>47556</v>
      </c>
      <c r="AE2633" s="7">
        <f t="shared" si="228"/>
        <v>11934.948912003943</v>
      </c>
    </row>
    <row r="2634" spans="30:31" ht="14" thickBot="1" x14ac:dyDescent="0.2">
      <c r="AD2634" s="98">
        <f t="shared" si="229"/>
        <v>47557</v>
      </c>
      <c r="AE2634" s="7">
        <f t="shared" si="228"/>
        <v>11957.403442234703</v>
      </c>
    </row>
    <row r="2635" spans="30:31" ht="14" thickBot="1" x14ac:dyDescent="0.2">
      <c r="AD2635" s="98">
        <f t="shared" si="229"/>
        <v>47558</v>
      </c>
      <c r="AE2635" s="7">
        <f t="shared" ref="AE2635:AE2665" si="230">AE2634*$AI$84</f>
        <v>11982.313096522006</v>
      </c>
    </row>
    <row r="2636" spans="30:31" ht="14" thickBot="1" x14ac:dyDescent="0.2">
      <c r="AD2636" s="98">
        <f t="shared" si="229"/>
        <v>47559</v>
      </c>
      <c r="AE2636" s="7">
        <f t="shared" si="230"/>
        <v>12007.274642583281</v>
      </c>
    </row>
    <row r="2637" spans="30:31" ht="14" thickBot="1" x14ac:dyDescent="0.2">
      <c r="AD2637" s="98">
        <f t="shared" si="229"/>
        <v>47560</v>
      </c>
      <c r="AE2637" s="7">
        <f t="shared" si="230"/>
        <v>12032.288188519433</v>
      </c>
    </row>
    <row r="2638" spans="30:31" ht="14" thickBot="1" x14ac:dyDescent="0.2">
      <c r="AD2638" s="98">
        <f t="shared" si="229"/>
        <v>47561</v>
      </c>
      <c r="AE2638" s="7">
        <f t="shared" si="230"/>
        <v>12057.353842656565</v>
      </c>
    </row>
    <row r="2639" spans="30:31" ht="14" thickBot="1" x14ac:dyDescent="0.2">
      <c r="AD2639" s="98">
        <f t="shared" si="229"/>
        <v>47562</v>
      </c>
      <c r="AE2639" s="7">
        <f t="shared" si="230"/>
        <v>12082.471713546443</v>
      </c>
    </row>
    <row r="2640" spans="30:31" ht="14" thickBot="1" x14ac:dyDescent="0.2">
      <c r="AD2640" s="98">
        <f t="shared" si="229"/>
        <v>47563</v>
      </c>
      <c r="AE2640" s="7">
        <f t="shared" si="230"/>
        <v>12107.641909966973</v>
      </c>
    </row>
    <row r="2641" spans="30:31" ht="14" thickBot="1" x14ac:dyDescent="0.2">
      <c r="AD2641" s="98">
        <f t="shared" si="229"/>
        <v>47564</v>
      </c>
      <c r="AE2641" s="7">
        <f t="shared" si="230"/>
        <v>12132.864540922659</v>
      </c>
    </row>
    <row r="2642" spans="30:31" ht="14" thickBot="1" x14ac:dyDescent="0.2">
      <c r="AD2642" s="98">
        <f t="shared" si="229"/>
        <v>47565</v>
      </c>
      <c r="AE2642" s="7">
        <f t="shared" si="230"/>
        <v>12158.139715645088</v>
      </c>
    </row>
    <row r="2643" spans="30:31" ht="14" thickBot="1" x14ac:dyDescent="0.2">
      <c r="AD2643" s="98">
        <f t="shared" si="229"/>
        <v>47566</v>
      </c>
      <c r="AE2643" s="7">
        <f t="shared" si="230"/>
        <v>12183.467543593397</v>
      </c>
    </row>
    <row r="2644" spans="30:31" ht="14" thickBot="1" x14ac:dyDescent="0.2">
      <c r="AD2644" s="98">
        <f t="shared" si="229"/>
        <v>47567</v>
      </c>
      <c r="AE2644" s="7">
        <f t="shared" si="230"/>
        <v>12208.848134454749</v>
      </c>
    </row>
    <row r="2645" spans="30:31" ht="14" thickBot="1" x14ac:dyDescent="0.2">
      <c r="AD2645" s="98">
        <f t="shared" si="229"/>
        <v>47568</v>
      </c>
      <c r="AE2645" s="7">
        <f t="shared" si="230"/>
        <v>12234.281598144806</v>
      </c>
    </row>
    <row r="2646" spans="30:31" ht="14" thickBot="1" x14ac:dyDescent="0.2">
      <c r="AD2646" s="98">
        <f t="shared" si="229"/>
        <v>47569</v>
      </c>
      <c r="AE2646" s="7">
        <f t="shared" si="230"/>
        <v>12259.768044808208</v>
      </c>
    </row>
    <row r="2647" spans="30:31" ht="14" thickBot="1" x14ac:dyDescent="0.2">
      <c r="AD2647" s="98">
        <f t="shared" si="229"/>
        <v>47570</v>
      </c>
      <c r="AE2647" s="7">
        <f t="shared" si="230"/>
        <v>12285.307584819047</v>
      </c>
    </row>
    <row r="2648" spans="30:31" ht="14" thickBot="1" x14ac:dyDescent="0.2">
      <c r="AD2648" s="98">
        <f t="shared" si="229"/>
        <v>47571</v>
      </c>
      <c r="AE2648" s="7">
        <f t="shared" si="230"/>
        <v>12310.900328781345</v>
      </c>
    </row>
    <row r="2649" spans="30:31" ht="14" thickBot="1" x14ac:dyDescent="0.2">
      <c r="AD2649" s="98">
        <f t="shared" si="229"/>
        <v>47572</v>
      </c>
      <c r="AE2649" s="7">
        <f t="shared" si="230"/>
        <v>12336.546387529537</v>
      </c>
    </row>
    <row r="2650" spans="30:31" ht="14" thickBot="1" x14ac:dyDescent="0.2">
      <c r="AD2650" s="98">
        <f t="shared" si="229"/>
        <v>47573</v>
      </c>
      <c r="AE2650" s="7">
        <f t="shared" si="230"/>
        <v>12362.245872128946</v>
      </c>
    </row>
    <row r="2651" spans="30:31" ht="14" thickBot="1" x14ac:dyDescent="0.2">
      <c r="AD2651" s="98">
        <f t="shared" si="229"/>
        <v>47574</v>
      </c>
      <c r="AE2651" s="7">
        <f t="shared" si="230"/>
        <v>12387.998893876267</v>
      </c>
    </row>
    <row r="2652" spans="30:31" ht="14" thickBot="1" x14ac:dyDescent="0.2">
      <c r="AD2652" s="98">
        <f t="shared" si="229"/>
        <v>47575</v>
      </c>
      <c r="AE2652" s="7">
        <f t="shared" si="230"/>
        <v>12413.805564300048</v>
      </c>
    </row>
    <row r="2653" spans="30:31" ht="14" thickBot="1" x14ac:dyDescent="0.2">
      <c r="AD2653" s="98">
        <f t="shared" si="229"/>
        <v>47576</v>
      </c>
      <c r="AE2653" s="7">
        <f t="shared" si="230"/>
        <v>12439.665995161175</v>
      </c>
    </row>
    <row r="2654" spans="30:31" ht="14" thickBot="1" x14ac:dyDescent="0.2">
      <c r="AD2654" s="98">
        <f t="shared" si="229"/>
        <v>47577</v>
      </c>
      <c r="AE2654" s="7">
        <f t="shared" si="230"/>
        <v>12465.580298453351</v>
      </c>
    </row>
    <row r="2655" spans="30:31" ht="14" thickBot="1" x14ac:dyDescent="0.2">
      <c r="AD2655" s="98">
        <f t="shared" si="229"/>
        <v>47578</v>
      </c>
      <c r="AE2655" s="7">
        <f t="shared" si="230"/>
        <v>12491.548586403585</v>
      </c>
    </row>
    <row r="2656" spans="30:31" ht="14" thickBot="1" x14ac:dyDescent="0.2">
      <c r="AD2656" s="98">
        <f t="shared" si="229"/>
        <v>47579</v>
      </c>
      <c r="AE2656" s="7">
        <f t="shared" si="230"/>
        <v>12517.57097147268</v>
      </c>
    </row>
    <row r="2657" spans="30:31" ht="14" thickBot="1" x14ac:dyDescent="0.2">
      <c r="AD2657" s="98">
        <f t="shared" si="229"/>
        <v>47580</v>
      </c>
      <c r="AE2657" s="7">
        <f t="shared" si="230"/>
        <v>12543.647566355714</v>
      </c>
    </row>
    <row r="2658" spans="30:31" ht="14" thickBot="1" x14ac:dyDescent="0.2">
      <c r="AD2658" s="98">
        <f t="shared" si="229"/>
        <v>47581</v>
      </c>
      <c r="AE2658" s="7">
        <f t="shared" si="230"/>
        <v>12569.778483982533</v>
      </c>
    </row>
    <row r="2659" spans="30:31" ht="14" thickBot="1" x14ac:dyDescent="0.2">
      <c r="AD2659" s="98">
        <f t="shared" si="229"/>
        <v>47582</v>
      </c>
      <c r="AE2659" s="7">
        <f t="shared" si="230"/>
        <v>12595.963837518239</v>
      </c>
    </row>
    <row r="2660" spans="30:31" ht="14" thickBot="1" x14ac:dyDescent="0.2">
      <c r="AD2660" s="98">
        <f t="shared" si="229"/>
        <v>47583</v>
      </c>
      <c r="AE2660" s="7">
        <f t="shared" si="230"/>
        <v>12622.203740363677</v>
      </c>
    </row>
    <row r="2661" spans="30:31" ht="14" thickBot="1" x14ac:dyDescent="0.2">
      <c r="AD2661" s="98">
        <f t="shared" si="229"/>
        <v>47584</v>
      </c>
      <c r="AE2661" s="7">
        <f t="shared" si="230"/>
        <v>12648.498306155931</v>
      </c>
    </row>
    <row r="2662" spans="30:31" ht="14" thickBot="1" x14ac:dyDescent="0.2">
      <c r="AD2662" s="98">
        <f t="shared" si="229"/>
        <v>47585</v>
      </c>
      <c r="AE2662" s="7">
        <f t="shared" si="230"/>
        <v>12674.847648768811</v>
      </c>
    </row>
    <row r="2663" spans="30:31" ht="14" thickBot="1" x14ac:dyDescent="0.2">
      <c r="AD2663" s="98">
        <f t="shared" si="229"/>
        <v>47586</v>
      </c>
      <c r="AE2663" s="7">
        <f t="shared" si="230"/>
        <v>12701.251882313352</v>
      </c>
    </row>
    <row r="2664" spans="30:31" ht="14" thickBot="1" x14ac:dyDescent="0.2">
      <c r="AD2664" s="98">
        <f t="shared" si="229"/>
        <v>47587</v>
      </c>
      <c r="AE2664" s="7">
        <f t="shared" si="230"/>
        <v>12727.711121138303</v>
      </c>
    </row>
    <row r="2665" spans="30:31" ht="14" thickBot="1" x14ac:dyDescent="0.2">
      <c r="AD2665" s="98">
        <f t="shared" si="229"/>
        <v>47588</v>
      </c>
      <c r="AE2665" s="7">
        <f t="shared" si="230"/>
        <v>12754.225479830626</v>
      </c>
    </row>
    <row r="2666" spans="30:31" ht="14" thickBot="1" x14ac:dyDescent="0.2">
      <c r="AD2666" s="98">
        <f t="shared" si="229"/>
        <v>47589</v>
      </c>
      <c r="AE2666" s="7">
        <f t="shared" ref="AE2666:AE2695" si="231">AE2665*$AI$85</f>
        <v>12778.221405051449</v>
      </c>
    </row>
    <row r="2667" spans="30:31" ht="14" thickBot="1" x14ac:dyDescent="0.2">
      <c r="AD2667" s="98">
        <f t="shared" si="229"/>
        <v>47590</v>
      </c>
      <c r="AE2667" s="7">
        <f t="shared" si="231"/>
        <v>12802.262476441916</v>
      </c>
    </row>
    <row r="2668" spans="30:31" ht="14" thickBot="1" x14ac:dyDescent="0.2">
      <c r="AD2668" s="98">
        <f t="shared" si="229"/>
        <v>47591</v>
      </c>
      <c r="AE2668" s="7">
        <f t="shared" si="231"/>
        <v>12826.348778940477</v>
      </c>
    </row>
    <row r="2669" spans="30:31" ht="14" thickBot="1" x14ac:dyDescent="0.2">
      <c r="AD2669" s="98">
        <f t="shared" si="229"/>
        <v>47592</v>
      </c>
      <c r="AE2669" s="7">
        <f t="shared" si="231"/>
        <v>12850.480397645382</v>
      </c>
    </row>
    <row r="2670" spans="30:31" ht="14" thickBot="1" x14ac:dyDescent="0.2">
      <c r="AD2670" s="98">
        <f t="shared" si="229"/>
        <v>47593</v>
      </c>
      <c r="AE2670" s="7">
        <f t="shared" si="231"/>
        <v>12874.657417814988</v>
      </c>
    </row>
    <row r="2671" spans="30:31" ht="14" thickBot="1" x14ac:dyDescent="0.2">
      <c r="AD2671" s="98">
        <f t="shared" si="229"/>
        <v>47594</v>
      </c>
      <c r="AE2671" s="7">
        <f t="shared" si="231"/>
        <v>12898.879924868055</v>
      </c>
    </row>
    <row r="2672" spans="30:31" ht="14" thickBot="1" x14ac:dyDescent="0.2">
      <c r="AD2672" s="98">
        <f t="shared" si="229"/>
        <v>47595</v>
      </c>
      <c r="AE2672" s="7">
        <f t="shared" si="231"/>
        <v>12923.148004384055</v>
      </c>
    </row>
    <row r="2673" spans="30:31" ht="14" thickBot="1" x14ac:dyDescent="0.2">
      <c r="AD2673" s="98">
        <f t="shared" si="229"/>
        <v>47596</v>
      </c>
      <c r="AE2673" s="7">
        <f t="shared" si="231"/>
        <v>12947.461742103465</v>
      </c>
    </row>
    <row r="2674" spans="30:31" ht="14" thickBot="1" x14ac:dyDescent="0.2">
      <c r="AD2674" s="98">
        <f t="shared" si="229"/>
        <v>47597</v>
      </c>
      <c r="AE2674" s="7">
        <f t="shared" si="231"/>
        <v>12971.82122392808</v>
      </c>
    </row>
    <row r="2675" spans="30:31" ht="14" thickBot="1" x14ac:dyDescent="0.2">
      <c r="AD2675" s="98">
        <f t="shared" si="229"/>
        <v>47598</v>
      </c>
      <c r="AE2675" s="7">
        <f t="shared" si="231"/>
        <v>12996.226535921309</v>
      </c>
    </row>
    <row r="2676" spans="30:31" ht="14" thickBot="1" x14ac:dyDescent="0.2">
      <c r="AD2676" s="98">
        <f t="shared" si="229"/>
        <v>47599</v>
      </c>
      <c r="AE2676" s="7">
        <f t="shared" si="231"/>
        <v>13020.677764308482</v>
      </c>
    </row>
    <row r="2677" spans="30:31" ht="14" thickBot="1" x14ac:dyDescent="0.2">
      <c r="AD2677" s="98">
        <f t="shared" si="229"/>
        <v>47600</v>
      </c>
      <c r="AE2677" s="7">
        <f t="shared" si="231"/>
        <v>13045.174995477155</v>
      </c>
    </row>
    <row r="2678" spans="30:31" ht="14" thickBot="1" x14ac:dyDescent="0.2">
      <c r="AD2678" s="98">
        <f t="shared" si="229"/>
        <v>47601</v>
      </c>
      <c r="AE2678" s="7">
        <f t="shared" si="231"/>
        <v>13069.718315977412</v>
      </c>
    </row>
    <row r="2679" spans="30:31" ht="14" thickBot="1" x14ac:dyDescent="0.2">
      <c r="AD2679" s="98">
        <f t="shared" si="229"/>
        <v>47602</v>
      </c>
      <c r="AE2679" s="7">
        <f t="shared" si="231"/>
        <v>13094.307812522175</v>
      </c>
    </row>
    <row r="2680" spans="30:31" ht="14" thickBot="1" x14ac:dyDescent="0.2">
      <c r="AD2680" s="98">
        <f t="shared" si="229"/>
        <v>47603</v>
      </c>
      <c r="AE2680" s="7">
        <f t="shared" si="231"/>
        <v>13118.943571987507</v>
      </c>
    </row>
    <row r="2681" spans="30:31" ht="14" thickBot="1" x14ac:dyDescent="0.2">
      <c r="AD2681" s="98">
        <f t="shared" si="229"/>
        <v>47604</v>
      </c>
      <c r="AE2681" s="7">
        <f t="shared" si="231"/>
        <v>13143.625681412923</v>
      </c>
    </row>
    <row r="2682" spans="30:31" ht="14" thickBot="1" x14ac:dyDescent="0.2">
      <c r="AD2682" s="98">
        <f t="shared" si="229"/>
        <v>47605</v>
      </c>
      <c r="AE2682" s="7">
        <f t="shared" si="231"/>
        <v>13168.354228001694</v>
      </c>
    </row>
    <row r="2683" spans="30:31" ht="14" thickBot="1" x14ac:dyDescent="0.2">
      <c r="AD2683" s="98">
        <f t="shared" si="229"/>
        <v>47606</v>
      </c>
      <c r="AE2683" s="7">
        <f t="shared" si="231"/>
        <v>13193.129299121154</v>
      </c>
    </row>
    <row r="2684" spans="30:31" ht="14" thickBot="1" x14ac:dyDescent="0.2">
      <c r="AD2684" s="98">
        <f t="shared" si="229"/>
        <v>47607</v>
      </c>
      <c r="AE2684" s="7">
        <f t="shared" si="231"/>
        <v>13217.950982303013</v>
      </c>
    </row>
    <row r="2685" spans="30:31" ht="14" thickBot="1" x14ac:dyDescent="0.2">
      <c r="AD2685" s="98">
        <f t="shared" si="229"/>
        <v>47608</v>
      </c>
      <c r="AE2685" s="7">
        <f t="shared" si="231"/>
        <v>13242.819365243666</v>
      </c>
    </row>
    <row r="2686" spans="30:31" ht="14" thickBot="1" x14ac:dyDescent="0.2">
      <c r="AD2686" s="98">
        <f t="shared" si="229"/>
        <v>47609</v>
      </c>
      <c r="AE2686" s="7">
        <f t="shared" si="231"/>
        <v>13267.734535804495</v>
      </c>
    </row>
    <row r="2687" spans="30:31" ht="14" thickBot="1" x14ac:dyDescent="0.2">
      <c r="AD2687" s="98">
        <f t="shared" si="229"/>
        <v>47610</v>
      </c>
      <c r="AE2687" s="7">
        <f t="shared" si="231"/>
        <v>13292.69658201219</v>
      </c>
    </row>
    <row r="2688" spans="30:31" ht="14" thickBot="1" x14ac:dyDescent="0.2">
      <c r="AD2688" s="98">
        <f t="shared" si="229"/>
        <v>47611</v>
      </c>
      <c r="AE2688" s="7">
        <f t="shared" si="231"/>
        <v>13317.705592059054</v>
      </c>
    </row>
    <row r="2689" spans="30:31" ht="14" thickBot="1" x14ac:dyDescent="0.2">
      <c r="AD2689" s="98">
        <f t="shared" si="229"/>
        <v>47612</v>
      </c>
      <c r="AE2689" s="7">
        <f t="shared" si="231"/>
        <v>13342.761654303316</v>
      </c>
    </row>
    <row r="2690" spans="30:31" ht="14" thickBot="1" x14ac:dyDescent="0.2">
      <c r="AD2690" s="98">
        <f t="shared" si="229"/>
        <v>47613</v>
      </c>
      <c r="AE2690" s="7">
        <f t="shared" si="231"/>
        <v>13367.864857269442</v>
      </c>
    </row>
    <row r="2691" spans="30:31" ht="14" thickBot="1" x14ac:dyDescent="0.2">
      <c r="AD2691" s="98">
        <f t="shared" si="229"/>
        <v>47614</v>
      </c>
      <c r="AE2691" s="7">
        <f t="shared" si="231"/>
        <v>13393.015289648451</v>
      </c>
    </row>
    <row r="2692" spans="30:31" ht="14" thickBot="1" x14ac:dyDescent="0.2">
      <c r="AD2692" s="98">
        <f t="shared" si="229"/>
        <v>47615</v>
      </c>
      <c r="AE2692" s="7">
        <f t="shared" si="231"/>
        <v>13418.213040298222</v>
      </c>
    </row>
    <row r="2693" spans="30:31" ht="14" thickBot="1" x14ac:dyDescent="0.2">
      <c r="AD2693" s="98">
        <f t="shared" si="229"/>
        <v>47616</v>
      </c>
      <c r="AE2693" s="7">
        <f t="shared" si="231"/>
        <v>13443.458198243818</v>
      </c>
    </row>
    <row r="2694" spans="30:31" ht="14" thickBot="1" x14ac:dyDescent="0.2">
      <c r="AD2694" s="98">
        <f t="shared" si="229"/>
        <v>47617</v>
      </c>
      <c r="AE2694" s="7">
        <f t="shared" si="231"/>
        <v>13468.750852677789</v>
      </c>
    </row>
    <row r="2695" spans="30:31" ht="14" thickBot="1" x14ac:dyDescent="0.2">
      <c r="AD2695" s="98">
        <f t="shared" si="229"/>
        <v>47618</v>
      </c>
      <c r="AE2695" s="7">
        <f t="shared" si="231"/>
        <v>13494.091092960498</v>
      </c>
    </row>
    <row r="2696" spans="30:31" ht="14" thickBot="1" x14ac:dyDescent="0.2">
      <c r="AD2696" s="98">
        <f t="shared" si="229"/>
        <v>47619</v>
      </c>
      <c r="AE2696" s="7">
        <f t="shared" ref="AE2696:AE2726" si="232">AE2695*$AI$86</f>
        <v>13520.326094598242</v>
      </c>
    </row>
    <row r="2697" spans="30:31" ht="14" thickBot="1" x14ac:dyDescent="0.2">
      <c r="AD2697" s="98">
        <f t="shared" ref="AD2697:AD2760" si="233">AD2696+1</f>
        <v>47620</v>
      </c>
      <c r="AE2697" s="7">
        <f t="shared" si="232"/>
        <v>13546.612101917377</v>
      </c>
    </row>
    <row r="2698" spans="30:31" ht="14" thickBot="1" x14ac:dyDescent="0.2">
      <c r="AD2698" s="98">
        <f t="shared" si="233"/>
        <v>47621</v>
      </c>
      <c r="AE2698" s="7">
        <f t="shared" si="232"/>
        <v>13572.949214082353</v>
      </c>
    </row>
    <row r="2699" spans="30:31" ht="14" thickBot="1" x14ac:dyDescent="0.2">
      <c r="AD2699" s="98">
        <f t="shared" si="233"/>
        <v>47622</v>
      </c>
      <c r="AE2699" s="7">
        <f t="shared" si="232"/>
        <v>13599.337530450413</v>
      </c>
    </row>
    <row r="2700" spans="30:31" ht="14" thickBot="1" x14ac:dyDescent="0.2">
      <c r="AD2700" s="98">
        <f t="shared" si="233"/>
        <v>47623</v>
      </c>
      <c r="AE2700" s="7">
        <f t="shared" si="232"/>
        <v>13625.777150571974</v>
      </c>
    </row>
    <row r="2701" spans="30:31" ht="14" thickBot="1" x14ac:dyDescent="0.2">
      <c r="AD2701" s="98">
        <f t="shared" si="233"/>
        <v>47624</v>
      </c>
      <c r="AE2701" s="7">
        <f t="shared" si="232"/>
        <v>13652.268174190993</v>
      </c>
    </row>
    <row r="2702" spans="30:31" ht="14" thickBot="1" x14ac:dyDescent="0.2">
      <c r="AD2702" s="98">
        <f t="shared" si="233"/>
        <v>47625</v>
      </c>
      <c r="AE2702" s="7">
        <f t="shared" si="232"/>
        <v>13678.810701245347</v>
      </c>
    </row>
    <row r="2703" spans="30:31" ht="14" thickBot="1" x14ac:dyDescent="0.2">
      <c r="AD2703" s="98">
        <f t="shared" si="233"/>
        <v>47626</v>
      </c>
      <c r="AE2703" s="7">
        <f t="shared" si="232"/>
        <v>13705.404831867216</v>
      </c>
    </row>
    <row r="2704" spans="30:31" ht="14" thickBot="1" x14ac:dyDescent="0.2">
      <c r="AD2704" s="98">
        <f t="shared" si="233"/>
        <v>47627</v>
      </c>
      <c r="AE2704" s="7">
        <f t="shared" si="232"/>
        <v>13732.050666383448</v>
      </c>
    </row>
    <row r="2705" spans="30:31" ht="14" thickBot="1" x14ac:dyDescent="0.2">
      <c r="AD2705" s="98">
        <f t="shared" si="233"/>
        <v>47628</v>
      </c>
      <c r="AE2705" s="7">
        <f t="shared" si="232"/>
        <v>13758.74830531595</v>
      </c>
    </row>
    <row r="2706" spans="30:31" ht="14" thickBot="1" x14ac:dyDescent="0.2">
      <c r="AD2706" s="98">
        <f t="shared" si="233"/>
        <v>47629</v>
      </c>
      <c r="AE2706" s="7">
        <f t="shared" si="232"/>
        <v>13785.497849382064</v>
      </c>
    </row>
    <row r="2707" spans="30:31" ht="14" thickBot="1" x14ac:dyDescent="0.2">
      <c r="AD2707" s="98">
        <f t="shared" si="233"/>
        <v>47630</v>
      </c>
      <c r="AE2707" s="7">
        <f t="shared" si="232"/>
        <v>13812.299399494937</v>
      </c>
    </row>
    <row r="2708" spans="30:31" ht="14" thickBot="1" x14ac:dyDescent="0.2">
      <c r="AD2708" s="98">
        <f t="shared" si="233"/>
        <v>47631</v>
      </c>
      <c r="AE2708" s="7">
        <f t="shared" si="232"/>
        <v>13839.153056763918</v>
      </c>
    </row>
    <row r="2709" spans="30:31" ht="14" thickBot="1" x14ac:dyDescent="0.2">
      <c r="AD2709" s="98">
        <f t="shared" si="233"/>
        <v>47632</v>
      </c>
      <c r="AE2709" s="7">
        <f t="shared" si="232"/>
        <v>13866.058922494927</v>
      </c>
    </row>
    <row r="2710" spans="30:31" ht="14" thickBot="1" x14ac:dyDescent="0.2">
      <c r="AD2710" s="98">
        <f t="shared" si="233"/>
        <v>47633</v>
      </c>
      <c r="AE2710" s="7">
        <f t="shared" si="232"/>
        <v>13893.017098190843</v>
      </c>
    </row>
    <row r="2711" spans="30:31" ht="14" thickBot="1" x14ac:dyDescent="0.2">
      <c r="AD2711" s="98">
        <f t="shared" si="233"/>
        <v>47634</v>
      </c>
      <c r="AE2711" s="7">
        <f t="shared" si="232"/>
        <v>13920.027685551884</v>
      </c>
    </row>
    <row r="2712" spans="30:31" ht="14" thickBot="1" x14ac:dyDescent="0.2">
      <c r="AD2712" s="98">
        <f t="shared" si="233"/>
        <v>47635</v>
      </c>
      <c r="AE2712" s="7">
        <f t="shared" si="232"/>
        <v>13947.090786475992</v>
      </c>
    </row>
    <row r="2713" spans="30:31" ht="14" thickBot="1" x14ac:dyDescent="0.2">
      <c r="AD2713" s="98">
        <f t="shared" si="233"/>
        <v>47636</v>
      </c>
      <c r="AE2713" s="7">
        <f t="shared" si="232"/>
        <v>13974.20650305922</v>
      </c>
    </row>
    <row r="2714" spans="30:31" ht="14" thickBot="1" x14ac:dyDescent="0.2">
      <c r="AD2714" s="98">
        <f t="shared" si="233"/>
        <v>47637</v>
      </c>
      <c r="AE2714" s="7">
        <f t="shared" si="232"/>
        <v>14001.374937596111</v>
      </c>
    </row>
    <row r="2715" spans="30:31" ht="14" thickBot="1" x14ac:dyDescent="0.2">
      <c r="AD2715" s="98">
        <f t="shared" si="233"/>
        <v>47638</v>
      </c>
      <c r="AE2715" s="7">
        <f t="shared" si="232"/>
        <v>14028.596192580089</v>
      </c>
    </row>
    <row r="2716" spans="30:31" ht="14" thickBot="1" x14ac:dyDescent="0.2">
      <c r="AD2716" s="98">
        <f t="shared" si="233"/>
        <v>47639</v>
      </c>
      <c r="AE2716" s="7">
        <f t="shared" si="232"/>
        <v>14055.870370703846</v>
      </c>
    </row>
    <row r="2717" spans="30:31" ht="14" thickBot="1" x14ac:dyDescent="0.2">
      <c r="AD2717" s="98">
        <f t="shared" si="233"/>
        <v>47640</v>
      </c>
      <c r="AE2717" s="7">
        <f t="shared" si="232"/>
        <v>14083.197574859723</v>
      </c>
    </row>
    <row r="2718" spans="30:31" ht="14" thickBot="1" x14ac:dyDescent="0.2">
      <c r="AD2718" s="98">
        <f t="shared" si="233"/>
        <v>47641</v>
      </c>
      <c r="AE2718" s="7">
        <f t="shared" si="232"/>
        <v>14110.577908140109</v>
      </c>
    </row>
    <row r="2719" spans="30:31" ht="14" thickBot="1" x14ac:dyDescent="0.2">
      <c r="AD2719" s="98">
        <f t="shared" si="233"/>
        <v>47642</v>
      </c>
      <c r="AE2719" s="7">
        <f t="shared" si="232"/>
        <v>14138.011473837816</v>
      </c>
    </row>
    <row r="2720" spans="30:31" ht="14" thickBot="1" x14ac:dyDescent="0.2">
      <c r="AD2720" s="98">
        <f t="shared" si="233"/>
        <v>47643</v>
      </c>
      <c r="AE2720" s="7">
        <f t="shared" si="232"/>
        <v>14165.498375446483</v>
      </c>
    </row>
    <row r="2721" spans="30:31" ht="14" thickBot="1" x14ac:dyDescent="0.2">
      <c r="AD2721" s="98">
        <f t="shared" si="233"/>
        <v>47644</v>
      </c>
      <c r="AE2721" s="7">
        <f t="shared" si="232"/>
        <v>14193.038716660956</v>
      </c>
    </row>
    <row r="2722" spans="30:31" ht="14" thickBot="1" x14ac:dyDescent="0.2">
      <c r="AD2722" s="98">
        <f t="shared" si="233"/>
        <v>47645</v>
      </c>
      <c r="AE2722" s="7">
        <f t="shared" si="232"/>
        <v>14220.632601377683</v>
      </c>
    </row>
    <row r="2723" spans="30:31" ht="14" thickBot="1" x14ac:dyDescent="0.2">
      <c r="AD2723" s="98">
        <f t="shared" si="233"/>
        <v>47646</v>
      </c>
      <c r="AE2723" s="7">
        <f t="shared" si="232"/>
        <v>14248.280133695109</v>
      </c>
    </row>
    <row r="2724" spans="30:31" ht="14" thickBot="1" x14ac:dyDescent="0.2">
      <c r="AD2724" s="98">
        <f t="shared" si="233"/>
        <v>47647</v>
      </c>
      <c r="AE2724" s="7">
        <f t="shared" si="232"/>
        <v>14275.981417914061</v>
      </c>
    </row>
    <row r="2725" spans="30:31" ht="14" thickBot="1" x14ac:dyDescent="0.2">
      <c r="AD2725" s="98">
        <f t="shared" si="233"/>
        <v>47648</v>
      </c>
      <c r="AE2725" s="7">
        <f t="shared" si="232"/>
        <v>14303.73655853815</v>
      </c>
    </row>
    <row r="2726" spans="30:31" ht="14" thickBot="1" x14ac:dyDescent="0.2">
      <c r="AD2726" s="98">
        <f t="shared" si="233"/>
        <v>47649</v>
      </c>
      <c r="AE2726" s="7">
        <f t="shared" si="232"/>
        <v>14331.54566027416</v>
      </c>
    </row>
    <row r="2727" spans="30:31" ht="14" thickBot="1" x14ac:dyDescent="0.2">
      <c r="AD2727" s="98">
        <f t="shared" si="233"/>
        <v>47650</v>
      </c>
      <c r="AE2727" s="7">
        <f t="shared" ref="AE2727:AE2756" si="234">AE2726*$AI$87</f>
        <v>14358.509171191117</v>
      </c>
    </row>
    <row r="2728" spans="30:31" ht="14" thickBot="1" x14ac:dyDescent="0.2">
      <c r="AD2728" s="98">
        <f t="shared" si="233"/>
        <v>47651</v>
      </c>
      <c r="AE2728" s="7">
        <f t="shared" si="234"/>
        <v>14385.523411522627</v>
      </c>
    </row>
    <row r="2729" spans="30:31" ht="14" thickBot="1" x14ac:dyDescent="0.2">
      <c r="AD2729" s="98">
        <f t="shared" si="233"/>
        <v>47652</v>
      </c>
      <c r="AE2729" s="7">
        <f t="shared" si="234"/>
        <v>14412.588476711508</v>
      </c>
    </row>
    <row r="2730" spans="30:31" ht="14" thickBot="1" x14ac:dyDescent="0.2">
      <c r="AD2730" s="98">
        <f t="shared" si="233"/>
        <v>47653</v>
      </c>
      <c r="AE2730" s="7">
        <f t="shared" si="234"/>
        <v>14439.704462380145</v>
      </c>
    </row>
    <row r="2731" spans="30:31" ht="14" thickBot="1" x14ac:dyDescent="0.2">
      <c r="AD2731" s="98">
        <f t="shared" si="233"/>
        <v>47654</v>
      </c>
      <c r="AE2731" s="7">
        <f t="shared" si="234"/>
        <v>14466.871464330832</v>
      </c>
    </row>
    <row r="2732" spans="30:31" ht="14" thickBot="1" x14ac:dyDescent="0.2">
      <c r="AD2732" s="98">
        <f t="shared" si="233"/>
        <v>47655</v>
      </c>
      <c r="AE2732" s="7">
        <f t="shared" si="234"/>
        <v>14494.089578546102</v>
      </c>
    </row>
    <row r="2733" spans="30:31" ht="14" thickBot="1" x14ac:dyDescent="0.2">
      <c r="AD2733" s="98">
        <f t="shared" si="233"/>
        <v>47656</v>
      </c>
      <c r="AE2733" s="7">
        <f t="shared" si="234"/>
        <v>14521.358901189073</v>
      </c>
    </row>
    <row r="2734" spans="30:31" ht="14" thickBot="1" x14ac:dyDescent="0.2">
      <c r="AD2734" s="98">
        <f t="shared" si="233"/>
        <v>47657</v>
      </c>
      <c r="AE2734" s="7">
        <f t="shared" si="234"/>
        <v>14548.679528603783</v>
      </c>
    </row>
    <row r="2735" spans="30:31" ht="14" thickBot="1" x14ac:dyDescent="0.2">
      <c r="AD2735" s="98">
        <f t="shared" si="233"/>
        <v>47658</v>
      </c>
      <c r="AE2735" s="7">
        <f t="shared" si="234"/>
        <v>14576.051557315535</v>
      </c>
    </row>
    <row r="2736" spans="30:31" ht="14" thickBot="1" x14ac:dyDescent="0.2">
      <c r="AD2736" s="98">
        <f t="shared" si="233"/>
        <v>47659</v>
      </c>
      <c r="AE2736" s="7">
        <f t="shared" si="234"/>
        <v>14603.475084031235</v>
      </c>
    </row>
    <row r="2737" spans="30:31" ht="14" thickBot="1" x14ac:dyDescent="0.2">
      <c r="AD2737" s="98">
        <f t="shared" si="233"/>
        <v>47660</v>
      </c>
      <c r="AE2737" s="7">
        <f t="shared" si="234"/>
        <v>14630.950205639734</v>
      </c>
    </row>
    <row r="2738" spans="30:31" ht="14" thickBot="1" x14ac:dyDescent="0.2">
      <c r="AD2738" s="98">
        <f t="shared" si="233"/>
        <v>47661</v>
      </c>
      <c r="AE2738" s="7">
        <f t="shared" si="234"/>
        <v>14658.47701921217</v>
      </c>
    </row>
    <row r="2739" spans="30:31" ht="14" thickBot="1" x14ac:dyDescent="0.2">
      <c r="AD2739" s="98">
        <f t="shared" si="233"/>
        <v>47662</v>
      </c>
      <c r="AE2739" s="7">
        <f t="shared" si="234"/>
        <v>14686.055622002314</v>
      </c>
    </row>
    <row r="2740" spans="30:31" ht="14" thickBot="1" x14ac:dyDescent="0.2">
      <c r="AD2740" s="98">
        <f t="shared" si="233"/>
        <v>47663</v>
      </c>
      <c r="AE2740" s="7">
        <f t="shared" si="234"/>
        <v>14713.686111446907</v>
      </c>
    </row>
    <row r="2741" spans="30:31" ht="14" thickBot="1" x14ac:dyDescent="0.2">
      <c r="AD2741" s="98">
        <f t="shared" si="233"/>
        <v>47664</v>
      </c>
      <c r="AE2741" s="7">
        <f t="shared" si="234"/>
        <v>14741.36858516601</v>
      </c>
    </row>
    <row r="2742" spans="30:31" ht="14" thickBot="1" x14ac:dyDescent="0.2">
      <c r="AD2742" s="98">
        <f t="shared" si="233"/>
        <v>47665</v>
      </c>
      <c r="AE2742" s="7">
        <f t="shared" si="234"/>
        <v>14769.103140963351</v>
      </c>
    </row>
    <row r="2743" spans="30:31" ht="14" thickBot="1" x14ac:dyDescent="0.2">
      <c r="AD2743" s="98">
        <f t="shared" si="233"/>
        <v>47666</v>
      </c>
      <c r="AE2743" s="7">
        <f t="shared" si="234"/>
        <v>14796.889876826663</v>
      </c>
    </row>
    <row r="2744" spans="30:31" ht="14" thickBot="1" x14ac:dyDescent="0.2">
      <c r="AD2744" s="98">
        <f t="shared" si="233"/>
        <v>47667</v>
      </c>
      <c r="AE2744" s="7">
        <f t="shared" si="234"/>
        <v>14824.728890928034</v>
      </c>
    </row>
    <row r="2745" spans="30:31" ht="14" thickBot="1" x14ac:dyDescent="0.2">
      <c r="AD2745" s="98">
        <f t="shared" si="233"/>
        <v>47668</v>
      </c>
      <c r="AE2745" s="7">
        <f t="shared" si="234"/>
        <v>14852.620281624257</v>
      </c>
    </row>
    <row r="2746" spans="30:31" ht="14" thickBot="1" x14ac:dyDescent="0.2">
      <c r="AD2746" s="98">
        <f t="shared" si="233"/>
        <v>47669</v>
      </c>
      <c r="AE2746" s="7">
        <f t="shared" si="234"/>
        <v>14880.564147457171</v>
      </c>
    </row>
    <row r="2747" spans="30:31" ht="14" thickBot="1" x14ac:dyDescent="0.2">
      <c r="AD2747" s="98">
        <f t="shared" si="233"/>
        <v>47670</v>
      </c>
      <c r="AE2747" s="7">
        <f t="shared" si="234"/>
        <v>14908.560587154016</v>
      </c>
    </row>
    <row r="2748" spans="30:31" ht="14" thickBot="1" x14ac:dyDescent="0.2">
      <c r="AD2748" s="98">
        <f t="shared" si="233"/>
        <v>47671</v>
      </c>
      <c r="AE2748" s="7">
        <f t="shared" si="234"/>
        <v>14936.609699627776</v>
      </c>
    </row>
    <row r="2749" spans="30:31" ht="14" thickBot="1" x14ac:dyDescent="0.2">
      <c r="AD2749" s="98">
        <f t="shared" si="233"/>
        <v>47672</v>
      </c>
      <c r="AE2749" s="7">
        <f t="shared" si="234"/>
        <v>14964.711583977531</v>
      </c>
    </row>
    <row r="2750" spans="30:31" ht="14" thickBot="1" x14ac:dyDescent="0.2">
      <c r="AD2750" s="98">
        <f t="shared" si="233"/>
        <v>47673</v>
      </c>
      <c r="AE2750" s="7">
        <f t="shared" si="234"/>
        <v>14992.866339488806</v>
      </c>
    </row>
    <row r="2751" spans="30:31" ht="14" thickBot="1" x14ac:dyDescent="0.2">
      <c r="AD2751" s="98">
        <f t="shared" si="233"/>
        <v>47674</v>
      </c>
      <c r="AE2751" s="7">
        <f t="shared" si="234"/>
        <v>15021.074065633926</v>
      </c>
    </row>
    <row r="2752" spans="30:31" ht="14" thickBot="1" x14ac:dyDescent="0.2">
      <c r="AD2752" s="98">
        <f t="shared" si="233"/>
        <v>47675</v>
      </c>
      <c r="AE2752" s="7">
        <f t="shared" si="234"/>
        <v>15049.334862072361</v>
      </c>
    </row>
    <row r="2753" spans="30:31" ht="14" thickBot="1" x14ac:dyDescent="0.2">
      <c r="AD2753" s="98">
        <f t="shared" si="233"/>
        <v>47676</v>
      </c>
      <c r="AE2753" s="7">
        <f t="shared" si="234"/>
        <v>15077.648828651083</v>
      </c>
    </row>
    <row r="2754" spans="30:31" ht="14" thickBot="1" x14ac:dyDescent="0.2">
      <c r="AD2754" s="98">
        <f t="shared" si="233"/>
        <v>47677</v>
      </c>
      <c r="AE2754" s="7">
        <f t="shared" si="234"/>
        <v>15106.016065404918</v>
      </c>
    </row>
    <row r="2755" spans="30:31" ht="14" thickBot="1" x14ac:dyDescent="0.2">
      <c r="AD2755" s="98">
        <f t="shared" si="233"/>
        <v>47678</v>
      </c>
      <c r="AE2755" s="7">
        <f t="shared" si="234"/>
        <v>15134.436672556894</v>
      </c>
    </row>
    <row r="2756" spans="30:31" ht="14" thickBot="1" x14ac:dyDescent="0.2">
      <c r="AD2756" s="98">
        <f t="shared" si="233"/>
        <v>47679</v>
      </c>
      <c r="AE2756" s="7">
        <f t="shared" si="234"/>
        <v>15162.910750518608</v>
      </c>
    </row>
    <row r="2757" spans="30:31" ht="14" thickBot="1" x14ac:dyDescent="0.2">
      <c r="AD2757" s="98">
        <f t="shared" si="233"/>
        <v>47680</v>
      </c>
      <c r="AE2757" s="7">
        <f t="shared" ref="AE2757:AE2787" si="235">AE2756*$AI$88</f>
        <v>15192.390245330997</v>
      </c>
    </row>
    <row r="2758" spans="30:31" ht="14" thickBot="1" x14ac:dyDescent="0.2">
      <c r="AD2758" s="98">
        <f t="shared" si="233"/>
        <v>47681</v>
      </c>
      <c r="AE2758" s="7">
        <f t="shared" si="235"/>
        <v>15221.927053717849</v>
      </c>
    </row>
    <row r="2759" spans="30:31" ht="14" thickBot="1" x14ac:dyDescent="0.2">
      <c r="AD2759" s="98">
        <f t="shared" si="233"/>
        <v>47682</v>
      </c>
      <c r="AE2759" s="7">
        <f t="shared" si="235"/>
        <v>15251.521287107325</v>
      </c>
    </row>
    <row r="2760" spans="30:31" ht="14" thickBot="1" x14ac:dyDescent="0.2">
      <c r="AD2760" s="98">
        <f t="shared" si="233"/>
        <v>47683</v>
      </c>
      <c r="AE2760" s="7">
        <f t="shared" si="235"/>
        <v>15281.173057144219</v>
      </c>
    </row>
    <row r="2761" spans="30:31" ht="14" thickBot="1" x14ac:dyDescent="0.2">
      <c r="AD2761" s="98">
        <f t="shared" ref="AD2761:AD2824" si="236">AD2760+1</f>
        <v>47684</v>
      </c>
      <c r="AE2761" s="7">
        <f t="shared" si="235"/>
        <v>15310.882475690383</v>
      </c>
    </row>
    <row r="2762" spans="30:31" ht="14" thickBot="1" x14ac:dyDescent="0.2">
      <c r="AD2762" s="98">
        <f t="shared" si="236"/>
        <v>47685</v>
      </c>
      <c r="AE2762" s="7">
        <f t="shared" si="235"/>
        <v>15340.649654825153</v>
      </c>
    </row>
    <row r="2763" spans="30:31" ht="14" thickBot="1" x14ac:dyDescent="0.2">
      <c r="AD2763" s="98">
        <f t="shared" si="236"/>
        <v>47686</v>
      </c>
      <c r="AE2763" s="7">
        <f t="shared" si="235"/>
        <v>15370.474706845764</v>
      </c>
    </row>
    <row r="2764" spans="30:31" ht="14" thickBot="1" x14ac:dyDescent="0.2">
      <c r="AD2764" s="98">
        <f t="shared" si="236"/>
        <v>47687</v>
      </c>
      <c r="AE2764" s="7">
        <f t="shared" si="235"/>
        <v>15400.357744267778</v>
      </c>
    </row>
    <row r="2765" spans="30:31" ht="14" thickBot="1" x14ac:dyDescent="0.2">
      <c r="AD2765" s="98">
        <f t="shared" si="236"/>
        <v>47688</v>
      </c>
      <c r="AE2765" s="7">
        <f t="shared" si="235"/>
        <v>15430.29887982551</v>
      </c>
    </row>
    <row r="2766" spans="30:31" ht="14" thickBot="1" x14ac:dyDescent="0.2">
      <c r="AD2766" s="98">
        <f t="shared" si="236"/>
        <v>47689</v>
      </c>
      <c r="AE2766" s="7">
        <f t="shared" si="235"/>
        <v>15460.298226472451</v>
      </c>
    </row>
    <row r="2767" spans="30:31" ht="14" thickBot="1" x14ac:dyDescent="0.2">
      <c r="AD2767" s="98">
        <f t="shared" si="236"/>
        <v>47690</v>
      </c>
      <c r="AE2767" s="7">
        <f t="shared" si="235"/>
        <v>15490.355897381691</v>
      </c>
    </row>
    <row r="2768" spans="30:31" ht="14" thickBot="1" x14ac:dyDescent="0.2">
      <c r="AD2768" s="98">
        <f t="shared" si="236"/>
        <v>47691</v>
      </c>
      <c r="AE2768" s="7">
        <f t="shared" si="235"/>
        <v>15520.472005946354</v>
      </c>
    </row>
    <row r="2769" spans="30:31" ht="14" thickBot="1" x14ac:dyDescent="0.2">
      <c r="AD2769" s="98">
        <f t="shared" si="236"/>
        <v>47692</v>
      </c>
      <c r="AE2769" s="7">
        <f t="shared" si="235"/>
        <v>15550.646665780019</v>
      </c>
    </row>
    <row r="2770" spans="30:31" ht="14" thickBot="1" x14ac:dyDescent="0.2">
      <c r="AD2770" s="98">
        <f t="shared" si="236"/>
        <v>47693</v>
      </c>
      <c r="AE2770" s="7">
        <f t="shared" si="235"/>
        <v>15580.879990717151</v>
      </c>
    </row>
    <row r="2771" spans="30:31" ht="14" thickBot="1" x14ac:dyDescent="0.2">
      <c r="AD2771" s="98">
        <f t="shared" si="236"/>
        <v>47694</v>
      </c>
      <c r="AE2771" s="7">
        <f t="shared" si="235"/>
        <v>15611.172094813528</v>
      </c>
    </row>
    <row r="2772" spans="30:31" ht="14" thickBot="1" x14ac:dyDescent="0.2">
      <c r="AD2772" s="98">
        <f t="shared" si="236"/>
        <v>47695</v>
      </c>
      <c r="AE2772" s="7">
        <f t="shared" si="235"/>
        <v>15641.523092346679</v>
      </c>
    </row>
    <row r="2773" spans="30:31" ht="14" thickBot="1" x14ac:dyDescent="0.2">
      <c r="AD2773" s="98">
        <f t="shared" si="236"/>
        <v>47696</v>
      </c>
      <c r="AE2773" s="7">
        <f t="shared" si="235"/>
        <v>15671.933097816303</v>
      </c>
    </row>
    <row r="2774" spans="30:31" ht="14" thickBot="1" x14ac:dyDescent="0.2">
      <c r="AD2774" s="98">
        <f t="shared" si="236"/>
        <v>47697</v>
      </c>
      <c r="AE2774" s="7">
        <f t="shared" si="235"/>
        <v>15702.402225944712</v>
      </c>
    </row>
    <row r="2775" spans="30:31" ht="14" thickBot="1" x14ac:dyDescent="0.2">
      <c r="AD2775" s="98">
        <f t="shared" si="236"/>
        <v>47698</v>
      </c>
      <c r="AE2775" s="7">
        <f t="shared" si="235"/>
        <v>15732.930591677257</v>
      </c>
    </row>
    <row r="2776" spans="30:31" ht="14" thickBot="1" x14ac:dyDescent="0.2">
      <c r="AD2776" s="98">
        <f t="shared" si="236"/>
        <v>47699</v>
      </c>
      <c r="AE2776" s="7">
        <f t="shared" si="235"/>
        <v>15763.518310182766</v>
      </c>
    </row>
    <row r="2777" spans="30:31" ht="14" thickBot="1" x14ac:dyDescent="0.2">
      <c r="AD2777" s="98">
        <f t="shared" si="236"/>
        <v>47700</v>
      </c>
      <c r="AE2777" s="7">
        <f t="shared" si="235"/>
        <v>15794.165496853975</v>
      </c>
    </row>
    <row r="2778" spans="30:31" ht="14" thickBot="1" x14ac:dyDescent="0.2">
      <c r="AD2778" s="98">
        <f t="shared" si="236"/>
        <v>47701</v>
      </c>
      <c r="AE2778" s="7">
        <f t="shared" si="235"/>
        <v>15824.872267307966</v>
      </c>
    </row>
    <row r="2779" spans="30:31" ht="14" thickBot="1" x14ac:dyDescent="0.2">
      <c r="AD2779" s="98">
        <f t="shared" si="236"/>
        <v>47702</v>
      </c>
      <c r="AE2779" s="7">
        <f t="shared" si="235"/>
        <v>15855.6387373866</v>
      </c>
    </row>
    <row r="2780" spans="30:31" ht="14" thickBot="1" x14ac:dyDescent="0.2">
      <c r="AD2780" s="98">
        <f t="shared" si="236"/>
        <v>47703</v>
      </c>
      <c r="AE2780" s="7">
        <f t="shared" si="235"/>
        <v>15886.465023156958</v>
      </c>
    </row>
    <row r="2781" spans="30:31" ht="14" thickBot="1" x14ac:dyDescent="0.2">
      <c r="AD2781" s="98">
        <f t="shared" si="236"/>
        <v>47704</v>
      </c>
      <c r="AE2781" s="7">
        <f t="shared" si="235"/>
        <v>15917.351240911774</v>
      </c>
    </row>
    <row r="2782" spans="30:31" ht="14" thickBot="1" x14ac:dyDescent="0.2">
      <c r="AD2782" s="98">
        <f t="shared" si="236"/>
        <v>47705</v>
      </c>
      <c r="AE2782" s="7">
        <f t="shared" si="235"/>
        <v>15948.297507169878</v>
      </c>
    </row>
    <row r="2783" spans="30:31" ht="14" thickBot="1" x14ac:dyDescent="0.2">
      <c r="AD2783" s="98">
        <f t="shared" si="236"/>
        <v>47706</v>
      </c>
      <c r="AE2783" s="7">
        <f t="shared" si="235"/>
        <v>15979.303938676638</v>
      </c>
    </row>
    <row r="2784" spans="30:31" ht="14" thickBot="1" x14ac:dyDescent="0.2">
      <c r="AD2784" s="98">
        <f t="shared" si="236"/>
        <v>47707</v>
      </c>
      <c r="AE2784" s="7">
        <f t="shared" si="235"/>
        <v>16010.370652404388</v>
      </c>
    </row>
    <row r="2785" spans="30:31" ht="14" thickBot="1" x14ac:dyDescent="0.2">
      <c r="AD2785" s="98">
        <f t="shared" si="236"/>
        <v>47708</v>
      </c>
      <c r="AE2785" s="7">
        <f t="shared" si="235"/>
        <v>16041.497765552887</v>
      </c>
    </row>
    <row r="2786" spans="30:31" ht="14" thickBot="1" x14ac:dyDescent="0.2">
      <c r="AD2786" s="98">
        <f t="shared" si="236"/>
        <v>47709</v>
      </c>
      <c r="AE2786" s="7">
        <f t="shared" si="235"/>
        <v>16072.685395549746</v>
      </c>
    </row>
    <row r="2787" spans="30:31" ht="14" thickBot="1" x14ac:dyDescent="0.2">
      <c r="AD2787" s="98">
        <f t="shared" si="236"/>
        <v>47710</v>
      </c>
      <c r="AE2787" s="7">
        <f t="shared" si="235"/>
        <v>16103.93366005088</v>
      </c>
    </row>
    <row r="2788" spans="30:31" ht="14" thickBot="1" x14ac:dyDescent="0.2">
      <c r="AD2788" s="98">
        <f t="shared" si="236"/>
        <v>47711</v>
      </c>
      <c r="AE2788" s="7">
        <f t="shared" ref="AE2788:AE2818" si="237">AE2787*$AI$89</f>
        <v>16135.242676940943</v>
      </c>
    </row>
    <row r="2789" spans="30:31" ht="14" thickBot="1" x14ac:dyDescent="0.2">
      <c r="AD2789" s="98">
        <f t="shared" si="236"/>
        <v>47712</v>
      </c>
      <c r="AE2789" s="7">
        <f t="shared" si="237"/>
        <v>16166.612564333787</v>
      </c>
    </row>
    <row r="2790" spans="30:31" ht="14" thickBot="1" x14ac:dyDescent="0.2">
      <c r="AD2790" s="98">
        <f t="shared" si="236"/>
        <v>47713</v>
      </c>
      <c r="AE2790" s="7">
        <f t="shared" si="237"/>
        <v>16198.043440572894</v>
      </c>
    </row>
    <row r="2791" spans="30:31" ht="14" thickBot="1" x14ac:dyDescent="0.2">
      <c r="AD2791" s="98">
        <f t="shared" si="236"/>
        <v>47714</v>
      </c>
      <c r="AE2791" s="7">
        <f t="shared" si="237"/>
        <v>16229.535424231828</v>
      </c>
    </row>
    <row r="2792" spans="30:31" ht="14" thickBot="1" x14ac:dyDescent="0.2">
      <c r="AD2792" s="98">
        <f t="shared" si="236"/>
        <v>47715</v>
      </c>
      <c r="AE2792" s="7">
        <f t="shared" si="237"/>
        <v>16261.088634114683</v>
      </c>
    </row>
    <row r="2793" spans="30:31" ht="14" thickBot="1" x14ac:dyDescent="0.2">
      <c r="AD2793" s="98">
        <f t="shared" si="236"/>
        <v>47716</v>
      </c>
      <c r="AE2793" s="7">
        <f t="shared" si="237"/>
        <v>16292.70318925653</v>
      </c>
    </row>
    <row r="2794" spans="30:31" ht="14" thickBot="1" x14ac:dyDescent="0.2">
      <c r="AD2794" s="98">
        <f t="shared" si="236"/>
        <v>47717</v>
      </c>
      <c r="AE2794" s="7">
        <f t="shared" si="237"/>
        <v>16324.379208923865</v>
      </c>
    </row>
    <row r="2795" spans="30:31" ht="14" thickBot="1" x14ac:dyDescent="0.2">
      <c r="AD2795" s="98">
        <f t="shared" si="236"/>
        <v>47718</v>
      </c>
      <c r="AE2795" s="7">
        <f t="shared" si="237"/>
        <v>16356.116812615061</v>
      </c>
    </row>
    <row r="2796" spans="30:31" ht="14" thickBot="1" x14ac:dyDescent="0.2">
      <c r="AD2796" s="98">
        <f t="shared" si="236"/>
        <v>47719</v>
      </c>
      <c r="AE2796" s="7">
        <f t="shared" si="237"/>
        <v>16387.916120060818</v>
      </c>
    </row>
    <row r="2797" spans="30:31" ht="14" thickBot="1" x14ac:dyDescent="0.2">
      <c r="AD2797" s="98">
        <f t="shared" si="236"/>
        <v>47720</v>
      </c>
      <c r="AE2797" s="7">
        <f t="shared" si="237"/>
        <v>16419.777251224612</v>
      </c>
    </row>
    <row r="2798" spans="30:31" ht="14" thickBot="1" x14ac:dyDescent="0.2">
      <c r="AD2798" s="98">
        <f t="shared" si="236"/>
        <v>47721</v>
      </c>
      <c r="AE2798" s="7">
        <f t="shared" si="237"/>
        <v>16451.700326303155</v>
      </c>
    </row>
    <row r="2799" spans="30:31" ht="14" thickBot="1" x14ac:dyDescent="0.2">
      <c r="AD2799" s="98">
        <f t="shared" si="236"/>
        <v>47722</v>
      </c>
      <c r="AE2799" s="7">
        <f t="shared" si="237"/>
        <v>16483.685465726841</v>
      </c>
    </row>
    <row r="2800" spans="30:31" ht="14" thickBot="1" x14ac:dyDescent="0.2">
      <c r="AD2800" s="98">
        <f t="shared" si="236"/>
        <v>47723</v>
      </c>
      <c r="AE2800" s="7">
        <f t="shared" si="237"/>
        <v>16515.7327901602</v>
      </c>
    </row>
    <row r="2801" spans="30:31" ht="14" thickBot="1" x14ac:dyDescent="0.2">
      <c r="AD2801" s="98">
        <f t="shared" si="236"/>
        <v>47724</v>
      </c>
      <c r="AE2801" s="7">
        <f t="shared" si="237"/>
        <v>16547.842420502362</v>
      </c>
    </row>
    <row r="2802" spans="30:31" ht="14" thickBot="1" x14ac:dyDescent="0.2">
      <c r="AD2802" s="98">
        <f t="shared" si="236"/>
        <v>47725</v>
      </c>
      <c r="AE2802" s="7">
        <f t="shared" si="237"/>
        <v>16580.0144778875</v>
      </c>
    </row>
    <row r="2803" spans="30:31" ht="14" thickBot="1" x14ac:dyDescent="0.2">
      <c r="AD2803" s="98">
        <f t="shared" si="236"/>
        <v>47726</v>
      </c>
      <c r="AE2803" s="7">
        <f t="shared" si="237"/>
        <v>16612.249083685303</v>
      </c>
    </row>
    <row r="2804" spans="30:31" ht="14" thickBot="1" x14ac:dyDescent="0.2">
      <c r="AD2804" s="98">
        <f t="shared" si="236"/>
        <v>47727</v>
      </c>
      <c r="AE2804" s="7">
        <f t="shared" si="237"/>
        <v>16644.546359501415</v>
      </c>
    </row>
    <row r="2805" spans="30:31" ht="14" thickBot="1" x14ac:dyDescent="0.2">
      <c r="AD2805" s="98">
        <f t="shared" si="236"/>
        <v>47728</v>
      </c>
      <c r="AE2805" s="7">
        <f t="shared" si="237"/>
        <v>16676.906427177913</v>
      </c>
    </row>
    <row r="2806" spans="30:31" ht="14" thickBot="1" x14ac:dyDescent="0.2">
      <c r="AD2806" s="98">
        <f t="shared" si="236"/>
        <v>47729</v>
      </c>
      <c r="AE2806" s="7">
        <f t="shared" si="237"/>
        <v>16709.329408793754</v>
      </c>
    </row>
    <row r="2807" spans="30:31" ht="14" thickBot="1" x14ac:dyDescent="0.2">
      <c r="AD2807" s="98">
        <f t="shared" si="236"/>
        <v>47730</v>
      </c>
      <c r="AE2807" s="7">
        <f t="shared" si="237"/>
        <v>16741.815426665235</v>
      </c>
    </row>
    <row r="2808" spans="30:31" ht="14" thickBot="1" x14ac:dyDescent="0.2">
      <c r="AD2808" s="98">
        <f t="shared" si="236"/>
        <v>47731</v>
      </c>
      <c r="AE2808" s="7">
        <f t="shared" si="237"/>
        <v>16774.364603346465</v>
      </c>
    </row>
    <row r="2809" spans="30:31" ht="14" thickBot="1" x14ac:dyDescent="0.2">
      <c r="AD2809" s="98">
        <f t="shared" si="236"/>
        <v>47732</v>
      </c>
      <c r="AE2809" s="7">
        <f t="shared" si="237"/>
        <v>16806.977061629816</v>
      </c>
    </row>
    <row r="2810" spans="30:31" ht="14" thickBot="1" x14ac:dyDescent="0.2">
      <c r="AD2810" s="98">
        <f t="shared" si="236"/>
        <v>47733</v>
      </c>
      <c r="AE2810" s="7">
        <f t="shared" si="237"/>
        <v>16839.652924546393</v>
      </c>
    </row>
    <row r="2811" spans="30:31" ht="14" thickBot="1" x14ac:dyDescent="0.2">
      <c r="AD2811" s="98">
        <f t="shared" si="236"/>
        <v>47734</v>
      </c>
      <c r="AE2811" s="7">
        <f t="shared" si="237"/>
        <v>16872.392315366498</v>
      </c>
    </row>
    <row r="2812" spans="30:31" ht="14" thickBot="1" x14ac:dyDescent="0.2">
      <c r="AD2812" s="98">
        <f t="shared" si="236"/>
        <v>47735</v>
      </c>
      <c r="AE2812" s="7">
        <f t="shared" si="237"/>
        <v>16905.195357600089</v>
      </c>
    </row>
    <row r="2813" spans="30:31" ht="14" thickBot="1" x14ac:dyDescent="0.2">
      <c r="AD2813" s="98">
        <f t="shared" si="236"/>
        <v>47736</v>
      </c>
      <c r="AE2813" s="7">
        <f t="shared" si="237"/>
        <v>16938.062174997252</v>
      </c>
    </row>
    <row r="2814" spans="30:31" ht="14" thickBot="1" x14ac:dyDescent="0.2">
      <c r="AD2814" s="98">
        <f t="shared" si="236"/>
        <v>47737</v>
      </c>
      <c r="AE2814" s="7">
        <f t="shared" si="237"/>
        <v>16970.992891548667</v>
      </c>
    </row>
    <row r="2815" spans="30:31" ht="14" thickBot="1" x14ac:dyDescent="0.2">
      <c r="AD2815" s="98">
        <f t="shared" si="236"/>
        <v>47738</v>
      </c>
      <c r="AE2815" s="7">
        <f t="shared" si="237"/>
        <v>17003.987631486074</v>
      </c>
    </row>
    <row r="2816" spans="30:31" ht="14" thickBot="1" x14ac:dyDescent="0.2">
      <c r="AD2816" s="98">
        <f t="shared" si="236"/>
        <v>47739</v>
      </c>
      <c r="AE2816" s="7">
        <f t="shared" si="237"/>
        <v>17037.046519282743</v>
      </c>
    </row>
    <row r="2817" spans="30:32" ht="14" thickBot="1" x14ac:dyDescent="0.2">
      <c r="AD2817" s="98">
        <f t="shared" si="236"/>
        <v>47740</v>
      </c>
      <c r="AE2817" s="7">
        <f t="shared" si="237"/>
        <v>17070.169679653944</v>
      </c>
    </row>
    <row r="2818" spans="30:32" ht="14" thickBot="1" x14ac:dyDescent="0.2">
      <c r="AD2818" s="98">
        <f t="shared" si="236"/>
        <v>47741</v>
      </c>
      <c r="AE2818" s="7">
        <f t="shared" si="237"/>
        <v>17103.357237557411</v>
      </c>
      <c r="AF2818" t="s">
        <v>6</v>
      </c>
    </row>
    <row r="2819" spans="30:32" ht="14" thickBot="1" x14ac:dyDescent="0.2">
      <c r="AD2819" s="98">
        <f t="shared" si="236"/>
        <v>47742</v>
      </c>
      <c r="AE2819" s="7">
        <f t="shared" ref="AE2819:AE2848" si="238">AE2818*$AI$90</f>
        <v>17136.609318193827</v>
      </c>
    </row>
    <row r="2820" spans="30:32" ht="14" thickBot="1" x14ac:dyDescent="0.2">
      <c r="AD2820" s="98">
        <f t="shared" si="236"/>
        <v>47743</v>
      </c>
      <c r="AE2820" s="7">
        <f t="shared" si="238"/>
        <v>17169.92604700728</v>
      </c>
    </row>
    <row r="2821" spans="30:32" ht="14" thickBot="1" x14ac:dyDescent="0.2">
      <c r="AD2821" s="98">
        <f t="shared" si="236"/>
        <v>47744</v>
      </c>
      <c r="AE2821" s="7">
        <f t="shared" si="238"/>
        <v>17203.307549685753</v>
      </c>
    </row>
    <row r="2822" spans="30:32" ht="14" thickBot="1" x14ac:dyDescent="0.2">
      <c r="AD2822" s="98">
        <f t="shared" si="236"/>
        <v>47745</v>
      </c>
      <c r="AE2822" s="7">
        <f t="shared" si="238"/>
        <v>17236.75395216158</v>
      </c>
    </row>
    <row r="2823" spans="30:32" ht="14" thickBot="1" x14ac:dyDescent="0.2">
      <c r="AD2823" s="98">
        <f t="shared" si="236"/>
        <v>47746</v>
      </c>
      <c r="AE2823" s="7">
        <f t="shared" si="238"/>
        <v>17270.265380611938</v>
      </c>
    </row>
    <row r="2824" spans="30:32" ht="14" thickBot="1" x14ac:dyDescent="0.2">
      <c r="AD2824" s="98">
        <f t="shared" si="236"/>
        <v>47747</v>
      </c>
      <c r="AE2824" s="7">
        <f t="shared" si="238"/>
        <v>17303.841961459315</v>
      </c>
    </row>
    <row r="2825" spans="30:32" ht="14" thickBot="1" x14ac:dyDescent="0.2">
      <c r="AD2825" s="98">
        <f t="shared" ref="AD2825:AD2888" si="239">AD2824+1</f>
        <v>47748</v>
      </c>
      <c r="AE2825" s="7">
        <f t="shared" si="238"/>
        <v>17337.483821371985</v>
      </c>
    </row>
    <row r="2826" spans="30:32" ht="14" thickBot="1" x14ac:dyDescent="0.2">
      <c r="AD2826" s="98">
        <f t="shared" si="239"/>
        <v>47749</v>
      </c>
      <c r="AE2826" s="7">
        <f t="shared" si="238"/>
        <v>17371.191087264488</v>
      </c>
    </row>
    <row r="2827" spans="30:32" ht="14" thickBot="1" x14ac:dyDescent="0.2">
      <c r="AD2827" s="98">
        <f t="shared" si="239"/>
        <v>47750</v>
      </c>
      <c r="AE2827" s="7">
        <f t="shared" si="238"/>
        <v>17404.963886298112</v>
      </c>
    </row>
    <row r="2828" spans="30:32" ht="14" thickBot="1" x14ac:dyDescent="0.2">
      <c r="AD2828" s="98">
        <f t="shared" si="239"/>
        <v>47751</v>
      </c>
      <c r="AE2828" s="7">
        <f t="shared" si="238"/>
        <v>17438.80234588137</v>
      </c>
    </row>
    <row r="2829" spans="30:32" ht="14" thickBot="1" x14ac:dyDescent="0.2">
      <c r="AD2829" s="98">
        <f t="shared" si="239"/>
        <v>47752</v>
      </c>
      <c r="AE2829" s="7">
        <f t="shared" si="238"/>
        <v>17472.706593670475</v>
      </c>
    </row>
    <row r="2830" spans="30:32" ht="14" thickBot="1" x14ac:dyDescent="0.2">
      <c r="AD2830" s="98">
        <f t="shared" si="239"/>
        <v>47753</v>
      </c>
      <c r="AE2830" s="7">
        <f t="shared" si="238"/>
        <v>17506.676757569836</v>
      </c>
    </row>
    <row r="2831" spans="30:32" ht="14" thickBot="1" x14ac:dyDescent="0.2">
      <c r="AD2831" s="98">
        <f t="shared" si="239"/>
        <v>47754</v>
      </c>
      <c r="AE2831" s="7">
        <f t="shared" si="238"/>
        <v>17540.712965732528</v>
      </c>
    </row>
    <row r="2832" spans="30:32" ht="14" thickBot="1" x14ac:dyDescent="0.2">
      <c r="AD2832" s="98">
        <f t="shared" si="239"/>
        <v>47755</v>
      </c>
      <c r="AE2832" s="7">
        <f t="shared" si="238"/>
        <v>17574.815346560776</v>
      </c>
    </row>
    <row r="2833" spans="30:31" ht="14" thickBot="1" x14ac:dyDescent="0.2">
      <c r="AD2833" s="98">
        <f t="shared" si="239"/>
        <v>47756</v>
      </c>
      <c r="AE2833" s="7">
        <f t="shared" si="238"/>
        <v>17608.984028706447</v>
      </c>
    </row>
    <row r="2834" spans="30:31" ht="14" thickBot="1" x14ac:dyDescent="0.2">
      <c r="AD2834" s="98">
        <f t="shared" si="239"/>
        <v>47757</v>
      </c>
      <c r="AE2834" s="7">
        <f t="shared" si="238"/>
        <v>17643.219141071528</v>
      </c>
    </row>
    <row r="2835" spans="30:31" ht="14" thickBot="1" x14ac:dyDescent="0.2">
      <c r="AD2835" s="98">
        <f t="shared" si="239"/>
        <v>47758</v>
      </c>
      <c r="AE2835" s="7">
        <f t="shared" si="238"/>
        <v>17677.520812808616</v>
      </c>
    </row>
    <row r="2836" spans="30:31" ht="14" thickBot="1" x14ac:dyDescent="0.2">
      <c r="AD2836" s="98">
        <f t="shared" si="239"/>
        <v>47759</v>
      </c>
      <c r="AE2836" s="7">
        <f t="shared" si="238"/>
        <v>17711.889173321408</v>
      </c>
    </row>
    <row r="2837" spans="30:31" ht="14" thickBot="1" x14ac:dyDescent="0.2">
      <c r="AD2837" s="98">
        <f t="shared" si="239"/>
        <v>47760</v>
      </c>
      <c r="AE2837" s="7">
        <f t="shared" si="238"/>
        <v>17746.324352265179</v>
      </c>
    </row>
    <row r="2838" spans="30:31" ht="14" thickBot="1" x14ac:dyDescent="0.2">
      <c r="AD2838" s="98">
        <f t="shared" si="239"/>
        <v>47761</v>
      </c>
      <c r="AE2838" s="7">
        <f t="shared" si="238"/>
        <v>17780.826479547282</v>
      </c>
    </row>
    <row r="2839" spans="30:31" ht="14" thickBot="1" x14ac:dyDescent="0.2">
      <c r="AD2839" s="98">
        <f t="shared" si="239"/>
        <v>47762</v>
      </c>
      <c r="AE2839" s="7">
        <f t="shared" si="238"/>
        <v>17815.395685327636</v>
      </c>
    </row>
    <row r="2840" spans="30:31" ht="14" thickBot="1" x14ac:dyDescent="0.2">
      <c r="AD2840" s="98">
        <f t="shared" si="239"/>
        <v>47763</v>
      </c>
      <c r="AE2840" s="7">
        <f t="shared" si="238"/>
        <v>17850.032100019209</v>
      </c>
    </row>
    <row r="2841" spans="30:31" ht="14" thickBot="1" x14ac:dyDescent="0.2">
      <c r="AD2841" s="98">
        <f t="shared" si="239"/>
        <v>47764</v>
      </c>
      <c r="AE2841" s="7">
        <f t="shared" si="238"/>
        <v>17884.735854288519</v>
      </c>
    </row>
    <row r="2842" spans="30:31" ht="14" thickBot="1" x14ac:dyDescent="0.2">
      <c r="AD2842" s="98">
        <f t="shared" si="239"/>
        <v>47765</v>
      </c>
      <c r="AE2842" s="7">
        <f t="shared" si="238"/>
        <v>17919.507079056126</v>
      </c>
    </row>
    <row r="2843" spans="30:31" ht="14" thickBot="1" x14ac:dyDescent="0.2">
      <c r="AD2843" s="98">
        <f t="shared" si="239"/>
        <v>47766</v>
      </c>
      <c r="AE2843" s="7">
        <f t="shared" si="238"/>
        <v>17954.345905497121</v>
      </c>
    </row>
    <row r="2844" spans="30:31" ht="14" thickBot="1" x14ac:dyDescent="0.2">
      <c r="AD2844" s="98">
        <f t="shared" si="239"/>
        <v>47767</v>
      </c>
      <c r="AE2844" s="7">
        <f t="shared" si="238"/>
        <v>17989.252465041624</v>
      </c>
    </row>
    <row r="2845" spans="30:31" ht="14" thickBot="1" x14ac:dyDescent="0.2">
      <c r="AD2845" s="98">
        <f t="shared" si="239"/>
        <v>47768</v>
      </c>
      <c r="AE2845" s="7">
        <f t="shared" si="238"/>
        <v>18024.226889375277</v>
      </c>
    </row>
    <row r="2846" spans="30:31" ht="14" thickBot="1" x14ac:dyDescent="0.2">
      <c r="AD2846" s="98">
        <f t="shared" si="239"/>
        <v>47769</v>
      </c>
      <c r="AE2846" s="7">
        <f t="shared" si="238"/>
        <v>18059.269310439748</v>
      </c>
    </row>
    <row r="2847" spans="30:31" ht="14" thickBot="1" x14ac:dyDescent="0.2">
      <c r="AD2847" s="98">
        <f t="shared" si="239"/>
        <v>47770</v>
      </c>
      <c r="AE2847" s="7">
        <f t="shared" si="238"/>
        <v>18094.379860433219</v>
      </c>
    </row>
    <row r="2848" spans="30:31" ht="14" thickBot="1" x14ac:dyDescent="0.2">
      <c r="AD2848" s="98">
        <f t="shared" si="239"/>
        <v>47771</v>
      </c>
      <c r="AE2848" s="7">
        <f t="shared" si="238"/>
        <v>18129.558671810893</v>
      </c>
    </row>
    <row r="2849" spans="30:31" ht="14" thickBot="1" x14ac:dyDescent="0.2">
      <c r="AD2849" s="98">
        <f t="shared" si="239"/>
        <v>47772</v>
      </c>
      <c r="AE2849" s="7">
        <f t="shared" ref="AE2849:AE2879" si="240">AE2848*$AI$91</f>
        <v>18164.805877285493</v>
      </c>
    </row>
    <row r="2850" spans="30:31" ht="14" thickBot="1" x14ac:dyDescent="0.2">
      <c r="AD2850" s="98">
        <f t="shared" si="239"/>
        <v>47773</v>
      </c>
      <c r="AE2850" s="7">
        <f t="shared" si="240"/>
        <v>18200.121609827755</v>
      </c>
    </row>
    <row r="2851" spans="30:31" ht="14" thickBot="1" x14ac:dyDescent="0.2">
      <c r="AD2851" s="98">
        <f t="shared" si="239"/>
        <v>47774</v>
      </c>
      <c r="AE2851" s="7">
        <f t="shared" si="240"/>
        <v>18235.506002666934</v>
      </c>
    </row>
    <row r="2852" spans="30:31" ht="14" thickBot="1" x14ac:dyDescent="0.2">
      <c r="AD2852" s="98">
        <f t="shared" si="239"/>
        <v>47775</v>
      </c>
      <c r="AE2852" s="7">
        <f t="shared" si="240"/>
        <v>18270.959189291312</v>
      </c>
    </row>
    <row r="2853" spans="30:31" ht="14" thickBot="1" x14ac:dyDescent="0.2">
      <c r="AD2853" s="98">
        <f t="shared" si="239"/>
        <v>47776</v>
      </c>
      <c r="AE2853" s="7">
        <f t="shared" si="240"/>
        <v>18306.481303448691</v>
      </c>
    </row>
    <row r="2854" spans="30:31" ht="14" thickBot="1" x14ac:dyDescent="0.2">
      <c r="AD2854" s="98">
        <f t="shared" si="239"/>
        <v>47777</v>
      </c>
      <c r="AE2854" s="7">
        <f t="shared" si="240"/>
        <v>18342.072479146907</v>
      </c>
    </row>
    <row r="2855" spans="30:31" ht="14" thickBot="1" x14ac:dyDescent="0.2">
      <c r="AD2855" s="98">
        <f t="shared" si="239"/>
        <v>47778</v>
      </c>
      <c r="AE2855" s="7">
        <f t="shared" si="240"/>
        <v>18377.732850654334</v>
      </c>
    </row>
    <row r="2856" spans="30:31" ht="14" thickBot="1" x14ac:dyDescent="0.2">
      <c r="AD2856" s="98">
        <f t="shared" si="239"/>
        <v>47779</v>
      </c>
      <c r="AE2856" s="7">
        <f t="shared" si="240"/>
        <v>18413.462552500387</v>
      </c>
    </row>
    <row r="2857" spans="30:31" ht="14" thickBot="1" x14ac:dyDescent="0.2">
      <c r="AD2857" s="98">
        <f t="shared" si="239"/>
        <v>47780</v>
      </c>
      <c r="AE2857" s="7">
        <f t="shared" si="240"/>
        <v>18449.261719476028</v>
      </c>
    </row>
    <row r="2858" spans="30:31" ht="14" thickBot="1" x14ac:dyDescent="0.2">
      <c r="AD2858" s="98">
        <f t="shared" si="239"/>
        <v>47781</v>
      </c>
      <c r="AE2858" s="7">
        <f t="shared" si="240"/>
        <v>18485.13048663428</v>
      </c>
    </row>
    <row r="2859" spans="30:31" ht="14" thickBot="1" x14ac:dyDescent="0.2">
      <c r="AD2859" s="98">
        <f t="shared" si="239"/>
        <v>47782</v>
      </c>
      <c r="AE2859" s="7">
        <f t="shared" si="240"/>
        <v>18521.068989290732</v>
      </c>
    </row>
    <row r="2860" spans="30:31" ht="14" thickBot="1" x14ac:dyDescent="0.2">
      <c r="AD2860" s="98">
        <f t="shared" si="239"/>
        <v>47783</v>
      </c>
      <c r="AE2860" s="7">
        <f t="shared" si="240"/>
        <v>18557.077363024055</v>
      </c>
    </row>
    <row r="2861" spans="30:31" ht="14" thickBot="1" x14ac:dyDescent="0.2">
      <c r="AD2861" s="98">
        <f t="shared" si="239"/>
        <v>47784</v>
      </c>
      <c r="AE2861" s="7">
        <f t="shared" si="240"/>
        <v>18593.155743676507</v>
      </c>
    </row>
    <row r="2862" spans="30:31" ht="14" thickBot="1" x14ac:dyDescent="0.2">
      <c r="AD2862" s="98">
        <f t="shared" si="239"/>
        <v>47785</v>
      </c>
      <c r="AE2862" s="7">
        <f t="shared" si="240"/>
        <v>18629.304267354448</v>
      </c>
    </row>
    <row r="2863" spans="30:31" ht="14" thickBot="1" x14ac:dyDescent="0.2">
      <c r="AD2863" s="98">
        <f t="shared" si="239"/>
        <v>47786</v>
      </c>
      <c r="AE2863" s="7">
        <f t="shared" si="240"/>
        <v>18665.523070428859</v>
      </c>
    </row>
    <row r="2864" spans="30:31" ht="14" thickBot="1" x14ac:dyDescent="0.2">
      <c r="AD2864" s="98">
        <f t="shared" si="239"/>
        <v>47787</v>
      </c>
      <c r="AE2864" s="7">
        <f t="shared" si="240"/>
        <v>18701.812289535843</v>
      </c>
    </row>
    <row r="2865" spans="30:31" ht="14" thickBot="1" x14ac:dyDescent="0.2">
      <c r="AD2865" s="98">
        <f t="shared" si="239"/>
        <v>47788</v>
      </c>
      <c r="AE2865" s="7">
        <f t="shared" si="240"/>
        <v>18738.172061577156</v>
      </c>
    </row>
    <row r="2866" spans="30:31" ht="14" thickBot="1" x14ac:dyDescent="0.2">
      <c r="AD2866" s="98">
        <f t="shared" si="239"/>
        <v>47789</v>
      </c>
      <c r="AE2866" s="7">
        <f t="shared" si="240"/>
        <v>18774.602523720714</v>
      </c>
    </row>
    <row r="2867" spans="30:31" ht="14" thickBot="1" x14ac:dyDescent="0.2">
      <c r="AD2867" s="98">
        <f t="shared" si="239"/>
        <v>47790</v>
      </c>
      <c r="AE2867" s="7">
        <f t="shared" si="240"/>
        <v>18811.103813401111</v>
      </c>
    </row>
    <row r="2868" spans="30:31" ht="14" thickBot="1" x14ac:dyDescent="0.2">
      <c r="AD2868" s="98">
        <f t="shared" si="239"/>
        <v>47791</v>
      </c>
      <c r="AE2868" s="7">
        <f t="shared" si="240"/>
        <v>18847.676068320139</v>
      </c>
    </row>
    <row r="2869" spans="30:31" ht="14" thickBot="1" x14ac:dyDescent="0.2">
      <c r="AD2869" s="98">
        <f t="shared" si="239"/>
        <v>47792</v>
      </c>
      <c r="AE2869" s="7">
        <f t="shared" si="240"/>
        <v>18884.319426447313</v>
      </c>
    </row>
    <row r="2870" spans="30:31" ht="14" thickBot="1" x14ac:dyDescent="0.2">
      <c r="AD2870" s="98">
        <f t="shared" si="239"/>
        <v>47793</v>
      </c>
      <c r="AE2870" s="7">
        <f t="shared" si="240"/>
        <v>18921.034026020381</v>
      </c>
    </row>
    <row r="2871" spans="30:31" ht="14" thickBot="1" x14ac:dyDescent="0.2">
      <c r="AD2871" s="98">
        <f t="shared" si="239"/>
        <v>47794</v>
      </c>
      <c r="AE2871" s="7">
        <f t="shared" si="240"/>
        <v>18957.820005545851</v>
      </c>
    </row>
    <row r="2872" spans="30:31" ht="14" thickBot="1" x14ac:dyDescent="0.2">
      <c r="AD2872" s="98">
        <f t="shared" si="239"/>
        <v>47795</v>
      </c>
      <c r="AE2872" s="7">
        <f t="shared" si="240"/>
        <v>18994.677503799514</v>
      </c>
    </row>
    <row r="2873" spans="30:31" ht="14" thickBot="1" x14ac:dyDescent="0.2">
      <c r="AD2873" s="98">
        <f t="shared" si="239"/>
        <v>47796</v>
      </c>
      <c r="AE2873" s="7">
        <f t="shared" si="240"/>
        <v>19031.606659826968</v>
      </c>
    </row>
    <row r="2874" spans="30:31" ht="14" thickBot="1" x14ac:dyDescent="0.2">
      <c r="AD2874" s="98">
        <f t="shared" si="239"/>
        <v>47797</v>
      </c>
      <c r="AE2874" s="7">
        <f t="shared" si="240"/>
        <v>19068.607612944139</v>
      </c>
    </row>
    <row r="2875" spans="30:31" ht="14" thickBot="1" x14ac:dyDescent="0.2">
      <c r="AD2875" s="98">
        <f t="shared" si="239"/>
        <v>47798</v>
      </c>
      <c r="AE2875" s="7">
        <f t="shared" si="240"/>
        <v>19105.68050273781</v>
      </c>
    </row>
    <row r="2876" spans="30:31" ht="14" thickBot="1" x14ac:dyDescent="0.2">
      <c r="AD2876" s="98">
        <f t="shared" si="239"/>
        <v>47799</v>
      </c>
      <c r="AE2876" s="7">
        <f t="shared" si="240"/>
        <v>19142.825469066149</v>
      </c>
    </row>
    <row r="2877" spans="30:31" ht="14" thickBot="1" x14ac:dyDescent="0.2">
      <c r="AD2877" s="98">
        <f t="shared" si="239"/>
        <v>47800</v>
      </c>
      <c r="AE2877" s="7">
        <f t="shared" si="240"/>
        <v>19180.04265205923</v>
      </c>
    </row>
    <row r="2878" spans="30:31" ht="14" thickBot="1" x14ac:dyDescent="0.2">
      <c r="AD2878" s="98">
        <f t="shared" si="239"/>
        <v>47801</v>
      </c>
      <c r="AE2878" s="7">
        <f t="shared" si="240"/>
        <v>19217.332192119567</v>
      </c>
    </row>
    <row r="2879" spans="30:31" ht="14" thickBot="1" x14ac:dyDescent="0.2">
      <c r="AD2879" s="98">
        <f t="shared" si="239"/>
        <v>47802</v>
      </c>
      <c r="AE2879" s="7">
        <f t="shared" si="240"/>
        <v>19254.694229922643</v>
      </c>
    </row>
    <row r="2880" spans="30:31" ht="14" thickBot="1" x14ac:dyDescent="0.2">
      <c r="AD2880" s="98">
        <f t="shared" si="239"/>
        <v>47803</v>
      </c>
      <c r="AE2880" s="7">
        <f t="shared" ref="AE2880:AE2909" si="241">AE2879*$AI$92</f>
        <v>19292.128906417438</v>
      </c>
    </row>
    <row r="2881" spans="30:31" ht="14" thickBot="1" x14ac:dyDescent="0.2">
      <c r="AD2881" s="98">
        <f t="shared" si="239"/>
        <v>47804</v>
      </c>
      <c r="AE2881" s="7">
        <f t="shared" si="241"/>
        <v>19329.636362826968</v>
      </c>
    </row>
    <row r="2882" spans="30:31" ht="14" thickBot="1" x14ac:dyDescent="0.2">
      <c r="AD2882" s="98">
        <f t="shared" si="239"/>
        <v>47805</v>
      </c>
      <c r="AE2882" s="7">
        <f t="shared" si="241"/>
        <v>19367.216740648808</v>
      </c>
    </row>
    <row r="2883" spans="30:31" ht="14" thickBot="1" x14ac:dyDescent="0.2">
      <c r="AD2883" s="98">
        <f t="shared" si="239"/>
        <v>47806</v>
      </c>
      <c r="AE2883" s="7">
        <f t="shared" si="241"/>
        <v>19404.870181655631</v>
      </c>
    </row>
    <row r="2884" spans="30:31" ht="14" thickBot="1" x14ac:dyDescent="0.2">
      <c r="AD2884" s="98">
        <f t="shared" si="239"/>
        <v>47807</v>
      </c>
      <c r="AE2884" s="7">
        <f t="shared" si="241"/>
        <v>19442.596827895744</v>
      </c>
    </row>
    <row r="2885" spans="30:31" ht="14" thickBot="1" x14ac:dyDescent="0.2">
      <c r="AD2885" s="98">
        <f t="shared" si="239"/>
        <v>47808</v>
      </c>
      <c r="AE2885" s="7">
        <f t="shared" si="241"/>
        <v>19480.396821693619</v>
      </c>
    </row>
    <row r="2886" spans="30:31" ht="14" thickBot="1" x14ac:dyDescent="0.2">
      <c r="AD2886" s="98">
        <f t="shared" si="239"/>
        <v>47809</v>
      </c>
      <c r="AE2886" s="7">
        <f t="shared" si="241"/>
        <v>19518.270305650436</v>
      </c>
    </row>
    <row r="2887" spans="30:31" ht="14" thickBot="1" x14ac:dyDescent="0.2">
      <c r="AD2887" s="98">
        <f t="shared" si="239"/>
        <v>47810</v>
      </c>
      <c r="AE2887" s="7">
        <f t="shared" si="241"/>
        <v>19556.217422644615</v>
      </c>
    </row>
    <row r="2888" spans="30:31" ht="14" thickBot="1" x14ac:dyDescent="0.2">
      <c r="AD2888" s="98">
        <f t="shared" si="239"/>
        <v>47811</v>
      </c>
      <c r="AE2888" s="7">
        <f t="shared" si="241"/>
        <v>19594.238315832361</v>
      </c>
    </row>
    <row r="2889" spans="30:31" ht="14" thickBot="1" x14ac:dyDescent="0.2">
      <c r="AD2889" s="98">
        <f t="shared" ref="AD2889:AD2952" si="242">AD2888+1</f>
        <v>47812</v>
      </c>
      <c r="AE2889" s="7">
        <f t="shared" si="241"/>
        <v>19632.333128648203</v>
      </c>
    </row>
    <row r="2890" spans="30:31" ht="14" thickBot="1" x14ac:dyDescent="0.2">
      <c r="AD2890" s="98">
        <f t="shared" si="242"/>
        <v>47813</v>
      </c>
      <c r="AE2890" s="7">
        <f t="shared" si="241"/>
        <v>19670.502004805527</v>
      </c>
    </row>
    <row r="2891" spans="30:31" ht="14" thickBot="1" x14ac:dyDescent="0.2">
      <c r="AD2891" s="98">
        <f t="shared" si="242"/>
        <v>47814</v>
      </c>
      <c r="AE2891" s="7">
        <f t="shared" si="241"/>
        <v>19708.745088297124</v>
      </c>
    </row>
    <row r="2892" spans="30:31" ht="14" thickBot="1" x14ac:dyDescent="0.2">
      <c r="AD2892" s="98">
        <f t="shared" si="242"/>
        <v>47815</v>
      </c>
      <c r="AE2892" s="7">
        <f t="shared" si="241"/>
        <v>19747.062523395743</v>
      </c>
    </row>
    <row r="2893" spans="30:31" ht="14" thickBot="1" x14ac:dyDescent="0.2">
      <c r="AD2893" s="98">
        <f t="shared" si="242"/>
        <v>47816</v>
      </c>
      <c r="AE2893" s="7">
        <f t="shared" si="241"/>
        <v>19785.454454654617</v>
      </c>
    </row>
    <row r="2894" spans="30:31" ht="14" thickBot="1" x14ac:dyDescent="0.2">
      <c r="AD2894" s="98">
        <f t="shared" si="242"/>
        <v>47817</v>
      </c>
      <c r="AE2894" s="7">
        <f t="shared" si="241"/>
        <v>19823.921026908021</v>
      </c>
    </row>
    <row r="2895" spans="30:31" ht="14" thickBot="1" x14ac:dyDescent="0.2">
      <c r="AD2895" s="98">
        <f t="shared" si="242"/>
        <v>47818</v>
      </c>
      <c r="AE2895" s="7">
        <f t="shared" si="241"/>
        <v>19862.462385271814</v>
      </c>
    </row>
    <row r="2896" spans="30:31" ht="14" thickBot="1" x14ac:dyDescent="0.2">
      <c r="AD2896" s="98">
        <f t="shared" si="242"/>
        <v>47819</v>
      </c>
      <c r="AE2896" s="7">
        <f t="shared" si="241"/>
        <v>19901.078675143985</v>
      </c>
    </row>
    <row r="2897" spans="30:32" ht="14" thickBot="1" x14ac:dyDescent="0.2">
      <c r="AD2897" s="98">
        <f t="shared" si="242"/>
        <v>47820</v>
      </c>
      <c r="AE2897" s="7">
        <f t="shared" si="241"/>
        <v>19939.770042205204</v>
      </c>
    </row>
    <row r="2898" spans="30:32" ht="14" thickBot="1" x14ac:dyDescent="0.2">
      <c r="AD2898" s="98">
        <f t="shared" si="242"/>
        <v>47821</v>
      </c>
      <c r="AE2898" s="7">
        <f t="shared" si="241"/>
        <v>19978.536632419375</v>
      </c>
    </row>
    <row r="2899" spans="30:32" ht="14" thickBot="1" x14ac:dyDescent="0.2">
      <c r="AD2899" s="98">
        <f t="shared" si="242"/>
        <v>47822</v>
      </c>
      <c r="AE2899" s="7">
        <f t="shared" si="241"/>
        <v>20017.37859203418</v>
      </c>
    </row>
    <row r="2900" spans="30:32" ht="14" thickBot="1" x14ac:dyDescent="0.2">
      <c r="AD2900" s="98">
        <f t="shared" si="242"/>
        <v>47823</v>
      </c>
      <c r="AE2900" s="7">
        <f t="shared" si="241"/>
        <v>20056.296067581632</v>
      </c>
    </row>
    <row r="2901" spans="30:32" ht="14" thickBot="1" x14ac:dyDescent="0.2">
      <c r="AD2901" s="98">
        <f t="shared" si="242"/>
        <v>47824</v>
      </c>
      <c r="AE2901" s="7">
        <f t="shared" si="241"/>
        <v>20095.289205878631</v>
      </c>
    </row>
    <row r="2902" spans="30:32" ht="14" thickBot="1" x14ac:dyDescent="0.2">
      <c r="AD2902" s="98">
        <f t="shared" si="242"/>
        <v>47825</v>
      </c>
      <c r="AE2902" s="7">
        <f t="shared" si="241"/>
        <v>20134.358154027515</v>
      </c>
    </row>
    <row r="2903" spans="30:32" ht="14" thickBot="1" x14ac:dyDescent="0.2">
      <c r="AD2903" s="98">
        <f t="shared" si="242"/>
        <v>47826</v>
      </c>
      <c r="AE2903" s="7">
        <f t="shared" si="241"/>
        <v>20173.503059416616</v>
      </c>
    </row>
    <row r="2904" spans="30:32" ht="14" thickBot="1" x14ac:dyDescent="0.2">
      <c r="AD2904" s="98">
        <f t="shared" si="242"/>
        <v>47827</v>
      </c>
      <c r="AE2904" s="7">
        <f t="shared" si="241"/>
        <v>20212.724069720818</v>
      </c>
    </row>
    <row r="2905" spans="30:32" ht="14" thickBot="1" x14ac:dyDescent="0.2">
      <c r="AD2905" s="98">
        <f t="shared" si="242"/>
        <v>47828</v>
      </c>
      <c r="AE2905" s="7">
        <f t="shared" si="241"/>
        <v>20252.02133290211</v>
      </c>
    </row>
    <row r="2906" spans="30:32" ht="14" thickBot="1" x14ac:dyDescent="0.2">
      <c r="AD2906" s="98">
        <f t="shared" si="242"/>
        <v>47829</v>
      </c>
      <c r="AE2906" s="7">
        <f t="shared" si="241"/>
        <v>20291.394997210147</v>
      </c>
    </row>
    <row r="2907" spans="30:32" ht="14" thickBot="1" x14ac:dyDescent="0.2">
      <c r="AD2907" s="98">
        <f t="shared" si="242"/>
        <v>47830</v>
      </c>
      <c r="AE2907" s="7">
        <f t="shared" si="241"/>
        <v>20330.845211182812</v>
      </c>
    </row>
    <row r="2908" spans="30:32" ht="14" thickBot="1" x14ac:dyDescent="0.2">
      <c r="AD2908" s="98">
        <f t="shared" si="242"/>
        <v>47831</v>
      </c>
      <c r="AE2908" s="7">
        <f t="shared" si="241"/>
        <v>20370.372123646768</v>
      </c>
    </row>
    <row r="2909" spans="30:32" ht="14" thickBot="1" x14ac:dyDescent="0.2">
      <c r="AD2909" s="98">
        <f t="shared" si="242"/>
        <v>47832</v>
      </c>
      <c r="AE2909" s="7">
        <f t="shared" si="241"/>
        <v>20409.975883718027</v>
      </c>
      <c r="AF2909" t="s">
        <v>6</v>
      </c>
    </row>
    <row r="2910" spans="30:32" ht="14" thickBot="1" x14ac:dyDescent="0.2">
      <c r="AD2910" s="98">
        <f t="shared" si="242"/>
        <v>47833</v>
      </c>
      <c r="AE2910" s="7">
        <f t="shared" ref="AE2910:AE2940" si="243">AE2909*$AI$93</f>
        <v>20449.65664080251</v>
      </c>
    </row>
    <row r="2911" spans="30:32" ht="14" thickBot="1" x14ac:dyDescent="0.2">
      <c r="AD2911" s="98">
        <f t="shared" si="242"/>
        <v>47834</v>
      </c>
      <c r="AE2911" s="7">
        <f t="shared" si="243"/>
        <v>20489.414544596613</v>
      </c>
      <c r="AF2911" t="s">
        <v>6</v>
      </c>
    </row>
    <row r="2912" spans="30:32" ht="14" thickBot="1" x14ac:dyDescent="0.2">
      <c r="AD2912" s="98">
        <f t="shared" si="242"/>
        <v>47835</v>
      </c>
      <c r="AE2912" s="7">
        <f t="shared" si="243"/>
        <v>20529.249745087764</v>
      </c>
    </row>
    <row r="2913" spans="30:31" ht="14" thickBot="1" x14ac:dyDescent="0.2">
      <c r="AD2913" s="98">
        <f t="shared" si="242"/>
        <v>47836</v>
      </c>
      <c r="AE2913" s="7">
        <f t="shared" si="243"/>
        <v>20569.162392554994</v>
      </c>
    </row>
    <row r="2914" spans="30:31" ht="14" thickBot="1" x14ac:dyDescent="0.2">
      <c r="AD2914" s="98">
        <f t="shared" si="242"/>
        <v>47837</v>
      </c>
      <c r="AE2914" s="7">
        <f t="shared" si="243"/>
        <v>20609.15263756951</v>
      </c>
    </row>
    <row r="2915" spans="30:31" ht="14" thickBot="1" x14ac:dyDescent="0.2">
      <c r="AD2915" s="98">
        <f t="shared" si="242"/>
        <v>47838</v>
      </c>
      <c r="AE2915" s="7">
        <f t="shared" si="243"/>
        <v>20649.220630995256</v>
      </c>
    </row>
    <row r="2916" spans="30:31" ht="14" thickBot="1" x14ac:dyDescent="0.2">
      <c r="AD2916" s="98">
        <f t="shared" si="242"/>
        <v>47839</v>
      </c>
      <c r="AE2916" s="7">
        <f t="shared" si="243"/>
        <v>20689.36652398948</v>
      </c>
    </row>
    <row r="2917" spans="30:31" ht="14" thickBot="1" x14ac:dyDescent="0.2">
      <c r="AD2917" s="98">
        <f t="shared" si="242"/>
        <v>47840</v>
      </c>
      <c r="AE2917" s="7">
        <f t="shared" si="243"/>
        <v>20729.590468003309</v>
      </c>
    </row>
    <row r="2918" spans="30:31" ht="14" thickBot="1" x14ac:dyDescent="0.2">
      <c r="AD2918" s="98">
        <f t="shared" si="242"/>
        <v>47841</v>
      </c>
      <c r="AE2918" s="7">
        <f t="shared" si="243"/>
        <v>20769.892614782322</v>
      </c>
    </row>
    <row r="2919" spans="30:31" ht="14" thickBot="1" x14ac:dyDescent="0.2">
      <c r="AD2919" s="98">
        <f t="shared" si="242"/>
        <v>47842</v>
      </c>
      <c r="AE2919" s="7">
        <f t="shared" si="243"/>
        <v>20810.273116367112</v>
      </c>
    </row>
    <row r="2920" spans="30:31" ht="14" thickBot="1" x14ac:dyDescent="0.2">
      <c r="AD2920" s="98">
        <f t="shared" si="242"/>
        <v>47843</v>
      </c>
      <c r="AE2920" s="7">
        <f t="shared" si="243"/>
        <v>20850.732125093873</v>
      </c>
    </row>
    <row r="2921" spans="30:31" ht="14" thickBot="1" x14ac:dyDescent="0.2">
      <c r="AD2921" s="98">
        <f t="shared" si="242"/>
        <v>47844</v>
      </c>
      <c r="AE2921" s="7">
        <f t="shared" si="243"/>
        <v>20891.269793594969</v>
      </c>
    </row>
    <row r="2922" spans="30:31" ht="14" thickBot="1" x14ac:dyDescent="0.2">
      <c r="AD2922" s="98">
        <f t="shared" si="242"/>
        <v>47845</v>
      </c>
      <c r="AE2922" s="7">
        <f t="shared" si="243"/>
        <v>20931.886274799504</v>
      </c>
    </row>
    <row r="2923" spans="30:31" ht="14" thickBot="1" x14ac:dyDescent="0.2">
      <c r="AD2923" s="98">
        <f t="shared" si="242"/>
        <v>47846</v>
      </c>
      <c r="AE2923" s="7">
        <f t="shared" si="243"/>
        <v>20972.581721933911</v>
      </c>
    </row>
    <row r="2924" spans="30:31" ht="14" thickBot="1" x14ac:dyDescent="0.2">
      <c r="AD2924" s="98">
        <f t="shared" si="242"/>
        <v>47847</v>
      </c>
      <c r="AE2924" s="7">
        <f t="shared" si="243"/>
        <v>21013.356288522522</v>
      </c>
    </row>
    <row r="2925" spans="30:31" ht="14" thickBot="1" x14ac:dyDescent="0.2">
      <c r="AD2925" s="98">
        <f t="shared" si="242"/>
        <v>47848</v>
      </c>
      <c r="AE2925" s="7">
        <f t="shared" si="243"/>
        <v>21054.210128388142</v>
      </c>
    </row>
    <row r="2926" spans="30:31" ht="14" thickBot="1" x14ac:dyDescent="0.2">
      <c r="AD2926" s="98">
        <f t="shared" si="242"/>
        <v>47849</v>
      </c>
      <c r="AE2926" s="7">
        <f t="shared" si="243"/>
        <v>21095.143395652645</v>
      </c>
    </row>
    <row r="2927" spans="30:31" ht="14" thickBot="1" x14ac:dyDescent="0.2">
      <c r="AD2927" s="98">
        <f t="shared" si="242"/>
        <v>47850</v>
      </c>
      <c r="AE2927" s="7">
        <f t="shared" si="243"/>
        <v>21136.15624473754</v>
      </c>
    </row>
    <row r="2928" spans="30:31" ht="14" thickBot="1" x14ac:dyDescent="0.2">
      <c r="AD2928" s="98">
        <f t="shared" si="242"/>
        <v>47851</v>
      </c>
      <c r="AE2928" s="7">
        <f t="shared" si="243"/>
        <v>21177.248830364562</v>
      </c>
    </row>
    <row r="2929" spans="30:31" ht="14" thickBot="1" x14ac:dyDescent="0.2">
      <c r="AD2929" s="98">
        <f t="shared" si="242"/>
        <v>47852</v>
      </c>
      <c r="AE2929" s="7">
        <f t="shared" si="243"/>
        <v>21218.421307556255</v>
      </c>
    </row>
    <row r="2930" spans="30:31" ht="14" thickBot="1" x14ac:dyDescent="0.2">
      <c r="AD2930" s="98">
        <f t="shared" si="242"/>
        <v>47853</v>
      </c>
      <c r="AE2930" s="7">
        <f t="shared" si="243"/>
        <v>21259.673831636552</v>
      </c>
    </row>
    <row r="2931" spans="30:31" ht="14" thickBot="1" x14ac:dyDescent="0.2">
      <c r="AD2931" s="98">
        <f t="shared" si="242"/>
        <v>47854</v>
      </c>
      <c r="AE2931" s="7">
        <f t="shared" si="243"/>
        <v>21301.006558231369</v>
      </c>
    </row>
    <row r="2932" spans="30:31" ht="14" thickBot="1" x14ac:dyDescent="0.2">
      <c r="AD2932" s="98">
        <f t="shared" si="242"/>
        <v>47855</v>
      </c>
      <c r="AE2932" s="7">
        <f t="shared" si="243"/>
        <v>21342.419643269186</v>
      </c>
    </row>
    <row r="2933" spans="30:31" ht="14" thickBot="1" x14ac:dyDescent="0.2">
      <c r="AD2933" s="98">
        <f t="shared" si="242"/>
        <v>47856</v>
      </c>
      <c r="AE2933" s="7">
        <f t="shared" si="243"/>
        <v>21383.913242981635</v>
      </c>
    </row>
    <row r="2934" spans="30:31" ht="14" thickBot="1" x14ac:dyDescent="0.2">
      <c r="AD2934" s="98">
        <f t="shared" si="242"/>
        <v>47857</v>
      </c>
      <c r="AE2934" s="7">
        <f t="shared" si="243"/>
        <v>21425.487513904089</v>
      </c>
    </row>
    <row r="2935" spans="30:31" ht="14" thickBot="1" x14ac:dyDescent="0.2">
      <c r="AD2935" s="98">
        <f t="shared" si="242"/>
        <v>47858</v>
      </c>
      <c r="AE2935" s="7">
        <f t="shared" si="243"/>
        <v>21467.142612876258</v>
      </c>
    </row>
    <row r="2936" spans="30:31" ht="14" thickBot="1" x14ac:dyDescent="0.2">
      <c r="AD2936" s="98">
        <f t="shared" si="242"/>
        <v>47859</v>
      </c>
      <c r="AE2936" s="7">
        <f t="shared" si="243"/>
        <v>21508.878697042779</v>
      </c>
    </row>
    <row r="2937" spans="30:31" ht="14" thickBot="1" x14ac:dyDescent="0.2">
      <c r="AD2937" s="98">
        <f t="shared" si="242"/>
        <v>47860</v>
      </c>
      <c r="AE2937" s="7">
        <f t="shared" si="243"/>
        <v>21550.695923853804</v>
      </c>
    </row>
    <row r="2938" spans="30:31" ht="14" thickBot="1" x14ac:dyDescent="0.2">
      <c r="AD2938" s="98">
        <f t="shared" si="242"/>
        <v>47861</v>
      </c>
      <c r="AE2938" s="7">
        <f t="shared" si="243"/>
        <v>21592.594451065597</v>
      </c>
    </row>
    <row r="2939" spans="30:31" ht="14" thickBot="1" x14ac:dyDescent="0.2">
      <c r="AD2939" s="98">
        <f t="shared" si="242"/>
        <v>47862</v>
      </c>
      <c r="AE2939" s="7">
        <f t="shared" si="243"/>
        <v>21634.574436741135</v>
      </c>
    </row>
    <row r="2940" spans="30:31" ht="14" thickBot="1" x14ac:dyDescent="0.2">
      <c r="AD2940" s="98">
        <f t="shared" si="242"/>
        <v>47863</v>
      </c>
      <c r="AE2940" s="7">
        <f t="shared" si="243"/>
        <v>21676.63603925069</v>
      </c>
    </row>
    <row r="2941" spans="30:31" ht="14" thickBot="1" x14ac:dyDescent="0.2">
      <c r="AD2941" s="98">
        <f t="shared" si="242"/>
        <v>47864</v>
      </c>
      <c r="AE2941" s="7">
        <f t="shared" ref="AE2941:AE2971" si="244">AE2940*$AI$94</f>
        <v>21718.779417272439</v>
      </c>
    </row>
    <row r="2942" spans="30:31" ht="14" thickBot="1" x14ac:dyDescent="0.2">
      <c r="AD2942" s="98">
        <f t="shared" si="242"/>
        <v>47865</v>
      </c>
      <c r="AE2942" s="7">
        <f t="shared" si="244"/>
        <v>21761.004729793058</v>
      </c>
    </row>
    <row r="2943" spans="30:31" ht="14" thickBot="1" x14ac:dyDescent="0.2">
      <c r="AD2943" s="98">
        <f t="shared" si="242"/>
        <v>47866</v>
      </c>
      <c r="AE2943" s="7">
        <f t="shared" si="244"/>
        <v>21803.312136108325</v>
      </c>
    </row>
    <row r="2944" spans="30:31" ht="14" thickBot="1" x14ac:dyDescent="0.2">
      <c r="AD2944" s="98">
        <f t="shared" si="242"/>
        <v>47867</v>
      </c>
      <c r="AE2944" s="7">
        <f t="shared" si="244"/>
        <v>21845.701795823716</v>
      </c>
    </row>
    <row r="2945" spans="30:31" ht="14" thickBot="1" x14ac:dyDescent="0.2">
      <c r="AD2945" s="98">
        <f t="shared" si="242"/>
        <v>47868</v>
      </c>
      <c r="AE2945" s="7">
        <f t="shared" si="244"/>
        <v>21888.173868855007</v>
      </c>
    </row>
    <row r="2946" spans="30:31" ht="14" thickBot="1" x14ac:dyDescent="0.2">
      <c r="AD2946" s="98">
        <f t="shared" si="242"/>
        <v>47869</v>
      </c>
      <c r="AE2946" s="7">
        <f t="shared" si="244"/>
        <v>21930.728515428884</v>
      </c>
    </row>
    <row r="2947" spans="30:31" ht="14" thickBot="1" x14ac:dyDescent="0.2">
      <c r="AD2947" s="98">
        <f t="shared" si="242"/>
        <v>47870</v>
      </c>
      <c r="AE2947" s="7">
        <f t="shared" si="244"/>
        <v>21973.365896083546</v>
      </c>
    </row>
    <row r="2948" spans="30:31" ht="14" thickBot="1" x14ac:dyDescent="0.2">
      <c r="AD2948" s="98">
        <f t="shared" si="242"/>
        <v>47871</v>
      </c>
      <c r="AE2948" s="7">
        <f t="shared" si="244"/>
        <v>22016.086171669296</v>
      </c>
    </row>
    <row r="2949" spans="30:31" ht="14" thickBot="1" x14ac:dyDescent="0.2">
      <c r="AD2949" s="98">
        <f t="shared" si="242"/>
        <v>47872</v>
      </c>
      <c r="AE2949" s="7">
        <f t="shared" si="244"/>
        <v>22058.889503349175</v>
      </c>
    </row>
    <row r="2950" spans="30:31" ht="14" thickBot="1" x14ac:dyDescent="0.2">
      <c r="AD2950" s="98">
        <f t="shared" si="242"/>
        <v>47873</v>
      </c>
      <c r="AE2950" s="7">
        <f t="shared" si="244"/>
        <v>22101.776052599544</v>
      </c>
    </row>
    <row r="2951" spans="30:31" ht="14" thickBot="1" x14ac:dyDescent="0.2">
      <c r="AD2951" s="98">
        <f t="shared" si="242"/>
        <v>47874</v>
      </c>
      <c r="AE2951" s="7">
        <f t="shared" si="244"/>
        <v>22144.745981210704</v>
      </c>
    </row>
    <row r="2952" spans="30:31" ht="14" thickBot="1" x14ac:dyDescent="0.2">
      <c r="AD2952" s="98">
        <f t="shared" si="242"/>
        <v>47875</v>
      </c>
      <c r="AE2952" s="7">
        <f t="shared" si="244"/>
        <v>22187.799451287512</v>
      </c>
    </row>
    <row r="2953" spans="30:31" ht="14" thickBot="1" x14ac:dyDescent="0.2">
      <c r="AD2953" s="98">
        <f t="shared" ref="AD2953:AD3016" si="245">AD2952+1</f>
        <v>47876</v>
      </c>
      <c r="AE2953" s="7">
        <f t="shared" si="244"/>
        <v>22230.936625249982</v>
      </c>
    </row>
    <row r="2954" spans="30:31" ht="14" thickBot="1" x14ac:dyDescent="0.2">
      <c r="AD2954" s="98">
        <f t="shared" si="245"/>
        <v>47877</v>
      </c>
      <c r="AE2954" s="7">
        <f t="shared" si="244"/>
        <v>22274.157665833907</v>
      </c>
    </row>
    <row r="2955" spans="30:31" ht="14" thickBot="1" x14ac:dyDescent="0.2">
      <c r="AD2955" s="98">
        <f t="shared" si="245"/>
        <v>47878</v>
      </c>
      <c r="AE2955" s="7">
        <f t="shared" si="244"/>
        <v>22317.462736091464</v>
      </c>
    </row>
    <row r="2956" spans="30:31" ht="14" thickBot="1" x14ac:dyDescent="0.2">
      <c r="AD2956" s="98">
        <f t="shared" si="245"/>
        <v>47879</v>
      </c>
      <c r="AE2956" s="7">
        <f t="shared" si="244"/>
        <v>22360.851999391834</v>
      </c>
    </row>
    <row r="2957" spans="30:31" ht="14" thickBot="1" x14ac:dyDescent="0.2">
      <c r="AD2957" s="98">
        <f t="shared" si="245"/>
        <v>47880</v>
      </c>
      <c r="AE2957" s="7">
        <f t="shared" si="244"/>
        <v>22404.325619421823</v>
      </c>
    </row>
    <row r="2958" spans="30:31" ht="14" thickBot="1" x14ac:dyDescent="0.2">
      <c r="AD2958" s="98">
        <f t="shared" si="245"/>
        <v>47881</v>
      </c>
      <c r="AE2958" s="7">
        <f t="shared" si="244"/>
        <v>22447.883760186465</v>
      </c>
    </row>
    <row r="2959" spans="30:31" ht="14" thickBot="1" x14ac:dyDescent="0.2">
      <c r="AD2959" s="98">
        <f t="shared" si="245"/>
        <v>47882</v>
      </c>
      <c r="AE2959" s="7">
        <f t="shared" si="244"/>
        <v>22491.526586009659</v>
      </c>
    </row>
    <row r="2960" spans="30:31" ht="14" thickBot="1" x14ac:dyDescent="0.2">
      <c r="AD2960" s="98">
        <f t="shared" si="245"/>
        <v>47883</v>
      </c>
      <c r="AE2960" s="7">
        <f t="shared" si="244"/>
        <v>22535.254261534774</v>
      </c>
    </row>
    <row r="2961" spans="30:32" ht="14" thickBot="1" x14ac:dyDescent="0.2">
      <c r="AD2961" s="98">
        <f t="shared" si="245"/>
        <v>47884</v>
      </c>
      <c r="AE2961" s="7">
        <f t="shared" si="244"/>
        <v>22579.066951725279</v>
      </c>
    </row>
    <row r="2962" spans="30:32" ht="14" thickBot="1" x14ac:dyDescent="0.2">
      <c r="AD2962" s="98">
        <f t="shared" si="245"/>
        <v>47885</v>
      </c>
      <c r="AE2962" s="7">
        <f t="shared" si="244"/>
        <v>22622.964821865364</v>
      </c>
    </row>
    <row r="2963" spans="30:32" ht="14" thickBot="1" x14ac:dyDescent="0.2">
      <c r="AD2963" s="98">
        <f t="shared" si="245"/>
        <v>47886</v>
      </c>
      <c r="AE2963" s="7">
        <f t="shared" si="244"/>
        <v>22666.948037560556</v>
      </c>
    </row>
    <row r="2964" spans="30:32" ht="14" thickBot="1" x14ac:dyDescent="0.2">
      <c r="AD2964" s="98">
        <f t="shared" si="245"/>
        <v>47887</v>
      </c>
      <c r="AE2964" s="7">
        <f t="shared" si="244"/>
        <v>22711.016764738357</v>
      </c>
    </row>
    <row r="2965" spans="30:32" ht="14" thickBot="1" x14ac:dyDescent="0.2">
      <c r="AD2965" s="98">
        <f t="shared" si="245"/>
        <v>47888</v>
      </c>
      <c r="AE2965" s="7">
        <f t="shared" si="244"/>
        <v>22755.171169648856</v>
      </c>
    </row>
    <row r="2966" spans="30:32" ht="14" thickBot="1" x14ac:dyDescent="0.2">
      <c r="AD2966" s="98">
        <f t="shared" si="245"/>
        <v>47889</v>
      </c>
      <c r="AE2966" s="7">
        <f t="shared" si="244"/>
        <v>22799.411418865369</v>
      </c>
    </row>
    <row r="2967" spans="30:32" ht="14" thickBot="1" x14ac:dyDescent="0.2">
      <c r="AD2967" s="98">
        <f t="shared" si="245"/>
        <v>47890</v>
      </c>
      <c r="AE2967" s="7">
        <f t="shared" si="244"/>
        <v>22843.737679285055</v>
      </c>
    </row>
    <row r="2968" spans="30:32" ht="14" thickBot="1" x14ac:dyDescent="0.2">
      <c r="AD2968" s="98">
        <f t="shared" si="245"/>
        <v>47891</v>
      </c>
      <c r="AE2968" s="7">
        <f t="shared" si="244"/>
        <v>22888.150118129557</v>
      </c>
    </row>
    <row r="2969" spans="30:32" ht="14" thickBot="1" x14ac:dyDescent="0.2">
      <c r="AD2969" s="98">
        <f t="shared" si="245"/>
        <v>47892</v>
      </c>
      <c r="AE2969" s="7">
        <f t="shared" si="244"/>
        <v>22932.648902945624</v>
      </c>
    </row>
    <row r="2970" spans="30:32" ht="14" thickBot="1" x14ac:dyDescent="0.2">
      <c r="AD2970" s="98">
        <f t="shared" si="245"/>
        <v>47893</v>
      </c>
      <c r="AE2970" s="7">
        <f t="shared" si="244"/>
        <v>22977.234201605752</v>
      </c>
    </row>
    <row r="2971" spans="30:32" ht="14" thickBot="1" x14ac:dyDescent="0.2">
      <c r="AD2971" s="98">
        <f t="shared" si="245"/>
        <v>47894</v>
      </c>
      <c r="AE2971" s="7">
        <f t="shared" si="244"/>
        <v>23021.906182308805</v>
      </c>
    </row>
    <row r="2972" spans="30:32" ht="14" thickBot="1" x14ac:dyDescent="0.2">
      <c r="AD2972" s="98">
        <f t="shared" si="245"/>
        <v>47895</v>
      </c>
      <c r="AE2972" s="7">
        <f t="shared" ref="AE2972:AE3035" si="246">AE2971*$AI$95</f>
        <v>23033.4087529157</v>
      </c>
      <c r="AF2972" t="s">
        <v>6</v>
      </c>
    </row>
    <row r="2973" spans="30:32" ht="14" thickBot="1" x14ac:dyDescent="0.2">
      <c r="AD2973" s="98">
        <f t="shared" si="245"/>
        <v>47896</v>
      </c>
      <c r="AE2973" s="7">
        <f t="shared" si="246"/>
        <v>23044.917070619711</v>
      </c>
    </row>
    <row r="2974" spans="30:32" ht="14" thickBot="1" x14ac:dyDescent="0.2">
      <c r="AD2974" s="98">
        <f t="shared" si="245"/>
        <v>47897</v>
      </c>
      <c r="AE2974" s="7">
        <f t="shared" si="246"/>
        <v>23056.43113829229</v>
      </c>
    </row>
    <row r="2975" spans="30:32" ht="14" thickBot="1" x14ac:dyDescent="0.2">
      <c r="AD2975" s="98">
        <f t="shared" si="245"/>
        <v>47898</v>
      </c>
      <c r="AE2975" s="7">
        <f t="shared" si="246"/>
        <v>23067.95095880633</v>
      </c>
    </row>
    <row r="2976" spans="30:32" ht="14" thickBot="1" x14ac:dyDescent="0.2">
      <c r="AD2976" s="98">
        <f t="shared" si="245"/>
        <v>47899</v>
      </c>
      <c r="AE2976" s="7">
        <f t="shared" si="246"/>
        <v>23079.476535036156</v>
      </c>
    </row>
    <row r="2977" spans="30:31" ht="14" thickBot="1" x14ac:dyDescent="0.2">
      <c r="AD2977" s="98">
        <f t="shared" si="245"/>
        <v>47900</v>
      </c>
      <c r="AE2977" s="7">
        <f t="shared" si="246"/>
        <v>23091.007869857531</v>
      </c>
    </row>
    <row r="2978" spans="30:31" ht="14" thickBot="1" x14ac:dyDescent="0.2">
      <c r="AD2978" s="98">
        <f t="shared" si="245"/>
        <v>47901</v>
      </c>
      <c r="AE2978" s="7">
        <f t="shared" si="246"/>
        <v>23102.544966147652</v>
      </c>
    </row>
    <row r="2979" spans="30:31" ht="14" thickBot="1" x14ac:dyDescent="0.2">
      <c r="AD2979" s="98">
        <f t="shared" si="245"/>
        <v>47902</v>
      </c>
      <c r="AE2979" s="7">
        <f t="shared" si="246"/>
        <v>23114.087826785159</v>
      </c>
    </row>
    <row r="2980" spans="30:31" ht="14" thickBot="1" x14ac:dyDescent="0.2">
      <c r="AD2980" s="98">
        <f t="shared" si="245"/>
        <v>47903</v>
      </c>
      <c r="AE2980" s="7">
        <f t="shared" si="246"/>
        <v>23125.636454650121</v>
      </c>
    </row>
    <row r="2981" spans="30:31" ht="14" thickBot="1" x14ac:dyDescent="0.2">
      <c r="AD2981" s="98">
        <f t="shared" si="245"/>
        <v>47904</v>
      </c>
      <c r="AE2981" s="7">
        <f t="shared" si="246"/>
        <v>23137.190852624059</v>
      </c>
    </row>
    <row r="2982" spans="30:31" ht="14" thickBot="1" x14ac:dyDescent="0.2">
      <c r="AD2982" s="98">
        <f t="shared" si="245"/>
        <v>47905</v>
      </c>
      <c r="AE2982" s="7">
        <f t="shared" si="246"/>
        <v>23148.751023589921</v>
      </c>
    </row>
    <row r="2983" spans="30:31" ht="14" thickBot="1" x14ac:dyDescent="0.2">
      <c r="AD2983" s="98">
        <f t="shared" si="245"/>
        <v>47906</v>
      </c>
      <c r="AE2983" s="7">
        <f t="shared" si="246"/>
        <v>23160.316970432104</v>
      </c>
    </row>
    <row r="2984" spans="30:31" ht="14" thickBot="1" x14ac:dyDescent="0.2">
      <c r="AD2984" s="98">
        <f t="shared" si="245"/>
        <v>47907</v>
      </c>
      <c r="AE2984" s="7">
        <f t="shared" si="246"/>
        <v>23171.888696036443</v>
      </c>
    </row>
    <row r="2985" spans="30:31" ht="14" thickBot="1" x14ac:dyDescent="0.2">
      <c r="AD2985" s="98">
        <f t="shared" si="245"/>
        <v>47908</v>
      </c>
      <c r="AE2985" s="7">
        <f t="shared" si="246"/>
        <v>23183.466203290212</v>
      </c>
    </row>
    <row r="2986" spans="30:31" ht="14" thickBot="1" x14ac:dyDescent="0.2">
      <c r="AD2986" s="98">
        <f t="shared" si="245"/>
        <v>47909</v>
      </c>
      <c r="AE2986" s="7">
        <f t="shared" si="246"/>
        <v>23195.049495082134</v>
      </c>
    </row>
    <row r="2987" spans="30:31" ht="14" thickBot="1" x14ac:dyDescent="0.2">
      <c r="AD2987" s="98">
        <f t="shared" si="245"/>
        <v>47910</v>
      </c>
      <c r="AE2987" s="7">
        <f t="shared" si="246"/>
        <v>23206.638574302371</v>
      </c>
    </row>
    <row r="2988" spans="30:31" ht="14" thickBot="1" x14ac:dyDescent="0.2">
      <c r="AD2988" s="98">
        <f t="shared" si="245"/>
        <v>47911</v>
      </c>
      <c r="AE2988" s="7">
        <f t="shared" si="246"/>
        <v>23218.233443842528</v>
      </c>
    </row>
    <row r="2989" spans="30:31" ht="14" thickBot="1" x14ac:dyDescent="0.2">
      <c r="AD2989" s="98">
        <f t="shared" si="245"/>
        <v>47912</v>
      </c>
      <c r="AE2989" s="7">
        <f t="shared" si="246"/>
        <v>23229.834106595659</v>
      </c>
    </row>
    <row r="2990" spans="30:31" ht="14" thickBot="1" x14ac:dyDescent="0.2">
      <c r="AD2990" s="98">
        <f t="shared" si="245"/>
        <v>47913</v>
      </c>
      <c r="AE2990" s="7">
        <f t="shared" si="246"/>
        <v>23241.440565456262</v>
      </c>
    </row>
    <row r="2991" spans="30:31" ht="14" thickBot="1" x14ac:dyDescent="0.2">
      <c r="AD2991" s="98">
        <f t="shared" si="245"/>
        <v>47914</v>
      </c>
      <c r="AE2991" s="7">
        <f t="shared" si="246"/>
        <v>23253.052823320279</v>
      </c>
    </row>
    <row r="2992" spans="30:31" ht="14" thickBot="1" x14ac:dyDescent="0.2">
      <c r="AD2992" s="98">
        <f t="shared" si="245"/>
        <v>47915</v>
      </c>
      <c r="AE2992" s="7">
        <f t="shared" si="246"/>
        <v>23264.670883085098</v>
      </c>
    </row>
    <row r="2993" spans="30:31" ht="14" thickBot="1" x14ac:dyDescent="0.2">
      <c r="AD2993" s="98">
        <f t="shared" si="245"/>
        <v>47916</v>
      </c>
      <c r="AE2993" s="7">
        <f t="shared" si="246"/>
        <v>23276.294747649561</v>
      </c>
    </row>
    <row r="2994" spans="30:31" ht="14" thickBot="1" x14ac:dyDescent="0.2">
      <c r="AD2994" s="98">
        <f t="shared" si="245"/>
        <v>47917</v>
      </c>
      <c r="AE2994" s="7">
        <f t="shared" si="246"/>
        <v>23287.92441991395</v>
      </c>
    </row>
    <row r="2995" spans="30:31" ht="14" thickBot="1" x14ac:dyDescent="0.2">
      <c r="AD2995" s="98">
        <f t="shared" si="245"/>
        <v>47918</v>
      </c>
      <c r="AE2995" s="7">
        <f t="shared" si="246"/>
        <v>23299.559902780002</v>
      </c>
    </row>
    <row r="2996" spans="30:31" ht="14" thickBot="1" x14ac:dyDescent="0.2">
      <c r="AD2996" s="98">
        <f t="shared" si="245"/>
        <v>47919</v>
      </c>
      <c r="AE2996" s="7">
        <f t="shared" si="246"/>
        <v>23311.201199150903</v>
      </c>
    </row>
    <row r="2997" spans="30:31" ht="14" thickBot="1" x14ac:dyDescent="0.2">
      <c r="AD2997" s="98">
        <f t="shared" si="245"/>
        <v>47920</v>
      </c>
      <c r="AE2997" s="7">
        <f t="shared" si="246"/>
        <v>23322.848311931288</v>
      </c>
    </row>
    <row r="2998" spans="30:31" ht="14" thickBot="1" x14ac:dyDescent="0.2">
      <c r="AD2998" s="98">
        <f t="shared" si="245"/>
        <v>47921</v>
      </c>
      <c r="AE2998" s="7">
        <f t="shared" si="246"/>
        <v>23334.501244027244</v>
      </c>
    </row>
    <row r="2999" spans="30:31" ht="14" thickBot="1" x14ac:dyDescent="0.2">
      <c r="AD2999" s="98">
        <f t="shared" si="245"/>
        <v>47922</v>
      </c>
      <c r="AE2999" s="7">
        <f t="shared" si="246"/>
        <v>23346.159998346309</v>
      </c>
    </row>
    <row r="3000" spans="30:31" ht="14" thickBot="1" x14ac:dyDescent="0.2">
      <c r="AD3000" s="98">
        <f t="shared" si="245"/>
        <v>47923</v>
      </c>
      <c r="AE3000" s="7">
        <f t="shared" si="246"/>
        <v>23357.824577797477</v>
      </c>
    </row>
    <row r="3001" spans="30:31" ht="14" thickBot="1" x14ac:dyDescent="0.2">
      <c r="AD3001" s="98">
        <f t="shared" si="245"/>
        <v>47924</v>
      </c>
      <c r="AE3001" s="7">
        <f t="shared" si="246"/>
        <v>23369.494985291192</v>
      </c>
    </row>
    <row r="3002" spans="30:31" ht="14" thickBot="1" x14ac:dyDescent="0.2">
      <c r="AD3002" s="98">
        <f t="shared" si="245"/>
        <v>47925</v>
      </c>
      <c r="AE3002" s="7">
        <f t="shared" si="246"/>
        <v>23381.171223739351</v>
      </c>
    </row>
    <row r="3003" spans="30:31" ht="14" thickBot="1" x14ac:dyDescent="0.2">
      <c r="AD3003" s="98">
        <f t="shared" si="245"/>
        <v>47926</v>
      </c>
      <c r="AE3003" s="7">
        <f t="shared" si="246"/>
        <v>23392.853296055313</v>
      </c>
    </row>
    <row r="3004" spans="30:31" ht="14" thickBot="1" x14ac:dyDescent="0.2">
      <c r="AD3004" s="98">
        <f t="shared" si="245"/>
        <v>47927</v>
      </c>
      <c r="AE3004" s="7">
        <f t="shared" si="246"/>
        <v>23404.541205153884</v>
      </c>
    </row>
    <row r="3005" spans="30:31" ht="14" thickBot="1" x14ac:dyDescent="0.2">
      <c r="AD3005" s="98">
        <f t="shared" si="245"/>
        <v>47928</v>
      </c>
      <c r="AE3005" s="7">
        <f t="shared" si="246"/>
        <v>23416.234953951331</v>
      </c>
    </row>
    <row r="3006" spans="30:31" ht="14" thickBot="1" x14ac:dyDescent="0.2">
      <c r="AD3006" s="98">
        <f t="shared" si="245"/>
        <v>47929</v>
      </c>
      <c r="AE3006" s="7">
        <f t="shared" si="246"/>
        <v>23427.934545365377</v>
      </c>
    </row>
    <row r="3007" spans="30:31" ht="14" thickBot="1" x14ac:dyDescent="0.2">
      <c r="AD3007" s="98">
        <f t="shared" si="245"/>
        <v>47930</v>
      </c>
      <c r="AE3007" s="7">
        <f t="shared" si="246"/>
        <v>23439.639982315202</v>
      </c>
    </row>
    <row r="3008" spans="30:31" ht="14" thickBot="1" x14ac:dyDescent="0.2">
      <c r="AD3008" s="98">
        <f t="shared" si="245"/>
        <v>47931</v>
      </c>
      <c r="AE3008" s="7">
        <f t="shared" si="246"/>
        <v>23451.351267721446</v>
      </c>
    </row>
    <row r="3009" spans="30:31" ht="14" thickBot="1" x14ac:dyDescent="0.2">
      <c r="AD3009" s="98">
        <f t="shared" si="245"/>
        <v>47932</v>
      </c>
      <c r="AE3009" s="7">
        <f t="shared" si="246"/>
        <v>23463.068404506208</v>
      </c>
    </row>
    <row r="3010" spans="30:31" ht="14" thickBot="1" x14ac:dyDescent="0.2">
      <c r="AD3010" s="98">
        <f t="shared" si="245"/>
        <v>47933</v>
      </c>
      <c r="AE3010" s="7">
        <f t="shared" si="246"/>
        <v>23474.791395593049</v>
      </c>
    </row>
    <row r="3011" spans="30:31" ht="14" thickBot="1" x14ac:dyDescent="0.2">
      <c r="AD3011" s="98">
        <f t="shared" si="245"/>
        <v>47934</v>
      </c>
      <c r="AE3011" s="7">
        <f t="shared" si="246"/>
        <v>23486.520243906984</v>
      </c>
    </row>
    <row r="3012" spans="30:31" ht="14" thickBot="1" x14ac:dyDescent="0.2">
      <c r="AD3012" s="98">
        <f t="shared" si="245"/>
        <v>47935</v>
      </c>
      <c r="AE3012" s="7">
        <f t="shared" si="246"/>
        <v>23498.254952374496</v>
      </c>
    </row>
    <row r="3013" spans="30:31" ht="14" thickBot="1" x14ac:dyDescent="0.2">
      <c r="AD3013" s="98">
        <f t="shared" si="245"/>
        <v>47936</v>
      </c>
      <c r="AE3013" s="7">
        <f t="shared" si="246"/>
        <v>23509.995523923531</v>
      </c>
    </row>
    <row r="3014" spans="30:31" ht="14" thickBot="1" x14ac:dyDescent="0.2">
      <c r="AD3014" s="98">
        <f t="shared" si="245"/>
        <v>47937</v>
      </c>
      <c r="AE3014" s="7">
        <f t="shared" si="246"/>
        <v>23521.741961483491</v>
      </c>
    </row>
    <row r="3015" spans="30:31" ht="14" thickBot="1" x14ac:dyDescent="0.2">
      <c r="AD3015" s="98">
        <f t="shared" si="245"/>
        <v>47938</v>
      </c>
      <c r="AE3015" s="7">
        <f t="shared" si="246"/>
        <v>23533.494267985247</v>
      </c>
    </row>
    <row r="3016" spans="30:31" ht="14" thickBot="1" x14ac:dyDescent="0.2">
      <c r="AD3016" s="98">
        <f t="shared" si="245"/>
        <v>47939</v>
      </c>
      <c r="AE3016" s="7">
        <f t="shared" si="246"/>
        <v>23545.252446361133</v>
      </c>
    </row>
    <row r="3017" spans="30:31" ht="14" thickBot="1" x14ac:dyDescent="0.2">
      <c r="AD3017" s="98">
        <f t="shared" ref="AD3017:AD3080" si="247">AD3016+1</f>
        <v>47940</v>
      </c>
      <c r="AE3017" s="7">
        <f t="shared" si="246"/>
        <v>23557.016499544949</v>
      </c>
    </row>
    <row r="3018" spans="30:31" ht="14" thickBot="1" x14ac:dyDescent="0.2">
      <c r="AD3018" s="98">
        <f t="shared" si="247"/>
        <v>47941</v>
      </c>
      <c r="AE3018" s="7">
        <f t="shared" si="246"/>
        <v>23568.786430471955</v>
      </c>
    </row>
    <row r="3019" spans="30:31" ht="14" thickBot="1" x14ac:dyDescent="0.2">
      <c r="AD3019" s="98">
        <f t="shared" si="247"/>
        <v>47942</v>
      </c>
      <c r="AE3019" s="7">
        <f t="shared" si="246"/>
        <v>23580.56224207889</v>
      </c>
    </row>
    <row r="3020" spans="30:31" ht="14" thickBot="1" x14ac:dyDescent="0.2">
      <c r="AD3020" s="98">
        <f t="shared" si="247"/>
        <v>47943</v>
      </c>
      <c r="AE3020" s="7">
        <f t="shared" si="246"/>
        <v>23592.343937303947</v>
      </c>
    </row>
    <row r="3021" spans="30:31" ht="14" thickBot="1" x14ac:dyDescent="0.2">
      <c r="AD3021" s="98">
        <f t="shared" si="247"/>
        <v>47944</v>
      </c>
      <c r="AE3021" s="7">
        <f t="shared" si="246"/>
        <v>23604.131519086797</v>
      </c>
    </row>
    <row r="3022" spans="30:31" ht="14" thickBot="1" x14ac:dyDescent="0.2">
      <c r="AD3022" s="98">
        <f t="shared" si="247"/>
        <v>47945</v>
      </c>
      <c r="AE3022" s="7">
        <f t="shared" si="246"/>
        <v>23615.92499036857</v>
      </c>
    </row>
    <row r="3023" spans="30:31" ht="14" thickBot="1" x14ac:dyDescent="0.2">
      <c r="AD3023" s="98">
        <f t="shared" si="247"/>
        <v>47946</v>
      </c>
      <c r="AE3023" s="7">
        <f t="shared" si="246"/>
        <v>23627.724354091875</v>
      </c>
    </row>
    <row r="3024" spans="30:31" ht="14" thickBot="1" x14ac:dyDescent="0.2">
      <c r="AD3024" s="98">
        <f t="shared" si="247"/>
        <v>47947</v>
      </c>
      <c r="AE3024" s="7">
        <f t="shared" si="246"/>
        <v>23639.529613200786</v>
      </c>
    </row>
    <row r="3025" spans="30:31" ht="14" thickBot="1" x14ac:dyDescent="0.2">
      <c r="AD3025" s="98">
        <f t="shared" si="247"/>
        <v>47948</v>
      </c>
      <c r="AE3025" s="7">
        <f t="shared" si="246"/>
        <v>23651.340770640851</v>
      </c>
    </row>
    <row r="3026" spans="30:31" ht="14" thickBot="1" x14ac:dyDescent="0.2">
      <c r="AD3026" s="98">
        <f t="shared" si="247"/>
        <v>47949</v>
      </c>
      <c r="AE3026" s="7">
        <f t="shared" si="246"/>
        <v>23663.157829359086</v>
      </c>
    </row>
    <row r="3027" spans="30:31" ht="14" thickBot="1" x14ac:dyDescent="0.2">
      <c r="AD3027" s="98">
        <f t="shared" si="247"/>
        <v>47950</v>
      </c>
      <c r="AE3027" s="7">
        <f t="shared" si="246"/>
        <v>23674.980792303984</v>
      </c>
    </row>
    <row r="3028" spans="30:31" ht="14" thickBot="1" x14ac:dyDescent="0.2">
      <c r="AD3028" s="98">
        <f t="shared" si="247"/>
        <v>47951</v>
      </c>
      <c r="AE3028" s="7">
        <f t="shared" si="246"/>
        <v>23686.809662425505</v>
      </c>
    </row>
    <row r="3029" spans="30:31" ht="14" thickBot="1" x14ac:dyDescent="0.2">
      <c r="AD3029" s="98">
        <f t="shared" si="247"/>
        <v>47952</v>
      </c>
      <c r="AE3029" s="7">
        <f t="shared" si="246"/>
        <v>23698.64444267509</v>
      </c>
    </row>
    <row r="3030" spans="30:31" ht="14" thickBot="1" x14ac:dyDescent="0.2">
      <c r="AD3030" s="98">
        <f t="shared" si="247"/>
        <v>47953</v>
      </c>
      <c r="AE3030" s="7">
        <f t="shared" si="246"/>
        <v>23710.485136005649</v>
      </c>
    </row>
    <row r="3031" spans="30:31" ht="14" thickBot="1" x14ac:dyDescent="0.2">
      <c r="AD3031" s="98">
        <f t="shared" si="247"/>
        <v>47954</v>
      </c>
      <c r="AE3031" s="7">
        <f t="shared" si="246"/>
        <v>23722.331745371568</v>
      </c>
    </row>
    <row r="3032" spans="30:31" ht="14" thickBot="1" x14ac:dyDescent="0.2">
      <c r="AD3032" s="98">
        <f t="shared" si="247"/>
        <v>47955</v>
      </c>
      <c r="AE3032" s="7">
        <f t="shared" si="246"/>
        <v>23734.184273728715</v>
      </c>
    </row>
    <row r="3033" spans="30:31" ht="14" thickBot="1" x14ac:dyDescent="0.2">
      <c r="AD3033" s="98">
        <f t="shared" si="247"/>
        <v>47956</v>
      </c>
      <c r="AE3033" s="7">
        <f t="shared" si="246"/>
        <v>23746.042724034425</v>
      </c>
    </row>
    <row r="3034" spans="30:31" ht="14" thickBot="1" x14ac:dyDescent="0.2">
      <c r="AD3034" s="98">
        <f t="shared" si="247"/>
        <v>47957</v>
      </c>
      <c r="AE3034" s="7">
        <f t="shared" si="246"/>
        <v>23757.907099247521</v>
      </c>
    </row>
    <row r="3035" spans="30:31" ht="14" thickBot="1" x14ac:dyDescent="0.2">
      <c r="AD3035" s="98">
        <f t="shared" si="247"/>
        <v>47958</v>
      </c>
      <c r="AE3035" s="7">
        <f t="shared" si="246"/>
        <v>23769.777402328295</v>
      </c>
    </row>
    <row r="3036" spans="30:31" ht="14" thickBot="1" x14ac:dyDescent="0.2">
      <c r="AD3036" s="98">
        <f t="shared" si="247"/>
        <v>47959</v>
      </c>
      <c r="AE3036" s="7">
        <f t="shared" ref="AE3036:AE3099" si="248">AE3035*$AI$95</f>
        <v>23781.653636238527</v>
      </c>
    </row>
    <row r="3037" spans="30:31" ht="14" thickBot="1" x14ac:dyDescent="0.2">
      <c r="AD3037" s="98">
        <f t="shared" si="247"/>
        <v>47960</v>
      </c>
      <c r="AE3037" s="7">
        <f t="shared" si="248"/>
        <v>23793.535803941468</v>
      </c>
    </row>
    <row r="3038" spans="30:31" ht="14" thickBot="1" x14ac:dyDescent="0.2">
      <c r="AD3038" s="98">
        <f t="shared" si="247"/>
        <v>47961</v>
      </c>
      <c r="AE3038" s="7">
        <f t="shared" si="248"/>
        <v>23805.423908401855</v>
      </c>
    </row>
    <row r="3039" spans="30:31" ht="14" thickBot="1" x14ac:dyDescent="0.2">
      <c r="AD3039" s="98">
        <f t="shared" si="247"/>
        <v>47962</v>
      </c>
      <c r="AE3039" s="7">
        <f t="shared" si="248"/>
        <v>23817.317952585909</v>
      </c>
    </row>
    <row r="3040" spans="30:31" ht="14" thickBot="1" x14ac:dyDescent="0.2">
      <c r="AD3040" s="98">
        <f t="shared" si="247"/>
        <v>47963</v>
      </c>
      <c r="AE3040" s="7">
        <f t="shared" si="248"/>
        <v>23829.217939461323</v>
      </c>
    </row>
    <row r="3041" spans="30:31" ht="14" thickBot="1" x14ac:dyDescent="0.2">
      <c r="AD3041" s="98">
        <f t="shared" si="247"/>
        <v>47964</v>
      </c>
      <c r="AE3041" s="7">
        <f t="shared" si="248"/>
        <v>23841.123871997283</v>
      </c>
    </row>
    <row r="3042" spans="30:31" ht="14" thickBot="1" x14ac:dyDescent="0.2">
      <c r="AD3042" s="98">
        <f t="shared" si="247"/>
        <v>47965</v>
      </c>
      <c r="AE3042" s="7">
        <f t="shared" si="248"/>
        <v>23853.035753164451</v>
      </c>
    </row>
    <row r="3043" spans="30:31" ht="14" thickBot="1" x14ac:dyDescent="0.2">
      <c r="AD3043" s="98">
        <f t="shared" si="247"/>
        <v>47966</v>
      </c>
      <c r="AE3043" s="7">
        <f t="shared" si="248"/>
        <v>23864.953585934982</v>
      </c>
    </row>
    <row r="3044" spans="30:31" ht="14" thickBot="1" x14ac:dyDescent="0.2">
      <c r="AD3044" s="98">
        <f t="shared" si="247"/>
        <v>47967</v>
      </c>
      <c r="AE3044" s="7">
        <f t="shared" si="248"/>
        <v>23876.877373282507</v>
      </c>
    </row>
    <row r="3045" spans="30:31" ht="14" thickBot="1" x14ac:dyDescent="0.2">
      <c r="AD3045" s="98">
        <f t="shared" si="247"/>
        <v>47968</v>
      </c>
      <c r="AE3045" s="7">
        <f t="shared" si="248"/>
        <v>23888.807118182147</v>
      </c>
    </row>
    <row r="3046" spans="30:31" ht="14" thickBot="1" x14ac:dyDescent="0.2">
      <c r="AD3046" s="98">
        <f t="shared" si="247"/>
        <v>47969</v>
      </c>
      <c r="AE3046" s="7">
        <f t="shared" si="248"/>
        <v>23900.742823610508</v>
      </c>
    </row>
    <row r="3047" spans="30:31" ht="14" thickBot="1" x14ac:dyDescent="0.2">
      <c r="AD3047" s="98">
        <f t="shared" si="247"/>
        <v>47970</v>
      </c>
      <c r="AE3047" s="7">
        <f t="shared" si="248"/>
        <v>23912.684492545686</v>
      </c>
    </row>
    <row r="3048" spans="30:31" ht="14" thickBot="1" x14ac:dyDescent="0.2">
      <c r="AD3048" s="98">
        <f t="shared" si="247"/>
        <v>47971</v>
      </c>
      <c r="AE3048" s="7">
        <f t="shared" si="248"/>
        <v>23924.632127967263</v>
      </c>
    </row>
    <row r="3049" spans="30:31" ht="14" thickBot="1" x14ac:dyDescent="0.2">
      <c r="AD3049" s="98">
        <f t="shared" si="247"/>
        <v>47972</v>
      </c>
      <c r="AE3049" s="7">
        <f t="shared" si="248"/>
        <v>23936.585732856307</v>
      </c>
    </row>
    <row r="3050" spans="30:31" ht="14" thickBot="1" x14ac:dyDescent="0.2">
      <c r="AD3050" s="98">
        <f t="shared" si="247"/>
        <v>47973</v>
      </c>
      <c r="AE3050" s="7">
        <f t="shared" si="248"/>
        <v>23948.545310195379</v>
      </c>
    </row>
    <row r="3051" spans="30:31" ht="14" thickBot="1" x14ac:dyDescent="0.2">
      <c r="AD3051" s="98">
        <f t="shared" si="247"/>
        <v>47974</v>
      </c>
      <c r="AE3051" s="7">
        <f t="shared" si="248"/>
        <v>23960.510862968531</v>
      </c>
    </row>
    <row r="3052" spans="30:31" ht="14" thickBot="1" x14ac:dyDescent="0.2">
      <c r="AD3052" s="98">
        <f t="shared" si="247"/>
        <v>47975</v>
      </c>
      <c r="AE3052" s="7">
        <f t="shared" si="248"/>
        <v>23972.482394161303</v>
      </c>
    </row>
    <row r="3053" spans="30:31" ht="14" thickBot="1" x14ac:dyDescent="0.2">
      <c r="AD3053" s="98">
        <f t="shared" si="247"/>
        <v>47976</v>
      </c>
      <c r="AE3053" s="7">
        <f t="shared" si="248"/>
        <v>23984.459906760731</v>
      </c>
    </row>
    <row r="3054" spans="30:31" ht="14" thickBot="1" x14ac:dyDescent="0.2">
      <c r="AD3054" s="98">
        <f t="shared" si="247"/>
        <v>47977</v>
      </c>
      <c r="AE3054" s="7">
        <f t="shared" si="248"/>
        <v>23996.443403755336</v>
      </c>
    </row>
    <row r="3055" spans="30:31" ht="14" thickBot="1" x14ac:dyDescent="0.2">
      <c r="AD3055" s="98">
        <f t="shared" si="247"/>
        <v>47978</v>
      </c>
      <c r="AE3055" s="7">
        <f t="shared" si="248"/>
        <v>24008.432888135139</v>
      </c>
    </row>
    <row r="3056" spans="30:31" ht="14" thickBot="1" x14ac:dyDescent="0.2">
      <c r="AD3056" s="98">
        <f t="shared" si="247"/>
        <v>47979</v>
      </c>
      <c r="AE3056" s="7">
        <f t="shared" si="248"/>
        <v>24020.428362891653</v>
      </c>
    </row>
    <row r="3057" spans="30:31" ht="14" thickBot="1" x14ac:dyDescent="0.2">
      <c r="AD3057" s="98">
        <f t="shared" si="247"/>
        <v>47980</v>
      </c>
      <c r="AE3057" s="7">
        <f t="shared" si="248"/>
        <v>24032.429831017882</v>
      </c>
    </row>
    <row r="3058" spans="30:31" ht="14" thickBot="1" x14ac:dyDescent="0.2">
      <c r="AD3058" s="98">
        <f t="shared" si="247"/>
        <v>47981</v>
      </c>
      <c r="AE3058" s="7">
        <f t="shared" si="248"/>
        <v>24044.437295508335</v>
      </c>
    </row>
    <row r="3059" spans="30:31" ht="14" thickBot="1" x14ac:dyDescent="0.2">
      <c r="AD3059" s="98">
        <f t="shared" si="247"/>
        <v>47982</v>
      </c>
      <c r="AE3059" s="7">
        <f t="shared" si="248"/>
        <v>24056.450759359002</v>
      </c>
    </row>
    <row r="3060" spans="30:31" ht="14" thickBot="1" x14ac:dyDescent="0.2">
      <c r="AD3060" s="98">
        <f t="shared" si="247"/>
        <v>47983</v>
      </c>
      <c r="AE3060" s="7">
        <f t="shared" si="248"/>
        <v>24068.470225567387</v>
      </c>
    </row>
    <row r="3061" spans="30:31" ht="14" thickBot="1" x14ac:dyDescent="0.2">
      <c r="AD3061" s="98">
        <f t="shared" si="247"/>
        <v>47984</v>
      </c>
      <c r="AE3061" s="7">
        <f t="shared" si="248"/>
        <v>24080.495697132479</v>
      </c>
    </row>
    <row r="3062" spans="30:31" ht="14" thickBot="1" x14ac:dyDescent="0.2">
      <c r="AD3062" s="98">
        <f t="shared" si="247"/>
        <v>47985</v>
      </c>
      <c r="AE3062" s="7">
        <f t="shared" si="248"/>
        <v>24092.52717705477</v>
      </c>
    </row>
    <row r="3063" spans="30:31" ht="14" thickBot="1" x14ac:dyDescent="0.2">
      <c r="AD3063" s="98">
        <f t="shared" si="247"/>
        <v>47986</v>
      </c>
      <c r="AE3063" s="7">
        <f t="shared" si="248"/>
        <v>24104.56466833625</v>
      </c>
    </row>
    <row r="3064" spans="30:31" ht="14" thickBot="1" x14ac:dyDescent="0.2">
      <c r="AD3064" s="98">
        <f t="shared" si="247"/>
        <v>47987</v>
      </c>
      <c r="AE3064" s="7">
        <f t="shared" si="248"/>
        <v>24116.608173980414</v>
      </c>
    </row>
    <row r="3065" spans="30:31" ht="14" thickBot="1" x14ac:dyDescent="0.2">
      <c r="AD3065" s="98">
        <f t="shared" si="247"/>
        <v>47988</v>
      </c>
      <c r="AE3065" s="7">
        <f t="shared" si="248"/>
        <v>24128.65769699225</v>
      </c>
    </row>
    <row r="3066" spans="30:31" ht="14" thickBot="1" x14ac:dyDescent="0.2">
      <c r="AD3066" s="98">
        <f t="shared" si="247"/>
        <v>47989</v>
      </c>
      <c r="AE3066" s="7">
        <f t="shared" si="248"/>
        <v>24140.713240378253</v>
      </c>
    </row>
    <row r="3067" spans="30:31" ht="14" thickBot="1" x14ac:dyDescent="0.2">
      <c r="AD3067" s="98">
        <f t="shared" si="247"/>
        <v>47990</v>
      </c>
      <c r="AE3067" s="7">
        <f t="shared" si="248"/>
        <v>24152.774807146416</v>
      </c>
    </row>
    <row r="3068" spans="30:31" ht="14" thickBot="1" x14ac:dyDescent="0.2">
      <c r="AD3068" s="98">
        <f t="shared" si="247"/>
        <v>47991</v>
      </c>
      <c r="AE3068" s="7">
        <f t="shared" si="248"/>
        <v>24164.842400306236</v>
      </c>
    </row>
    <row r="3069" spans="30:31" ht="14" thickBot="1" x14ac:dyDescent="0.2">
      <c r="AD3069" s="98">
        <f t="shared" si="247"/>
        <v>47992</v>
      </c>
      <c r="AE3069" s="7">
        <f t="shared" si="248"/>
        <v>24176.916022868718</v>
      </c>
    </row>
    <row r="3070" spans="30:31" ht="14" thickBot="1" x14ac:dyDescent="0.2">
      <c r="AD3070" s="98">
        <f t="shared" si="247"/>
        <v>47993</v>
      </c>
      <c r="AE3070" s="7">
        <f t="shared" si="248"/>
        <v>24188.995677846364</v>
      </c>
    </row>
    <row r="3071" spans="30:31" ht="14" thickBot="1" x14ac:dyDescent="0.2">
      <c r="AD3071" s="98">
        <f t="shared" si="247"/>
        <v>47994</v>
      </c>
      <c r="AE3071" s="7">
        <f t="shared" si="248"/>
        <v>24201.081368253188</v>
      </c>
    </row>
    <row r="3072" spans="30:31" ht="14" thickBot="1" x14ac:dyDescent="0.2">
      <c r="AD3072" s="98">
        <f t="shared" si="247"/>
        <v>47995</v>
      </c>
      <c r="AE3072" s="7">
        <f t="shared" si="248"/>
        <v>24213.173097104707</v>
      </c>
    </row>
    <row r="3073" spans="30:31" ht="14" thickBot="1" x14ac:dyDescent="0.2">
      <c r="AD3073" s="98">
        <f t="shared" si="247"/>
        <v>47996</v>
      </c>
      <c r="AE3073" s="7">
        <f t="shared" si="248"/>
        <v>24225.270867417945</v>
      </c>
    </row>
    <row r="3074" spans="30:31" ht="14" thickBot="1" x14ac:dyDescent="0.2">
      <c r="AD3074" s="98">
        <f t="shared" si="247"/>
        <v>47997</v>
      </c>
      <c r="AE3074" s="7">
        <f t="shared" si="248"/>
        <v>24237.37468221143</v>
      </c>
    </row>
    <row r="3075" spans="30:31" ht="14" thickBot="1" x14ac:dyDescent="0.2">
      <c r="AD3075" s="98">
        <f t="shared" si="247"/>
        <v>47998</v>
      </c>
      <c r="AE3075" s="7">
        <f t="shared" si="248"/>
        <v>24249.484544505205</v>
      </c>
    </row>
    <row r="3076" spans="30:31" ht="14" thickBot="1" x14ac:dyDescent="0.2">
      <c r="AD3076" s="98">
        <f t="shared" si="247"/>
        <v>47999</v>
      </c>
      <c r="AE3076" s="7">
        <f t="shared" si="248"/>
        <v>24261.600457320816</v>
      </c>
    </row>
    <row r="3077" spans="30:31" ht="14" thickBot="1" x14ac:dyDescent="0.2">
      <c r="AD3077" s="98">
        <f t="shared" si="247"/>
        <v>48000</v>
      </c>
      <c r="AE3077" s="7">
        <f t="shared" si="248"/>
        <v>24273.72242368132</v>
      </c>
    </row>
    <row r="3078" spans="30:31" ht="14" thickBot="1" x14ac:dyDescent="0.2">
      <c r="AD3078" s="98">
        <f t="shared" si="247"/>
        <v>48001</v>
      </c>
      <c r="AE3078" s="7">
        <f t="shared" si="248"/>
        <v>24285.850446611286</v>
      </c>
    </row>
    <row r="3079" spans="30:31" ht="14" thickBot="1" x14ac:dyDescent="0.2">
      <c r="AD3079" s="98">
        <f t="shared" si="247"/>
        <v>48002</v>
      </c>
      <c r="AE3079" s="7">
        <f t="shared" si="248"/>
        <v>24297.984529136796</v>
      </c>
    </row>
    <row r="3080" spans="30:31" ht="14" thickBot="1" x14ac:dyDescent="0.2">
      <c r="AD3080" s="98">
        <f t="shared" si="247"/>
        <v>48003</v>
      </c>
      <c r="AE3080" s="7">
        <f t="shared" si="248"/>
        <v>24310.124674285438</v>
      </c>
    </row>
    <row r="3081" spans="30:31" ht="14" thickBot="1" x14ac:dyDescent="0.2">
      <c r="AD3081" s="98">
        <f t="shared" ref="AD3081:AD3144" si="249">AD3080+1</f>
        <v>48004</v>
      </c>
      <c r="AE3081" s="7">
        <f t="shared" si="248"/>
        <v>24322.27088508632</v>
      </c>
    </row>
    <row r="3082" spans="30:31" ht="14" thickBot="1" x14ac:dyDescent="0.2">
      <c r="AD3082" s="98">
        <f t="shared" si="249"/>
        <v>48005</v>
      </c>
      <c r="AE3082" s="7">
        <f t="shared" si="248"/>
        <v>24334.423164570057</v>
      </c>
    </row>
    <row r="3083" spans="30:31" ht="14" thickBot="1" x14ac:dyDescent="0.2">
      <c r="AD3083" s="98">
        <f t="shared" si="249"/>
        <v>48006</v>
      </c>
      <c r="AE3083" s="7">
        <f t="shared" si="248"/>
        <v>24346.581515768779</v>
      </c>
    </row>
    <row r="3084" spans="30:31" ht="14" thickBot="1" x14ac:dyDescent="0.2">
      <c r="AD3084" s="98">
        <f t="shared" si="249"/>
        <v>48007</v>
      </c>
      <c r="AE3084" s="7">
        <f t="shared" si="248"/>
        <v>24358.745941716137</v>
      </c>
    </row>
    <row r="3085" spans="30:31" ht="14" thickBot="1" x14ac:dyDescent="0.2">
      <c r="AD3085" s="98">
        <f t="shared" si="249"/>
        <v>48008</v>
      </c>
      <c r="AE3085" s="7">
        <f t="shared" si="248"/>
        <v>24370.916445447288</v>
      </c>
    </row>
    <row r="3086" spans="30:31" ht="14" thickBot="1" x14ac:dyDescent="0.2">
      <c r="AD3086" s="98">
        <f t="shared" si="249"/>
        <v>48009</v>
      </c>
      <c r="AE3086" s="7">
        <f t="shared" si="248"/>
        <v>24383.093029998916</v>
      </c>
    </row>
    <row r="3087" spans="30:31" ht="14" thickBot="1" x14ac:dyDescent="0.2">
      <c r="AD3087" s="98">
        <f t="shared" si="249"/>
        <v>48010</v>
      </c>
      <c r="AE3087" s="7">
        <f t="shared" si="248"/>
        <v>24395.275698409216</v>
      </c>
    </row>
    <row r="3088" spans="30:31" ht="14" thickBot="1" x14ac:dyDescent="0.2">
      <c r="AD3088" s="98">
        <f t="shared" si="249"/>
        <v>48011</v>
      </c>
      <c r="AE3088" s="7">
        <f t="shared" si="248"/>
        <v>24407.464453717901</v>
      </c>
    </row>
    <row r="3089" spans="30:31" ht="14" thickBot="1" x14ac:dyDescent="0.2">
      <c r="AD3089" s="98">
        <f t="shared" si="249"/>
        <v>48012</v>
      </c>
      <c r="AE3089" s="7">
        <f t="shared" si="248"/>
        <v>24419.659298966202</v>
      </c>
    </row>
    <row r="3090" spans="30:31" ht="14" thickBot="1" x14ac:dyDescent="0.2">
      <c r="AD3090" s="98">
        <f t="shared" si="249"/>
        <v>48013</v>
      </c>
      <c r="AE3090" s="7">
        <f t="shared" si="248"/>
        <v>24431.860237196877</v>
      </c>
    </row>
    <row r="3091" spans="30:31" ht="14" thickBot="1" x14ac:dyDescent="0.2">
      <c r="AD3091" s="98">
        <f t="shared" si="249"/>
        <v>48014</v>
      </c>
      <c r="AE3091" s="7">
        <f t="shared" si="248"/>
        <v>24444.067271454194</v>
      </c>
    </row>
    <row r="3092" spans="30:31" ht="14" thickBot="1" x14ac:dyDescent="0.2">
      <c r="AD3092" s="98">
        <f t="shared" si="249"/>
        <v>48015</v>
      </c>
      <c r="AE3092" s="7">
        <f t="shared" si="248"/>
        <v>24456.280404783949</v>
      </c>
    </row>
    <row r="3093" spans="30:31" ht="14" thickBot="1" x14ac:dyDescent="0.2">
      <c r="AD3093" s="98">
        <f t="shared" si="249"/>
        <v>48016</v>
      </c>
      <c r="AE3093" s="7">
        <f t="shared" si="248"/>
        <v>24468.499640233455</v>
      </c>
    </row>
    <row r="3094" spans="30:31" ht="14" thickBot="1" x14ac:dyDescent="0.2">
      <c r="AD3094" s="98">
        <f t="shared" si="249"/>
        <v>48017</v>
      </c>
      <c r="AE3094" s="7">
        <f t="shared" si="248"/>
        <v>24480.724980851552</v>
      </c>
    </row>
    <row r="3095" spans="30:31" ht="14" thickBot="1" x14ac:dyDescent="0.2">
      <c r="AD3095" s="98">
        <f t="shared" si="249"/>
        <v>48018</v>
      </c>
      <c r="AE3095" s="7">
        <f t="shared" si="248"/>
        <v>24492.956429688602</v>
      </c>
    </row>
    <row r="3096" spans="30:31" ht="14" thickBot="1" x14ac:dyDescent="0.2">
      <c r="AD3096" s="98">
        <f t="shared" si="249"/>
        <v>48019</v>
      </c>
      <c r="AE3096" s="7">
        <f t="shared" si="248"/>
        <v>24505.193989796488</v>
      </c>
    </row>
    <row r="3097" spans="30:31" ht="14" thickBot="1" x14ac:dyDescent="0.2">
      <c r="AD3097" s="98">
        <f t="shared" si="249"/>
        <v>48020</v>
      </c>
      <c r="AE3097" s="7">
        <f t="shared" si="248"/>
        <v>24517.437664228622</v>
      </c>
    </row>
    <row r="3098" spans="30:31" ht="14" thickBot="1" x14ac:dyDescent="0.2">
      <c r="AD3098" s="98">
        <f t="shared" si="249"/>
        <v>48021</v>
      </c>
      <c r="AE3098" s="7">
        <f t="shared" si="248"/>
        <v>24529.687456039941</v>
      </c>
    </row>
    <row r="3099" spans="30:31" ht="14" thickBot="1" x14ac:dyDescent="0.2">
      <c r="AD3099" s="98">
        <f t="shared" si="249"/>
        <v>48022</v>
      </c>
      <c r="AE3099" s="7">
        <f t="shared" si="248"/>
        <v>24541.943368286906</v>
      </c>
    </row>
    <row r="3100" spans="30:31" ht="14" thickBot="1" x14ac:dyDescent="0.2">
      <c r="AD3100" s="98">
        <f t="shared" si="249"/>
        <v>48023</v>
      </c>
      <c r="AE3100" s="7">
        <f t="shared" ref="AE3100:AE3163" si="250">AE3099*$AI$95</f>
        <v>24554.205404027503</v>
      </c>
    </row>
    <row r="3101" spans="30:31" ht="14" thickBot="1" x14ac:dyDescent="0.2">
      <c r="AD3101" s="98">
        <f t="shared" si="249"/>
        <v>48024</v>
      </c>
      <c r="AE3101" s="7">
        <f t="shared" si="250"/>
        <v>24566.473566321252</v>
      </c>
    </row>
    <row r="3102" spans="30:31" ht="14" thickBot="1" x14ac:dyDescent="0.2">
      <c r="AD3102" s="98">
        <f t="shared" si="249"/>
        <v>48025</v>
      </c>
      <c r="AE3102" s="7">
        <f t="shared" si="250"/>
        <v>24578.747858229202</v>
      </c>
    </row>
    <row r="3103" spans="30:31" ht="14" thickBot="1" x14ac:dyDescent="0.2">
      <c r="AD3103" s="98">
        <f t="shared" si="249"/>
        <v>48026</v>
      </c>
      <c r="AE3103" s="7">
        <f t="shared" si="250"/>
        <v>24591.028282813924</v>
      </c>
    </row>
    <row r="3104" spans="30:31" ht="14" thickBot="1" x14ac:dyDescent="0.2">
      <c r="AD3104" s="98">
        <f t="shared" si="249"/>
        <v>48027</v>
      </c>
      <c r="AE3104" s="7">
        <f t="shared" si="250"/>
        <v>24603.314843139524</v>
      </c>
    </row>
    <row r="3105" spans="30:31" ht="14" thickBot="1" x14ac:dyDescent="0.2">
      <c r="AD3105" s="98">
        <f t="shared" si="249"/>
        <v>48028</v>
      </c>
      <c r="AE3105" s="7">
        <f t="shared" si="250"/>
        <v>24615.607542271639</v>
      </c>
    </row>
    <row r="3106" spans="30:31" ht="14" thickBot="1" x14ac:dyDescent="0.2">
      <c r="AD3106" s="98">
        <f t="shared" si="249"/>
        <v>48029</v>
      </c>
      <c r="AE3106" s="7">
        <f t="shared" si="250"/>
        <v>24627.906383277437</v>
      </c>
    </row>
    <row r="3107" spans="30:31" ht="14" thickBot="1" x14ac:dyDescent="0.2">
      <c r="AD3107" s="98">
        <f t="shared" si="249"/>
        <v>48030</v>
      </c>
      <c r="AE3107" s="7">
        <f t="shared" si="250"/>
        <v>24640.211369225621</v>
      </c>
    </row>
    <row r="3108" spans="30:31" ht="14" thickBot="1" x14ac:dyDescent="0.2">
      <c r="AD3108" s="98">
        <f t="shared" si="249"/>
        <v>48031</v>
      </c>
      <c r="AE3108" s="7">
        <f t="shared" si="250"/>
        <v>24652.522503186421</v>
      </c>
    </row>
    <row r="3109" spans="30:31" ht="14" thickBot="1" x14ac:dyDescent="0.2">
      <c r="AD3109" s="98">
        <f t="shared" si="249"/>
        <v>48032</v>
      </c>
      <c r="AE3109" s="7">
        <f t="shared" si="250"/>
        <v>24664.839788231606</v>
      </c>
    </row>
    <row r="3110" spans="30:31" ht="14" thickBot="1" x14ac:dyDescent="0.2">
      <c r="AD3110" s="98">
        <f t="shared" si="249"/>
        <v>48033</v>
      </c>
      <c r="AE3110" s="7">
        <f t="shared" si="250"/>
        <v>24677.163227434477</v>
      </c>
    </row>
    <row r="3111" spans="30:31" ht="14" thickBot="1" x14ac:dyDescent="0.2">
      <c r="AD3111" s="98">
        <f t="shared" si="249"/>
        <v>48034</v>
      </c>
      <c r="AE3111" s="7">
        <f t="shared" si="250"/>
        <v>24689.492823869878</v>
      </c>
    </row>
    <row r="3112" spans="30:31" ht="14" thickBot="1" x14ac:dyDescent="0.2">
      <c r="AD3112" s="98">
        <f t="shared" si="249"/>
        <v>48035</v>
      </c>
      <c r="AE3112" s="7">
        <f t="shared" si="250"/>
        <v>24701.828580614176</v>
      </c>
    </row>
    <row r="3113" spans="30:31" ht="14" thickBot="1" x14ac:dyDescent="0.2">
      <c r="AD3113" s="98">
        <f t="shared" si="249"/>
        <v>48036</v>
      </c>
      <c r="AE3113" s="7">
        <f t="shared" si="250"/>
        <v>24714.170500745287</v>
      </c>
    </row>
    <row r="3114" spans="30:31" ht="14" thickBot="1" x14ac:dyDescent="0.2">
      <c r="AD3114" s="98">
        <f t="shared" si="249"/>
        <v>48037</v>
      </c>
      <c r="AE3114" s="7">
        <f t="shared" si="250"/>
        <v>24726.51858734266</v>
      </c>
    </row>
    <row r="3115" spans="30:31" ht="14" thickBot="1" x14ac:dyDescent="0.2">
      <c r="AD3115" s="98">
        <f t="shared" si="249"/>
        <v>48038</v>
      </c>
      <c r="AE3115" s="7">
        <f t="shared" si="250"/>
        <v>24738.872843487279</v>
      </c>
    </row>
    <row r="3116" spans="30:31" ht="14" thickBot="1" x14ac:dyDescent="0.2">
      <c r="AD3116" s="98">
        <f t="shared" si="249"/>
        <v>48039</v>
      </c>
      <c r="AE3116" s="7">
        <f t="shared" si="250"/>
        <v>24751.233272261674</v>
      </c>
    </row>
    <row r="3117" spans="30:31" ht="14" thickBot="1" x14ac:dyDescent="0.2">
      <c r="AD3117" s="98">
        <f t="shared" si="249"/>
        <v>48040</v>
      </c>
      <c r="AE3117" s="7">
        <f t="shared" si="250"/>
        <v>24763.599876749911</v>
      </c>
    </row>
    <row r="3118" spans="30:31" ht="14" thickBot="1" x14ac:dyDescent="0.2">
      <c r="AD3118" s="98">
        <f t="shared" si="249"/>
        <v>48041</v>
      </c>
      <c r="AE3118" s="7">
        <f t="shared" si="250"/>
        <v>24775.972660037602</v>
      </c>
    </row>
    <row r="3119" spans="30:31" ht="14" thickBot="1" x14ac:dyDescent="0.2">
      <c r="AD3119" s="98">
        <f t="shared" si="249"/>
        <v>48042</v>
      </c>
      <c r="AE3119" s="7">
        <f t="shared" si="250"/>
        <v>24788.351625211893</v>
      </c>
    </row>
    <row r="3120" spans="30:31" ht="14" thickBot="1" x14ac:dyDescent="0.2">
      <c r="AD3120" s="98">
        <f t="shared" si="249"/>
        <v>48043</v>
      </c>
      <c r="AE3120" s="7">
        <f t="shared" si="250"/>
        <v>24800.736775361478</v>
      </c>
    </row>
    <row r="3121" spans="30:31" ht="14" thickBot="1" x14ac:dyDescent="0.2">
      <c r="AD3121" s="98">
        <f t="shared" si="249"/>
        <v>48044</v>
      </c>
      <c r="AE3121" s="7">
        <f t="shared" si="250"/>
        <v>24813.128113576593</v>
      </c>
    </row>
    <row r="3122" spans="30:31" ht="14" thickBot="1" x14ac:dyDescent="0.2">
      <c r="AD3122" s="98">
        <f t="shared" si="249"/>
        <v>48045</v>
      </c>
      <c r="AE3122" s="7">
        <f t="shared" si="250"/>
        <v>24825.525642949018</v>
      </c>
    </row>
    <row r="3123" spans="30:31" ht="14" thickBot="1" x14ac:dyDescent="0.2">
      <c r="AD3123" s="98">
        <f t="shared" si="249"/>
        <v>48046</v>
      </c>
      <c r="AE3123" s="7">
        <f t="shared" si="250"/>
        <v>24837.929366572076</v>
      </c>
    </row>
    <row r="3124" spans="30:31" ht="14" thickBot="1" x14ac:dyDescent="0.2">
      <c r="AD3124" s="98">
        <f t="shared" si="249"/>
        <v>48047</v>
      </c>
      <c r="AE3124" s="7">
        <f t="shared" si="250"/>
        <v>24850.339287540639</v>
      </c>
    </row>
    <row r="3125" spans="30:31" ht="14" thickBot="1" x14ac:dyDescent="0.2">
      <c r="AD3125" s="98">
        <f t="shared" si="249"/>
        <v>48048</v>
      </c>
      <c r="AE3125" s="7">
        <f t="shared" si="250"/>
        <v>24862.755408951121</v>
      </c>
    </row>
    <row r="3126" spans="30:31" ht="14" thickBot="1" x14ac:dyDescent="0.2">
      <c r="AD3126" s="98">
        <f t="shared" si="249"/>
        <v>48049</v>
      </c>
      <c r="AE3126" s="7">
        <f t="shared" si="250"/>
        <v>24875.177733901488</v>
      </c>
    </row>
    <row r="3127" spans="30:31" ht="14" thickBot="1" x14ac:dyDescent="0.2">
      <c r="AD3127" s="98">
        <f t="shared" si="249"/>
        <v>48050</v>
      </c>
      <c r="AE3127" s="7">
        <f t="shared" si="250"/>
        <v>24887.606265491246</v>
      </c>
    </row>
    <row r="3128" spans="30:31" ht="14" thickBot="1" x14ac:dyDescent="0.2">
      <c r="AD3128" s="98">
        <f t="shared" si="249"/>
        <v>48051</v>
      </c>
      <c r="AE3128" s="7">
        <f t="shared" si="250"/>
        <v>24900.041006821459</v>
      </c>
    </row>
    <row r="3129" spans="30:31" ht="14" thickBot="1" x14ac:dyDescent="0.2">
      <c r="AD3129" s="98">
        <f t="shared" si="249"/>
        <v>48052</v>
      </c>
      <c r="AE3129" s="7">
        <f t="shared" si="250"/>
        <v>24912.481960994734</v>
      </c>
    </row>
    <row r="3130" spans="30:31" ht="14" thickBot="1" x14ac:dyDescent="0.2">
      <c r="AD3130" s="98">
        <f t="shared" si="249"/>
        <v>48053</v>
      </c>
      <c r="AE3130" s="7">
        <f t="shared" si="250"/>
        <v>24924.929131115234</v>
      </c>
    </row>
    <row r="3131" spans="30:31" ht="14" thickBot="1" x14ac:dyDescent="0.2">
      <c r="AD3131" s="98">
        <f t="shared" si="249"/>
        <v>48054</v>
      </c>
      <c r="AE3131" s="7">
        <f t="shared" si="250"/>
        <v>24937.382520288666</v>
      </c>
    </row>
    <row r="3132" spans="30:31" ht="14" thickBot="1" x14ac:dyDescent="0.2">
      <c r="AD3132" s="98">
        <f t="shared" si="249"/>
        <v>48055</v>
      </c>
      <c r="AE3132" s="7">
        <f t="shared" si="250"/>
        <v>24949.842131622292</v>
      </c>
    </row>
    <row r="3133" spans="30:31" ht="14" thickBot="1" x14ac:dyDescent="0.2">
      <c r="AD3133" s="98">
        <f t="shared" si="249"/>
        <v>48056</v>
      </c>
      <c r="AE3133" s="7">
        <f t="shared" si="250"/>
        <v>24962.30796822493</v>
      </c>
    </row>
    <row r="3134" spans="30:31" ht="14" thickBot="1" x14ac:dyDescent="0.2">
      <c r="AD3134" s="98">
        <f t="shared" si="249"/>
        <v>48057</v>
      </c>
      <c r="AE3134" s="7">
        <f t="shared" si="250"/>
        <v>24974.780033206946</v>
      </c>
    </row>
    <row r="3135" spans="30:31" ht="14" thickBot="1" x14ac:dyDescent="0.2">
      <c r="AD3135" s="98">
        <f t="shared" si="249"/>
        <v>48058</v>
      </c>
      <c r="AE3135" s="7">
        <f t="shared" si="250"/>
        <v>24987.258329680259</v>
      </c>
    </row>
    <row r="3136" spans="30:31" ht="14" thickBot="1" x14ac:dyDescent="0.2">
      <c r="AD3136" s="98">
        <f t="shared" si="249"/>
        <v>48059</v>
      </c>
      <c r="AE3136" s="7">
        <f t="shared" si="250"/>
        <v>24999.74286075835</v>
      </c>
    </row>
    <row r="3137" spans="30:31" ht="14" thickBot="1" x14ac:dyDescent="0.2">
      <c r="AD3137" s="98">
        <f t="shared" si="249"/>
        <v>48060</v>
      </c>
      <c r="AE3137" s="7">
        <f t="shared" si="250"/>
        <v>25012.233629556249</v>
      </c>
    </row>
    <row r="3138" spans="30:31" ht="14" thickBot="1" x14ac:dyDescent="0.2">
      <c r="AD3138" s="98">
        <f t="shared" si="249"/>
        <v>48061</v>
      </c>
      <c r="AE3138" s="7">
        <f t="shared" si="250"/>
        <v>25024.730639190544</v>
      </c>
    </row>
    <row r="3139" spans="30:31" ht="14" thickBot="1" x14ac:dyDescent="0.2">
      <c r="AD3139" s="98">
        <f t="shared" si="249"/>
        <v>48062</v>
      </c>
      <c r="AE3139" s="7">
        <f t="shared" si="250"/>
        <v>25037.233892779383</v>
      </c>
    </row>
    <row r="3140" spans="30:31" ht="14" thickBot="1" x14ac:dyDescent="0.2">
      <c r="AD3140" s="98">
        <f t="shared" si="249"/>
        <v>48063</v>
      </c>
      <c r="AE3140" s="7">
        <f t="shared" si="250"/>
        <v>25049.743393442466</v>
      </c>
    </row>
    <row r="3141" spans="30:31" ht="14" thickBot="1" x14ac:dyDescent="0.2">
      <c r="AD3141" s="98">
        <f t="shared" si="249"/>
        <v>48064</v>
      </c>
      <c r="AE3141" s="7">
        <f t="shared" si="250"/>
        <v>25062.259144301061</v>
      </c>
    </row>
    <row r="3142" spans="30:31" ht="14" thickBot="1" x14ac:dyDescent="0.2">
      <c r="AD3142" s="98">
        <f t="shared" si="249"/>
        <v>48065</v>
      </c>
      <c r="AE3142" s="7">
        <f t="shared" si="250"/>
        <v>25074.781148477985</v>
      </c>
    </row>
    <row r="3143" spans="30:31" ht="14" thickBot="1" x14ac:dyDescent="0.2">
      <c r="AD3143" s="98">
        <f t="shared" si="249"/>
        <v>48066</v>
      </c>
      <c r="AE3143" s="7">
        <f t="shared" si="250"/>
        <v>25087.309409097623</v>
      </c>
    </row>
    <row r="3144" spans="30:31" ht="14" thickBot="1" x14ac:dyDescent="0.2">
      <c r="AD3144" s="98">
        <f t="shared" si="249"/>
        <v>48067</v>
      </c>
      <c r="AE3144" s="7">
        <f t="shared" si="250"/>
        <v>25099.843929285918</v>
      </c>
    </row>
    <row r="3145" spans="30:31" ht="14" thickBot="1" x14ac:dyDescent="0.2">
      <c r="AD3145" s="98">
        <f t="shared" ref="AD3145:AD3208" si="251">AD3144+1</f>
        <v>48068</v>
      </c>
      <c r="AE3145" s="7">
        <f t="shared" si="250"/>
        <v>25112.384712170377</v>
      </c>
    </row>
    <row r="3146" spans="30:31" ht="14" thickBot="1" x14ac:dyDescent="0.2">
      <c r="AD3146" s="98">
        <f t="shared" si="251"/>
        <v>48069</v>
      </c>
      <c r="AE3146" s="7">
        <f t="shared" si="250"/>
        <v>25124.931760880063</v>
      </c>
    </row>
    <row r="3147" spans="30:31" ht="14" thickBot="1" x14ac:dyDescent="0.2">
      <c r="AD3147" s="98">
        <f t="shared" si="251"/>
        <v>48070</v>
      </c>
      <c r="AE3147" s="7">
        <f t="shared" si="250"/>
        <v>25137.485078545611</v>
      </c>
    </row>
    <row r="3148" spans="30:31" ht="14" thickBot="1" x14ac:dyDescent="0.2">
      <c r="AD3148" s="98">
        <f t="shared" si="251"/>
        <v>48071</v>
      </c>
      <c r="AE3148" s="7">
        <f t="shared" si="250"/>
        <v>25150.044668299215</v>
      </c>
    </row>
    <row r="3149" spans="30:31" ht="14" thickBot="1" x14ac:dyDescent="0.2">
      <c r="AD3149" s="98">
        <f t="shared" si="251"/>
        <v>48072</v>
      </c>
      <c r="AE3149" s="7">
        <f t="shared" si="250"/>
        <v>25162.610533274637</v>
      </c>
    </row>
    <row r="3150" spans="30:31" ht="14" thickBot="1" x14ac:dyDescent="0.2">
      <c r="AD3150" s="98">
        <f t="shared" si="251"/>
        <v>48073</v>
      </c>
      <c r="AE3150" s="7">
        <f t="shared" si="250"/>
        <v>25175.182676607201</v>
      </c>
    </row>
    <row r="3151" spans="30:31" ht="14" thickBot="1" x14ac:dyDescent="0.2">
      <c r="AD3151" s="98">
        <f t="shared" si="251"/>
        <v>48074</v>
      </c>
      <c r="AE3151" s="7">
        <f t="shared" si="250"/>
        <v>25187.7611014338</v>
      </c>
    </row>
    <row r="3152" spans="30:31" ht="14" thickBot="1" x14ac:dyDescent="0.2">
      <c r="AD3152" s="98">
        <f t="shared" si="251"/>
        <v>48075</v>
      </c>
      <c r="AE3152" s="7">
        <f t="shared" si="250"/>
        <v>25200.345810892893</v>
      </c>
    </row>
    <row r="3153" spans="30:31" ht="14" thickBot="1" x14ac:dyDescent="0.2">
      <c r="AD3153" s="98">
        <f t="shared" si="251"/>
        <v>48076</v>
      </c>
      <c r="AE3153" s="7">
        <f t="shared" si="250"/>
        <v>25212.936808124512</v>
      </c>
    </row>
    <row r="3154" spans="30:31" ht="14" thickBot="1" x14ac:dyDescent="0.2">
      <c r="AD3154" s="98">
        <f t="shared" si="251"/>
        <v>48077</v>
      </c>
      <c r="AE3154" s="7">
        <f t="shared" si="250"/>
        <v>25225.53409627025</v>
      </c>
    </row>
    <row r="3155" spans="30:31" ht="14" thickBot="1" x14ac:dyDescent="0.2">
      <c r="AD3155" s="98">
        <f t="shared" si="251"/>
        <v>48078</v>
      </c>
      <c r="AE3155" s="7">
        <f t="shared" si="250"/>
        <v>25238.137678473275</v>
      </c>
    </row>
    <row r="3156" spans="30:31" ht="14" thickBot="1" x14ac:dyDescent="0.2">
      <c r="AD3156" s="98">
        <f t="shared" si="251"/>
        <v>48079</v>
      </c>
      <c r="AE3156" s="7">
        <f t="shared" si="250"/>
        <v>25250.74755787832</v>
      </c>
    </row>
    <row r="3157" spans="30:31" ht="14" thickBot="1" x14ac:dyDescent="0.2">
      <c r="AD3157" s="98">
        <f t="shared" si="251"/>
        <v>48080</v>
      </c>
      <c r="AE3157" s="7">
        <f t="shared" si="250"/>
        <v>25263.363737631698</v>
      </c>
    </row>
    <row r="3158" spans="30:31" ht="14" thickBot="1" x14ac:dyDescent="0.2">
      <c r="AD3158" s="98">
        <f t="shared" si="251"/>
        <v>48081</v>
      </c>
      <c r="AE3158" s="7">
        <f t="shared" si="250"/>
        <v>25275.986220881288</v>
      </c>
    </row>
    <row r="3159" spans="30:31" ht="14" thickBot="1" x14ac:dyDescent="0.2">
      <c r="AD3159" s="98">
        <f t="shared" si="251"/>
        <v>48082</v>
      </c>
      <c r="AE3159" s="7">
        <f t="shared" si="250"/>
        <v>25288.615010776542</v>
      </c>
    </row>
    <row r="3160" spans="30:31" ht="14" thickBot="1" x14ac:dyDescent="0.2">
      <c r="AD3160" s="98">
        <f t="shared" si="251"/>
        <v>48083</v>
      </c>
      <c r="AE3160" s="7">
        <f t="shared" si="250"/>
        <v>25301.250110468489</v>
      </c>
    </row>
    <row r="3161" spans="30:31" ht="14" thickBot="1" x14ac:dyDescent="0.2">
      <c r="AD3161" s="98">
        <f t="shared" si="251"/>
        <v>48084</v>
      </c>
      <c r="AE3161" s="7">
        <f t="shared" si="250"/>
        <v>25313.891523109727</v>
      </c>
    </row>
    <row r="3162" spans="30:31" ht="14" thickBot="1" x14ac:dyDescent="0.2">
      <c r="AD3162" s="98">
        <f t="shared" si="251"/>
        <v>48085</v>
      </c>
      <c r="AE3162" s="7">
        <f t="shared" si="250"/>
        <v>25326.539251854432</v>
      </c>
    </row>
    <row r="3163" spans="30:31" ht="14" thickBot="1" x14ac:dyDescent="0.2">
      <c r="AD3163" s="98">
        <f t="shared" si="251"/>
        <v>48086</v>
      </c>
      <c r="AE3163" s="7">
        <f t="shared" si="250"/>
        <v>25339.193299858358</v>
      </c>
    </row>
    <row r="3164" spans="30:31" ht="14" thickBot="1" x14ac:dyDescent="0.2">
      <c r="AD3164" s="98">
        <f t="shared" si="251"/>
        <v>48087</v>
      </c>
      <c r="AE3164" s="7">
        <f t="shared" ref="AE3164:AE3227" si="252">AE3163*$AI$95</f>
        <v>25351.85367027883</v>
      </c>
    </row>
    <row r="3165" spans="30:31" ht="14" thickBot="1" x14ac:dyDescent="0.2">
      <c r="AD3165" s="98">
        <f t="shared" si="251"/>
        <v>48088</v>
      </c>
      <c r="AE3165" s="7">
        <f t="shared" si="252"/>
        <v>25364.520366274759</v>
      </c>
    </row>
    <row r="3166" spans="30:31" ht="14" thickBot="1" x14ac:dyDescent="0.2">
      <c r="AD3166" s="98">
        <f t="shared" si="251"/>
        <v>48089</v>
      </c>
      <c r="AE3166" s="7">
        <f t="shared" si="252"/>
        <v>25377.193391006625</v>
      </c>
    </row>
    <row r="3167" spans="30:31" ht="14" thickBot="1" x14ac:dyDescent="0.2">
      <c r="AD3167" s="98">
        <f t="shared" si="251"/>
        <v>48090</v>
      </c>
      <c r="AE3167" s="7">
        <f t="shared" si="252"/>
        <v>25389.872747636495</v>
      </c>
    </row>
    <row r="3168" spans="30:31" ht="14" thickBot="1" x14ac:dyDescent="0.2">
      <c r="AD3168" s="98">
        <f t="shared" si="251"/>
        <v>48091</v>
      </c>
      <c r="AE3168" s="7">
        <f t="shared" si="252"/>
        <v>25402.558439328011</v>
      </c>
    </row>
    <row r="3169" spans="30:31" ht="14" thickBot="1" x14ac:dyDescent="0.2">
      <c r="AD3169" s="98">
        <f t="shared" si="251"/>
        <v>48092</v>
      </c>
      <c r="AE3169" s="7">
        <f t="shared" si="252"/>
        <v>25415.250469246399</v>
      </c>
    </row>
    <row r="3170" spans="30:31" ht="14" thickBot="1" x14ac:dyDescent="0.2">
      <c r="AD3170" s="98">
        <f t="shared" si="251"/>
        <v>48093</v>
      </c>
      <c r="AE3170" s="7">
        <f t="shared" si="252"/>
        <v>25427.948840558463</v>
      </c>
    </row>
    <row r="3171" spans="30:31" ht="14" thickBot="1" x14ac:dyDescent="0.2">
      <c r="AD3171" s="98">
        <f t="shared" si="251"/>
        <v>48094</v>
      </c>
      <c r="AE3171" s="7">
        <f t="shared" si="252"/>
        <v>25440.653556432593</v>
      </c>
    </row>
    <row r="3172" spans="30:31" ht="14" thickBot="1" x14ac:dyDescent="0.2">
      <c r="AD3172" s="98">
        <f t="shared" si="251"/>
        <v>48095</v>
      </c>
      <c r="AE3172" s="7">
        <f t="shared" si="252"/>
        <v>25453.364620038756</v>
      </c>
    </row>
    <row r="3173" spans="30:31" ht="14" thickBot="1" x14ac:dyDescent="0.2">
      <c r="AD3173" s="98">
        <f t="shared" si="251"/>
        <v>48096</v>
      </c>
      <c r="AE3173" s="7">
        <f t="shared" si="252"/>
        <v>25466.082034548508</v>
      </c>
    </row>
    <row r="3174" spans="30:31" ht="14" thickBot="1" x14ac:dyDescent="0.2">
      <c r="AD3174" s="98">
        <f t="shared" si="251"/>
        <v>48097</v>
      </c>
      <c r="AE3174" s="7">
        <f t="shared" si="252"/>
        <v>25478.80580313499</v>
      </c>
    </row>
    <row r="3175" spans="30:31" ht="14" thickBot="1" x14ac:dyDescent="0.2">
      <c r="AD3175" s="98">
        <f t="shared" si="251"/>
        <v>48098</v>
      </c>
      <c r="AE3175" s="7">
        <f t="shared" si="252"/>
        <v>25491.535928972928</v>
      </c>
    </row>
    <row r="3176" spans="30:31" ht="14" thickBot="1" x14ac:dyDescent="0.2">
      <c r="AD3176" s="98">
        <f t="shared" si="251"/>
        <v>48099</v>
      </c>
      <c r="AE3176" s="7">
        <f t="shared" si="252"/>
        <v>25504.272415238629</v>
      </c>
    </row>
    <row r="3177" spans="30:31" ht="14" thickBot="1" x14ac:dyDescent="0.2">
      <c r="AD3177" s="98">
        <f t="shared" si="251"/>
        <v>48100</v>
      </c>
      <c r="AE3177" s="7">
        <f t="shared" si="252"/>
        <v>25517.015265109992</v>
      </c>
    </row>
    <row r="3178" spans="30:31" ht="14" thickBot="1" x14ac:dyDescent="0.2">
      <c r="AD3178" s="98">
        <f t="shared" si="251"/>
        <v>48101</v>
      </c>
      <c r="AE3178" s="7">
        <f t="shared" si="252"/>
        <v>25529.764481766506</v>
      </c>
    </row>
    <row r="3179" spans="30:31" ht="14" thickBot="1" x14ac:dyDescent="0.2">
      <c r="AD3179" s="98">
        <f t="shared" si="251"/>
        <v>48102</v>
      </c>
      <c r="AE3179" s="7">
        <f t="shared" si="252"/>
        <v>25542.520068389244</v>
      </c>
    </row>
    <row r="3180" spans="30:31" ht="14" thickBot="1" x14ac:dyDescent="0.2">
      <c r="AD3180" s="98">
        <f t="shared" si="251"/>
        <v>48103</v>
      </c>
      <c r="AE3180" s="7">
        <f t="shared" si="252"/>
        <v>25555.282028160866</v>
      </c>
    </row>
    <row r="3181" spans="30:31" ht="14" thickBot="1" x14ac:dyDescent="0.2">
      <c r="AD3181" s="98">
        <f t="shared" si="251"/>
        <v>48104</v>
      </c>
      <c r="AE3181" s="7">
        <f t="shared" si="252"/>
        <v>25568.050364265629</v>
      </c>
    </row>
    <row r="3182" spans="30:31" ht="14" thickBot="1" x14ac:dyDescent="0.2">
      <c r="AD3182" s="98">
        <f t="shared" si="251"/>
        <v>48105</v>
      </c>
      <c r="AE3182" s="7">
        <f t="shared" si="252"/>
        <v>25580.825079889379</v>
      </c>
    </row>
    <row r="3183" spans="30:31" ht="14" thickBot="1" x14ac:dyDescent="0.2">
      <c r="AD3183" s="98">
        <f t="shared" si="251"/>
        <v>48106</v>
      </c>
      <c r="AE3183" s="7">
        <f t="shared" si="252"/>
        <v>25593.60617821955</v>
      </c>
    </row>
    <row r="3184" spans="30:31" ht="14" thickBot="1" x14ac:dyDescent="0.2">
      <c r="AD3184" s="98">
        <f t="shared" si="251"/>
        <v>48107</v>
      </c>
      <c r="AE3184" s="7">
        <f t="shared" si="252"/>
        <v>25606.393662445174</v>
      </c>
    </row>
    <row r="3185" spans="30:31" ht="14" thickBot="1" x14ac:dyDescent="0.2">
      <c r="AD3185" s="98">
        <f t="shared" si="251"/>
        <v>48108</v>
      </c>
      <c r="AE3185" s="7">
        <f t="shared" si="252"/>
        <v>25619.187535756872</v>
      </c>
    </row>
    <row r="3186" spans="30:31" ht="14" thickBot="1" x14ac:dyDescent="0.2">
      <c r="AD3186" s="98">
        <f t="shared" si="251"/>
        <v>48109</v>
      </c>
      <c r="AE3186" s="7">
        <f t="shared" si="252"/>
        <v>25631.987801346859</v>
      </c>
    </row>
    <row r="3187" spans="30:31" ht="14" thickBot="1" x14ac:dyDescent="0.2">
      <c r="AD3187" s="98">
        <f t="shared" si="251"/>
        <v>48110</v>
      </c>
      <c r="AE3187" s="7">
        <f t="shared" si="252"/>
        <v>25644.79446240895</v>
      </c>
    </row>
    <row r="3188" spans="30:31" ht="14" thickBot="1" x14ac:dyDescent="0.2">
      <c r="AD3188" s="98">
        <f t="shared" si="251"/>
        <v>48111</v>
      </c>
      <c r="AE3188" s="7">
        <f t="shared" si="252"/>
        <v>25657.607522138551</v>
      </c>
    </row>
    <row r="3189" spans="30:31" ht="14" thickBot="1" x14ac:dyDescent="0.2">
      <c r="AD3189" s="98">
        <f t="shared" si="251"/>
        <v>48112</v>
      </c>
      <c r="AE3189" s="7">
        <f t="shared" si="252"/>
        <v>25670.426983732665</v>
      </c>
    </row>
    <row r="3190" spans="30:31" ht="14" thickBot="1" x14ac:dyDescent="0.2">
      <c r="AD3190" s="98">
        <f t="shared" si="251"/>
        <v>48113</v>
      </c>
      <c r="AE3190" s="7">
        <f t="shared" si="252"/>
        <v>25683.252850389894</v>
      </c>
    </row>
    <row r="3191" spans="30:31" ht="14" thickBot="1" x14ac:dyDescent="0.2">
      <c r="AD3191" s="98">
        <f t="shared" si="251"/>
        <v>48114</v>
      </c>
      <c r="AE3191" s="7">
        <f t="shared" si="252"/>
        <v>25696.085125310437</v>
      </c>
    </row>
    <row r="3192" spans="30:31" ht="14" thickBot="1" x14ac:dyDescent="0.2">
      <c r="AD3192" s="98">
        <f t="shared" si="251"/>
        <v>48115</v>
      </c>
      <c r="AE3192" s="7">
        <f t="shared" si="252"/>
        <v>25708.923811696095</v>
      </c>
    </row>
    <row r="3193" spans="30:31" ht="14" thickBot="1" x14ac:dyDescent="0.2">
      <c r="AD3193" s="98">
        <f t="shared" si="251"/>
        <v>48116</v>
      </c>
      <c r="AE3193" s="7">
        <f t="shared" si="252"/>
        <v>25721.768912750264</v>
      </c>
    </row>
    <row r="3194" spans="30:31" ht="14" thickBot="1" x14ac:dyDescent="0.2">
      <c r="AD3194" s="98">
        <f t="shared" si="251"/>
        <v>48117</v>
      </c>
      <c r="AE3194" s="7">
        <f t="shared" si="252"/>
        <v>25734.62043167794</v>
      </c>
    </row>
    <row r="3195" spans="30:31" ht="14" thickBot="1" x14ac:dyDescent="0.2">
      <c r="AD3195" s="98">
        <f t="shared" si="251"/>
        <v>48118</v>
      </c>
      <c r="AE3195" s="7">
        <f t="shared" si="252"/>
        <v>25747.478371685727</v>
      </c>
    </row>
    <row r="3196" spans="30:31" ht="14" thickBot="1" x14ac:dyDescent="0.2">
      <c r="AD3196" s="98">
        <f t="shared" si="251"/>
        <v>48119</v>
      </c>
      <c r="AE3196" s="7">
        <f t="shared" si="252"/>
        <v>25760.342735981827</v>
      </c>
    </row>
    <row r="3197" spans="30:31" ht="14" thickBot="1" x14ac:dyDescent="0.2">
      <c r="AD3197" s="98">
        <f t="shared" si="251"/>
        <v>48120</v>
      </c>
      <c r="AE3197" s="7">
        <f t="shared" si="252"/>
        <v>25773.213527776043</v>
      </c>
    </row>
    <row r="3198" spans="30:31" ht="14" thickBot="1" x14ac:dyDescent="0.2">
      <c r="AD3198" s="98">
        <f t="shared" si="251"/>
        <v>48121</v>
      </c>
      <c r="AE3198" s="7">
        <f t="shared" si="252"/>
        <v>25786.090750279785</v>
      </c>
    </row>
    <row r="3199" spans="30:31" ht="14" thickBot="1" x14ac:dyDescent="0.2">
      <c r="AD3199" s="98">
        <f t="shared" si="251"/>
        <v>48122</v>
      </c>
      <c r="AE3199" s="7">
        <f t="shared" si="252"/>
        <v>25798.974406706067</v>
      </c>
    </row>
    <row r="3200" spans="30:31" ht="14" thickBot="1" x14ac:dyDescent="0.2">
      <c r="AD3200" s="98">
        <f t="shared" si="251"/>
        <v>48123</v>
      </c>
      <c r="AE3200" s="7">
        <f t="shared" si="252"/>
        <v>25811.864500269505</v>
      </c>
    </row>
    <row r="3201" spans="30:31" ht="14" thickBot="1" x14ac:dyDescent="0.2">
      <c r="AD3201" s="98">
        <f t="shared" si="251"/>
        <v>48124</v>
      </c>
      <c r="AE3201" s="7">
        <f t="shared" si="252"/>
        <v>25824.761034186326</v>
      </c>
    </row>
    <row r="3202" spans="30:31" ht="14" thickBot="1" x14ac:dyDescent="0.2">
      <c r="AD3202" s="98">
        <f t="shared" si="251"/>
        <v>48125</v>
      </c>
      <c r="AE3202" s="7">
        <f t="shared" si="252"/>
        <v>25837.664011674358</v>
      </c>
    </row>
    <row r="3203" spans="30:31" ht="14" thickBot="1" x14ac:dyDescent="0.2">
      <c r="AD3203" s="98">
        <f t="shared" si="251"/>
        <v>48126</v>
      </c>
      <c r="AE3203" s="7">
        <f t="shared" si="252"/>
        <v>25850.573435953043</v>
      </c>
    </row>
    <row r="3204" spans="30:31" ht="14" thickBot="1" x14ac:dyDescent="0.2">
      <c r="AD3204" s="98">
        <f t="shared" si="251"/>
        <v>48127</v>
      </c>
      <c r="AE3204" s="7">
        <f t="shared" si="252"/>
        <v>25863.489310243433</v>
      </c>
    </row>
    <row r="3205" spans="30:31" ht="14" thickBot="1" x14ac:dyDescent="0.2">
      <c r="AD3205" s="98">
        <f t="shared" si="251"/>
        <v>48128</v>
      </c>
      <c r="AE3205" s="7">
        <f t="shared" si="252"/>
        <v>25876.411637768178</v>
      </c>
    </row>
    <row r="3206" spans="30:31" ht="14" thickBot="1" x14ac:dyDescent="0.2">
      <c r="AD3206" s="98">
        <f t="shared" si="251"/>
        <v>48129</v>
      </c>
      <c r="AE3206" s="7">
        <f t="shared" si="252"/>
        <v>25889.340421751553</v>
      </c>
    </row>
    <row r="3207" spans="30:31" ht="14" thickBot="1" x14ac:dyDescent="0.2">
      <c r="AD3207" s="98">
        <f t="shared" si="251"/>
        <v>48130</v>
      </c>
      <c r="AE3207" s="7">
        <f t="shared" si="252"/>
        <v>25902.275665419431</v>
      </c>
    </row>
    <row r="3208" spans="30:31" ht="14" thickBot="1" x14ac:dyDescent="0.2">
      <c r="AD3208" s="98">
        <f t="shared" si="251"/>
        <v>48131</v>
      </c>
      <c r="AE3208" s="7">
        <f t="shared" si="252"/>
        <v>25915.217371999304</v>
      </c>
    </row>
    <row r="3209" spans="30:31" ht="14" thickBot="1" x14ac:dyDescent="0.2">
      <c r="AD3209" s="98">
        <f t="shared" ref="AD3209:AD3272" si="253">AD3208+1</f>
        <v>48132</v>
      </c>
      <c r="AE3209" s="7">
        <f t="shared" si="252"/>
        <v>25928.165544720272</v>
      </c>
    </row>
    <row r="3210" spans="30:31" ht="14" thickBot="1" x14ac:dyDescent="0.2">
      <c r="AD3210" s="98">
        <f t="shared" si="253"/>
        <v>48133</v>
      </c>
      <c r="AE3210" s="7">
        <f t="shared" si="252"/>
        <v>25941.120186813056</v>
      </c>
    </row>
    <row r="3211" spans="30:31" ht="14" thickBot="1" x14ac:dyDescent="0.2">
      <c r="AD3211" s="98">
        <f t="shared" si="253"/>
        <v>48134</v>
      </c>
      <c r="AE3211" s="7">
        <f t="shared" si="252"/>
        <v>25954.081301509981</v>
      </c>
    </row>
    <row r="3212" spans="30:31" ht="14" thickBot="1" x14ac:dyDescent="0.2">
      <c r="AD3212" s="98">
        <f t="shared" si="253"/>
        <v>48135</v>
      </c>
      <c r="AE3212" s="7">
        <f t="shared" si="252"/>
        <v>25967.048892044997</v>
      </c>
    </row>
    <row r="3213" spans="30:31" ht="14" thickBot="1" x14ac:dyDescent="0.2">
      <c r="AD3213" s="98">
        <f t="shared" si="253"/>
        <v>48136</v>
      </c>
      <c r="AE3213" s="7">
        <f t="shared" si="252"/>
        <v>25980.022961653664</v>
      </c>
    </row>
    <row r="3214" spans="30:31" ht="14" thickBot="1" x14ac:dyDescent="0.2">
      <c r="AD3214" s="98">
        <f t="shared" si="253"/>
        <v>48137</v>
      </c>
      <c r="AE3214" s="7">
        <f t="shared" si="252"/>
        <v>25993.00351357316</v>
      </c>
    </row>
    <row r="3215" spans="30:31" ht="14" thickBot="1" x14ac:dyDescent="0.2">
      <c r="AD3215" s="98">
        <f t="shared" si="253"/>
        <v>48138</v>
      </c>
      <c r="AE3215" s="7">
        <f t="shared" si="252"/>
        <v>26005.99055104228</v>
      </c>
    </row>
    <row r="3216" spans="30:31" ht="14" thickBot="1" x14ac:dyDescent="0.2">
      <c r="AD3216" s="98">
        <f t="shared" si="253"/>
        <v>48139</v>
      </c>
      <c r="AE3216" s="7">
        <f t="shared" si="252"/>
        <v>26018.984077301437</v>
      </c>
    </row>
    <row r="3217" spans="30:31" ht="14" thickBot="1" x14ac:dyDescent="0.2">
      <c r="AD3217" s="98">
        <f t="shared" si="253"/>
        <v>48140</v>
      </c>
      <c r="AE3217" s="7">
        <f t="shared" si="252"/>
        <v>26031.984095592663</v>
      </c>
    </row>
    <row r="3218" spans="30:31" ht="14" thickBot="1" x14ac:dyDescent="0.2">
      <c r="AD3218" s="98">
        <f t="shared" si="253"/>
        <v>48141</v>
      </c>
      <c r="AE3218" s="7">
        <f t="shared" si="252"/>
        <v>26044.990609159609</v>
      </c>
    </row>
    <row r="3219" spans="30:31" ht="14" thickBot="1" x14ac:dyDescent="0.2">
      <c r="AD3219" s="98">
        <f t="shared" si="253"/>
        <v>48142</v>
      </c>
      <c r="AE3219" s="7">
        <f t="shared" si="252"/>
        <v>26058.00362124755</v>
      </c>
    </row>
    <row r="3220" spans="30:31" ht="14" thickBot="1" x14ac:dyDescent="0.2">
      <c r="AD3220" s="98">
        <f t="shared" si="253"/>
        <v>48143</v>
      </c>
      <c r="AE3220" s="7">
        <f t="shared" si="252"/>
        <v>26071.02313510338</v>
      </c>
    </row>
    <row r="3221" spans="30:31" ht="14" thickBot="1" x14ac:dyDescent="0.2">
      <c r="AD3221" s="98">
        <f t="shared" si="253"/>
        <v>48144</v>
      </c>
      <c r="AE3221" s="7">
        <f t="shared" si="252"/>
        <v>26084.049153975615</v>
      </c>
    </row>
    <row r="3222" spans="30:31" ht="14" thickBot="1" x14ac:dyDescent="0.2">
      <c r="AD3222" s="98">
        <f t="shared" si="253"/>
        <v>48145</v>
      </c>
      <c r="AE3222" s="7">
        <f t="shared" si="252"/>
        <v>26097.081681114392</v>
      </c>
    </row>
    <row r="3223" spans="30:31" ht="14" thickBot="1" x14ac:dyDescent="0.2">
      <c r="AD3223" s="98">
        <f t="shared" si="253"/>
        <v>48146</v>
      </c>
      <c r="AE3223" s="7">
        <f t="shared" si="252"/>
        <v>26110.120719771479</v>
      </c>
    </row>
    <row r="3224" spans="30:31" ht="14" thickBot="1" x14ac:dyDescent="0.2">
      <c r="AD3224" s="98">
        <f t="shared" si="253"/>
        <v>48147</v>
      </c>
      <c r="AE3224" s="7">
        <f t="shared" si="252"/>
        <v>26123.166273200262</v>
      </c>
    </row>
    <row r="3225" spans="30:31" ht="14" thickBot="1" x14ac:dyDescent="0.2">
      <c r="AD3225" s="98">
        <f t="shared" si="253"/>
        <v>48148</v>
      </c>
      <c r="AE3225" s="7">
        <f t="shared" si="252"/>
        <v>26136.218344655757</v>
      </c>
    </row>
    <row r="3226" spans="30:31" ht="14" thickBot="1" x14ac:dyDescent="0.2">
      <c r="AD3226" s="98">
        <f t="shared" si="253"/>
        <v>48149</v>
      </c>
      <c r="AE3226" s="7">
        <f t="shared" si="252"/>
        <v>26149.276937394603</v>
      </c>
    </row>
    <row r="3227" spans="30:31" ht="14" thickBot="1" x14ac:dyDescent="0.2">
      <c r="AD3227" s="98">
        <f t="shared" si="253"/>
        <v>48150</v>
      </c>
      <c r="AE3227" s="7">
        <f t="shared" si="252"/>
        <v>26162.342054675064</v>
      </c>
    </row>
    <row r="3228" spans="30:31" ht="14" thickBot="1" x14ac:dyDescent="0.2">
      <c r="AD3228" s="98">
        <f t="shared" si="253"/>
        <v>48151</v>
      </c>
      <c r="AE3228" s="7">
        <f t="shared" ref="AE3228:AE3291" si="254">AE3227*$AI$95</f>
        <v>26175.413699757039</v>
      </c>
    </row>
    <row r="3229" spans="30:31" ht="14" thickBot="1" x14ac:dyDescent="0.2">
      <c r="AD3229" s="98">
        <f t="shared" si="253"/>
        <v>48152</v>
      </c>
      <c r="AE3229" s="7">
        <f t="shared" si="254"/>
        <v>26188.491875902051</v>
      </c>
    </row>
    <row r="3230" spans="30:31" ht="14" thickBot="1" x14ac:dyDescent="0.2">
      <c r="AD3230" s="98">
        <f t="shared" si="253"/>
        <v>48153</v>
      </c>
      <c r="AE3230" s="7">
        <f t="shared" si="254"/>
        <v>26201.576586373252</v>
      </c>
    </row>
    <row r="3231" spans="30:31" ht="14" thickBot="1" x14ac:dyDescent="0.2">
      <c r="AD3231" s="98">
        <f t="shared" si="253"/>
        <v>48154</v>
      </c>
      <c r="AE3231" s="7">
        <f t="shared" si="254"/>
        <v>26214.66783443543</v>
      </c>
    </row>
    <row r="3232" spans="30:31" ht="14" thickBot="1" x14ac:dyDescent="0.2">
      <c r="AD3232" s="98">
        <f t="shared" si="253"/>
        <v>48155</v>
      </c>
      <c r="AE3232" s="7">
        <f t="shared" si="254"/>
        <v>26227.765623354997</v>
      </c>
    </row>
    <row r="3233" spans="30:31" ht="14" thickBot="1" x14ac:dyDescent="0.2">
      <c r="AD3233" s="98">
        <f t="shared" si="253"/>
        <v>48156</v>
      </c>
      <c r="AE3233" s="7">
        <f t="shared" si="254"/>
        <v>26240.869956399998</v>
      </c>
    </row>
    <row r="3234" spans="30:31" ht="14" thickBot="1" x14ac:dyDescent="0.2">
      <c r="AD3234" s="98">
        <f t="shared" si="253"/>
        <v>48157</v>
      </c>
      <c r="AE3234" s="7">
        <f t="shared" si="254"/>
        <v>26253.980836840117</v>
      </c>
    </row>
    <row r="3235" spans="30:31" ht="14" thickBot="1" x14ac:dyDescent="0.2">
      <c r="AD3235" s="98">
        <f t="shared" si="253"/>
        <v>48158</v>
      </c>
      <c r="AE3235" s="7">
        <f t="shared" si="254"/>
        <v>26267.098267946665</v>
      </c>
    </row>
    <row r="3236" spans="30:31" ht="14" thickBot="1" x14ac:dyDescent="0.2">
      <c r="AD3236" s="98">
        <f t="shared" si="253"/>
        <v>48159</v>
      </c>
      <c r="AE3236" s="7">
        <f t="shared" si="254"/>
        <v>26280.222252992593</v>
      </c>
    </row>
    <row r="3237" spans="30:31" ht="14" thickBot="1" x14ac:dyDescent="0.2">
      <c r="AD3237" s="98">
        <f t="shared" si="253"/>
        <v>48160</v>
      </c>
      <c r="AE3237" s="7">
        <f t="shared" si="254"/>
        <v>26293.352795252482</v>
      </c>
    </row>
    <row r="3238" spans="30:31" ht="14" thickBot="1" x14ac:dyDescent="0.2">
      <c r="AD3238" s="98">
        <f t="shared" si="253"/>
        <v>48161</v>
      </c>
      <c r="AE3238" s="7">
        <f t="shared" si="254"/>
        <v>26306.48989800255</v>
      </c>
    </row>
    <row r="3239" spans="30:31" ht="14" thickBot="1" x14ac:dyDescent="0.2">
      <c r="AD3239" s="98">
        <f t="shared" si="253"/>
        <v>48162</v>
      </c>
      <c r="AE3239" s="7">
        <f t="shared" si="254"/>
        <v>26319.633564520656</v>
      </c>
    </row>
    <row r="3240" spans="30:31" ht="14" thickBot="1" x14ac:dyDescent="0.2">
      <c r="AD3240" s="98">
        <f t="shared" si="253"/>
        <v>48163</v>
      </c>
      <c r="AE3240" s="7">
        <f t="shared" si="254"/>
        <v>26332.783798086293</v>
      </c>
    </row>
    <row r="3241" spans="30:31" ht="14" thickBot="1" x14ac:dyDescent="0.2">
      <c r="AD3241" s="98">
        <f t="shared" si="253"/>
        <v>48164</v>
      </c>
      <c r="AE3241" s="7">
        <f t="shared" si="254"/>
        <v>26345.940601980594</v>
      </c>
    </row>
    <row r="3242" spans="30:31" ht="14" thickBot="1" x14ac:dyDescent="0.2">
      <c r="AD3242" s="98">
        <f t="shared" si="253"/>
        <v>48165</v>
      </c>
      <c r="AE3242" s="7">
        <f t="shared" si="254"/>
        <v>26359.103979486332</v>
      </c>
    </row>
    <row r="3243" spans="30:31" ht="14" thickBot="1" x14ac:dyDescent="0.2">
      <c r="AD3243" s="98">
        <f t="shared" si="253"/>
        <v>48166</v>
      </c>
      <c r="AE3243" s="7">
        <f t="shared" si="254"/>
        <v>26372.273933887915</v>
      </c>
    </row>
    <row r="3244" spans="30:31" ht="14" thickBot="1" x14ac:dyDescent="0.2">
      <c r="AD3244" s="98">
        <f t="shared" si="253"/>
        <v>48167</v>
      </c>
      <c r="AE3244" s="7">
        <f t="shared" si="254"/>
        <v>26385.450468471401</v>
      </c>
    </row>
    <row r="3245" spans="30:31" ht="14" thickBot="1" x14ac:dyDescent="0.2">
      <c r="AD3245" s="98">
        <f t="shared" si="253"/>
        <v>48168</v>
      </c>
      <c r="AE3245" s="7">
        <f t="shared" si="254"/>
        <v>26398.633586524484</v>
      </c>
    </row>
    <row r="3246" spans="30:31" ht="14" thickBot="1" x14ac:dyDescent="0.2">
      <c r="AD3246" s="98">
        <f t="shared" si="253"/>
        <v>48169</v>
      </c>
      <c r="AE3246" s="7">
        <f t="shared" si="254"/>
        <v>26411.823291336499</v>
      </c>
    </row>
    <row r="3247" spans="30:31" ht="14" thickBot="1" x14ac:dyDescent="0.2">
      <c r="AD3247" s="98">
        <f t="shared" si="253"/>
        <v>48170</v>
      </c>
      <c r="AE3247" s="7">
        <f t="shared" si="254"/>
        <v>26425.019586198432</v>
      </c>
    </row>
    <row r="3248" spans="30:31" ht="14" thickBot="1" x14ac:dyDescent="0.2">
      <c r="AD3248" s="98">
        <f t="shared" si="253"/>
        <v>48171</v>
      </c>
      <c r="AE3248" s="7">
        <f t="shared" si="254"/>
        <v>26438.222474402904</v>
      </c>
    </row>
    <row r="3249" spans="30:31" ht="14" thickBot="1" x14ac:dyDescent="0.2">
      <c r="AD3249" s="98">
        <f t="shared" si="253"/>
        <v>48172</v>
      </c>
      <c r="AE3249" s="7">
        <f t="shared" si="254"/>
        <v>26451.431959244186</v>
      </c>
    </row>
    <row r="3250" spans="30:31" ht="14" thickBot="1" x14ac:dyDescent="0.2">
      <c r="AD3250" s="98">
        <f t="shared" si="253"/>
        <v>48173</v>
      </c>
      <c r="AE3250" s="7">
        <f t="shared" si="254"/>
        <v>26464.648044018199</v>
      </c>
    </row>
    <row r="3251" spans="30:31" ht="14" thickBot="1" x14ac:dyDescent="0.2">
      <c r="AD3251" s="98">
        <f t="shared" si="253"/>
        <v>48174</v>
      </c>
      <c r="AE3251" s="7">
        <f t="shared" si="254"/>
        <v>26477.8707320225</v>
      </c>
    </row>
    <row r="3252" spans="30:31" ht="14" thickBot="1" x14ac:dyDescent="0.2">
      <c r="AD3252" s="98">
        <f t="shared" si="253"/>
        <v>48175</v>
      </c>
      <c r="AE3252" s="7">
        <f t="shared" si="254"/>
        <v>26491.100026556305</v>
      </c>
    </row>
    <row r="3253" spans="30:31" ht="14" thickBot="1" x14ac:dyDescent="0.2">
      <c r="AD3253" s="98">
        <f t="shared" si="253"/>
        <v>48176</v>
      </c>
      <c r="AE3253" s="7">
        <f t="shared" si="254"/>
        <v>26504.335930920472</v>
      </c>
    </row>
    <row r="3254" spans="30:31" ht="14" thickBot="1" x14ac:dyDescent="0.2">
      <c r="AD3254" s="98">
        <f t="shared" si="253"/>
        <v>48177</v>
      </c>
      <c r="AE3254" s="7">
        <f t="shared" si="254"/>
        <v>26517.578448417506</v>
      </c>
    </row>
    <row r="3255" spans="30:31" ht="14" thickBot="1" x14ac:dyDescent="0.2">
      <c r="AD3255" s="98">
        <f t="shared" si="253"/>
        <v>48178</v>
      </c>
      <c r="AE3255" s="7">
        <f t="shared" si="254"/>
        <v>26530.827582351569</v>
      </c>
    </row>
    <row r="3256" spans="30:31" ht="14" thickBot="1" x14ac:dyDescent="0.2">
      <c r="AD3256" s="98">
        <f t="shared" si="253"/>
        <v>48179</v>
      </c>
      <c r="AE3256" s="7">
        <f t="shared" si="254"/>
        <v>26544.083336028471</v>
      </c>
    </row>
    <row r="3257" spans="30:31" ht="14" thickBot="1" x14ac:dyDescent="0.2">
      <c r="AD3257" s="98">
        <f t="shared" si="253"/>
        <v>48180</v>
      </c>
      <c r="AE3257" s="7">
        <f t="shared" si="254"/>
        <v>26557.345712755669</v>
      </c>
    </row>
    <row r="3258" spans="30:31" ht="14" thickBot="1" x14ac:dyDescent="0.2">
      <c r="AD3258" s="98">
        <f t="shared" si="253"/>
        <v>48181</v>
      </c>
      <c r="AE3258" s="7">
        <f t="shared" si="254"/>
        <v>26570.614715842279</v>
      </c>
    </row>
    <row r="3259" spans="30:31" ht="14" thickBot="1" x14ac:dyDescent="0.2">
      <c r="AD3259" s="98">
        <f t="shared" si="253"/>
        <v>48182</v>
      </c>
      <c r="AE3259" s="7">
        <f t="shared" si="254"/>
        <v>26583.89034859907</v>
      </c>
    </row>
    <row r="3260" spans="30:31" ht="14" thickBot="1" x14ac:dyDescent="0.2">
      <c r="AD3260" s="98">
        <f t="shared" si="253"/>
        <v>48183</v>
      </c>
      <c r="AE3260" s="7">
        <f t="shared" si="254"/>
        <v>26597.172614338462</v>
      </c>
    </row>
    <row r="3261" spans="30:31" ht="14" thickBot="1" x14ac:dyDescent="0.2">
      <c r="AD3261" s="98">
        <f t="shared" si="253"/>
        <v>48184</v>
      </c>
      <c r="AE3261" s="7">
        <f t="shared" si="254"/>
        <v>26610.461516374529</v>
      </c>
    </row>
    <row r="3262" spans="30:31" ht="14" thickBot="1" x14ac:dyDescent="0.2">
      <c r="AD3262" s="98">
        <f t="shared" si="253"/>
        <v>48185</v>
      </c>
      <c r="AE3262" s="7">
        <f t="shared" si="254"/>
        <v>26623.757058023006</v>
      </c>
    </row>
    <row r="3263" spans="30:31" ht="14" thickBot="1" x14ac:dyDescent="0.2">
      <c r="AD3263" s="98">
        <f t="shared" si="253"/>
        <v>48186</v>
      </c>
      <c r="AE3263" s="7">
        <f t="shared" si="254"/>
        <v>26637.059242601281</v>
      </c>
    </row>
    <row r="3264" spans="30:31" ht="14" thickBot="1" x14ac:dyDescent="0.2">
      <c r="AD3264" s="98">
        <f t="shared" si="253"/>
        <v>48187</v>
      </c>
      <c r="AE3264" s="7">
        <f t="shared" si="254"/>
        <v>26650.368073428399</v>
      </c>
    </row>
    <row r="3265" spans="30:31" ht="14" thickBot="1" x14ac:dyDescent="0.2">
      <c r="AD3265" s="98">
        <f t="shared" si="253"/>
        <v>48188</v>
      </c>
      <c r="AE3265" s="7">
        <f t="shared" si="254"/>
        <v>26663.683553825063</v>
      </c>
    </row>
    <row r="3266" spans="30:31" ht="14" thickBot="1" x14ac:dyDescent="0.2">
      <c r="AD3266" s="98">
        <f t="shared" si="253"/>
        <v>48189</v>
      </c>
      <c r="AE3266" s="7">
        <f t="shared" si="254"/>
        <v>26677.00568711364</v>
      </c>
    </row>
    <row r="3267" spans="30:31" ht="14" thickBot="1" x14ac:dyDescent="0.2">
      <c r="AD3267" s="98">
        <f t="shared" si="253"/>
        <v>48190</v>
      </c>
      <c r="AE3267" s="7">
        <f t="shared" si="254"/>
        <v>26690.334476618151</v>
      </c>
    </row>
    <row r="3268" spans="30:31" ht="14" thickBot="1" x14ac:dyDescent="0.2">
      <c r="AD3268" s="98">
        <f t="shared" si="253"/>
        <v>48191</v>
      </c>
      <c r="AE3268" s="7">
        <f t="shared" si="254"/>
        <v>26703.669925664282</v>
      </c>
    </row>
    <row r="3269" spans="30:31" ht="14" thickBot="1" x14ac:dyDescent="0.2">
      <c r="AD3269" s="98">
        <f t="shared" si="253"/>
        <v>48192</v>
      </c>
      <c r="AE3269" s="7">
        <f t="shared" si="254"/>
        <v>26717.012037579378</v>
      </c>
    </row>
    <row r="3270" spans="30:31" ht="14" thickBot="1" x14ac:dyDescent="0.2">
      <c r="AD3270" s="98">
        <f t="shared" si="253"/>
        <v>48193</v>
      </c>
      <c r="AE3270" s="7">
        <f t="shared" si="254"/>
        <v>26730.360815692449</v>
      </c>
    </row>
    <row r="3271" spans="30:31" ht="14" thickBot="1" x14ac:dyDescent="0.2">
      <c r="AD3271" s="98">
        <f t="shared" si="253"/>
        <v>48194</v>
      </c>
      <c r="AE3271" s="7">
        <f t="shared" si="254"/>
        <v>26743.716263334165</v>
      </c>
    </row>
    <row r="3272" spans="30:31" ht="14" thickBot="1" x14ac:dyDescent="0.2">
      <c r="AD3272" s="98">
        <f t="shared" si="253"/>
        <v>48195</v>
      </c>
      <c r="AE3272" s="7">
        <f t="shared" si="254"/>
        <v>26757.078383836862</v>
      </c>
    </row>
    <row r="3273" spans="30:31" ht="14" thickBot="1" x14ac:dyDescent="0.2">
      <c r="AD3273" s="98">
        <f t="shared" ref="AD3273:AD3336" si="255">AD3272+1</f>
        <v>48196</v>
      </c>
      <c r="AE3273" s="7">
        <f t="shared" si="254"/>
        <v>26770.447180534542</v>
      </c>
    </row>
    <row r="3274" spans="30:31" ht="14" thickBot="1" x14ac:dyDescent="0.2">
      <c r="AD3274" s="98">
        <f t="shared" si="255"/>
        <v>48197</v>
      </c>
      <c r="AE3274" s="7">
        <f t="shared" si="254"/>
        <v>26783.82265676287</v>
      </c>
    </row>
    <row r="3275" spans="30:31" ht="14" thickBot="1" x14ac:dyDescent="0.2">
      <c r="AD3275" s="98">
        <f t="shared" si="255"/>
        <v>48198</v>
      </c>
      <c r="AE3275" s="7">
        <f t="shared" si="254"/>
        <v>26797.204815859182</v>
      </c>
    </row>
    <row r="3276" spans="30:31" ht="14" thickBot="1" x14ac:dyDescent="0.2">
      <c r="AD3276" s="98">
        <f t="shared" si="255"/>
        <v>48199</v>
      </c>
      <c r="AE3276" s="7">
        <f t="shared" si="254"/>
        <v>26810.593661162475</v>
      </c>
    </row>
    <row r="3277" spans="30:31" ht="14" thickBot="1" x14ac:dyDescent="0.2">
      <c r="AD3277" s="98">
        <f t="shared" si="255"/>
        <v>48200</v>
      </c>
      <c r="AE3277" s="7">
        <f t="shared" si="254"/>
        <v>26823.989196013419</v>
      </c>
    </row>
    <row r="3278" spans="30:31" ht="14" thickBot="1" x14ac:dyDescent="0.2">
      <c r="AD3278" s="98">
        <f t="shared" si="255"/>
        <v>48201</v>
      </c>
      <c r="AE3278" s="7">
        <f t="shared" si="254"/>
        <v>26837.391423754354</v>
      </c>
    </row>
    <row r="3279" spans="30:31" ht="14" thickBot="1" x14ac:dyDescent="0.2">
      <c r="AD3279" s="98">
        <f t="shared" si="255"/>
        <v>48202</v>
      </c>
      <c r="AE3279" s="7">
        <f t="shared" si="254"/>
        <v>26850.800347729288</v>
      </c>
    </row>
    <row r="3280" spans="30:31" ht="14" thickBot="1" x14ac:dyDescent="0.2">
      <c r="AD3280" s="98">
        <f t="shared" si="255"/>
        <v>48203</v>
      </c>
      <c r="AE3280" s="7">
        <f t="shared" si="254"/>
        <v>26864.215971283898</v>
      </c>
    </row>
    <row r="3281" spans="30:31" ht="14" thickBot="1" x14ac:dyDescent="0.2">
      <c r="AD3281" s="98">
        <f t="shared" si="255"/>
        <v>48204</v>
      </c>
      <c r="AE3281" s="7">
        <f t="shared" si="254"/>
        <v>26877.638297765538</v>
      </c>
    </row>
    <row r="3282" spans="30:31" ht="14" thickBot="1" x14ac:dyDescent="0.2">
      <c r="AD3282" s="98">
        <f t="shared" si="255"/>
        <v>48205</v>
      </c>
      <c r="AE3282" s="7">
        <f t="shared" si="254"/>
        <v>26891.067330523227</v>
      </c>
    </row>
    <row r="3283" spans="30:31" ht="14" thickBot="1" x14ac:dyDescent="0.2">
      <c r="AD3283" s="98">
        <f t="shared" si="255"/>
        <v>48206</v>
      </c>
      <c r="AE3283" s="7">
        <f t="shared" si="254"/>
        <v>26904.503072907661</v>
      </c>
    </row>
    <row r="3284" spans="30:31" ht="14" thickBot="1" x14ac:dyDescent="0.2">
      <c r="AD3284" s="98">
        <f t="shared" si="255"/>
        <v>48207</v>
      </c>
      <c r="AE3284" s="7">
        <f t="shared" si="254"/>
        <v>26917.945528271212</v>
      </c>
    </row>
    <row r="3285" spans="30:31" ht="14" thickBot="1" x14ac:dyDescent="0.2">
      <c r="AD3285" s="98">
        <f t="shared" si="255"/>
        <v>48208</v>
      </c>
      <c r="AE3285" s="7">
        <f t="shared" si="254"/>
        <v>26931.394699967925</v>
      </c>
    </row>
    <row r="3286" spans="30:31" ht="14" thickBot="1" x14ac:dyDescent="0.2">
      <c r="AD3286" s="98">
        <f t="shared" si="255"/>
        <v>48209</v>
      </c>
      <c r="AE3286" s="7">
        <f t="shared" si="254"/>
        <v>26944.850591353523</v>
      </c>
    </row>
    <row r="3287" spans="30:31" ht="14" thickBot="1" x14ac:dyDescent="0.2">
      <c r="AD3287" s="98">
        <f t="shared" si="255"/>
        <v>48210</v>
      </c>
      <c r="AE3287" s="7">
        <f t="shared" si="254"/>
        <v>26958.313205785402</v>
      </c>
    </row>
    <row r="3288" spans="30:31" ht="14" thickBot="1" x14ac:dyDescent="0.2">
      <c r="AD3288" s="98">
        <f t="shared" si="255"/>
        <v>48211</v>
      </c>
      <c r="AE3288" s="7">
        <f t="shared" si="254"/>
        <v>26971.782546622639</v>
      </c>
    </row>
    <row r="3289" spans="30:31" ht="14" thickBot="1" x14ac:dyDescent="0.2">
      <c r="AD3289" s="98">
        <f t="shared" si="255"/>
        <v>48212</v>
      </c>
      <c r="AE3289" s="7">
        <f t="shared" si="254"/>
        <v>26985.258617225983</v>
      </c>
    </row>
    <row r="3290" spans="30:31" ht="14" thickBot="1" x14ac:dyDescent="0.2">
      <c r="AD3290" s="98">
        <f t="shared" si="255"/>
        <v>48213</v>
      </c>
      <c r="AE3290" s="7">
        <f t="shared" si="254"/>
        <v>26998.741420957871</v>
      </c>
    </row>
    <row r="3291" spans="30:31" ht="14" thickBot="1" x14ac:dyDescent="0.2">
      <c r="AD3291" s="98">
        <f t="shared" si="255"/>
        <v>48214</v>
      </c>
      <c r="AE3291" s="7">
        <f t="shared" si="254"/>
        <v>27012.230961182413</v>
      </c>
    </row>
    <row r="3292" spans="30:31" ht="14" thickBot="1" x14ac:dyDescent="0.2">
      <c r="AD3292" s="98">
        <f t="shared" si="255"/>
        <v>48215</v>
      </c>
      <c r="AE3292" s="7">
        <f t="shared" ref="AE3292:AE3355" si="256">AE3291*$AI$95</f>
        <v>27025.727241265406</v>
      </c>
    </row>
    <row r="3293" spans="30:31" ht="14" thickBot="1" x14ac:dyDescent="0.2">
      <c r="AD3293" s="98">
        <f t="shared" si="255"/>
        <v>48216</v>
      </c>
      <c r="AE3293" s="7">
        <f t="shared" si="256"/>
        <v>27039.230264574322</v>
      </c>
    </row>
    <row r="3294" spans="30:31" ht="14" thickBot="1" x14ac:dyDescent="0.2">
      <c r="AD3294" s="98">
        <f t="shared" si="255"/>
        <v>48217</v>
      </c>
      <c r="AE3294" s="7">
        <f t="shared" si="256"/>
        <v>27052.74003447832</v>
      </c>
    </row>
    <row r="3295" spans="30:31" ht="14" thickBot="1" x14ac:dyDescent="0.2">
      <c r="AD3295" s="98">
        <f t="shared" si="255"/>
        <v>48218</v>
      </c>
      <c r="AE3295" s="7">
        <f t="shared" si="256"/>
        <v>27066.256554348238</v>
      </c>
    </row>
    <row r="3296" spans="30:31" ht="14" thickBot="1" x14ac:dyDescent="0.2">
      <c r="AD3296" s="98">
        <f t="shared" si="255"/>
        <v>48219</v>
      </c>
      <c r="AE3296" s="7">
        <f t="shared" si="256"/>
        <v>27079.779827556606</v>
      </c>
    </row>
    <row r="3297" spans="30:31" ht="14" thickBot="1" x14ac:dyDescent="0.2">
      <c r="AD3297" s="98">
        <f t="shared" si="255"/>
        <v>48220</v>
      </c>
      <c r="AE3297" s="7">
        <f t="shared" si="256"/>
        <v>27093.30985747763</v>
      </c>
    </row>
    <row r="3298" spans="30:31" ht="14" thickBot="1" x14ac:dyDescent="0.2">
      <c r="AD3298" s="98">
        <f t="shared" si="255"/>
        <v>48221</v>
      </c>
      <c r="AE3298" s="7">
        <f t="shared" si="256"/>
        <v>27106.846647487211</v>
      </c>
    </row>
    <row r="3299" spans="30:31" ht="14" thickBot="1" x14ac:dyDescent="0.2">
      <c r="AD3299" s="98">
        <f t="shared" si="255"/>
        <v>48222</v>
      </c>
      <c r="AE3299" s="7">
        <f t="shared" si="256"/>
        <v>27120.390200962927</v>
      </c>
    </row>
    <row r="3300" spans="30:31" ht="14" thickBot="1" x14ac:dyDescent="0.2">
      <c r="AD3300" s="98">
        <f t="shared" si="255"/>
        <v>48223</v>
      </c>
      <c r="AE3300" s="7">
        <f t="shared" si="256"/>
        <v>27133.94052128405</v>
      </c>
    </row>
    <row r="3301" spans="30:31" ht="14" thickBot="1" x14ac:dyDescent="0.2">
      <c r="AD3301" s="98">
        <f t="shared" si="255"/>
        <v>48224</v>
      </c>
      <c r="AE3301" s="7">
        <f t="shared" si="256"/>
        <v>27147.497611831543</v>
      </c>
    </row>
    <row r="3302" spans="30:31" ht="14" thickBot="1" x14ac:dyDescent="0.2">
      <c r="AD3302" s="98">
        <f t="shared" si="255"/>
        <v>48225</v>
      </c>
      <c r="AE3302" s="7">
        <f t="shared" si="256"/>
        <v>27161.061475988048</v>
      </c>
    </row>
    <row r="3303" spans="30:31" ht="14" thickBot="1" x14ac:dyDescent="0.2">
      <c r="AD3303" s="98">
        <f t="shared" si="255"/>
        <v>48226</v>
      </c>
      <c r="AE3303" s="7">
        <f t="shared" si="256"/>
        <v>27174.632117137906</v>
      </c>
    </row>
    <row r="3304" spans="30:31" ht="14" thickBot="1" x14ac:dyDescent="0.2">
      <c r="AD3304" s="98">
        <f t="shared" si="255"/>
        <v>48227</v>
      </c>
      <c r="AE3304" s="7">
        <f t="shared" si="256"/>
        <v>27188.209538667146</v>
      </c>
    </row>
    <row r="3305" spans="30:31" ht="14" thickBot="1" x14ac:dyDescent="0.2">
      <c r="AD3305" s="98">
        <f t="shared" si="255"/>
        <v>48228</v>
      </c>
      <c r="AE3305" s="7">
        <f t="shared" si="256"/>
        <v>27201.793743963488</v>
      </c>
    </row>
    <row r="3306" spans="30:31" ht="14" thickBot="1" x14ac:dyDescent="0.2">
      <c r="AD3306" s="98">
        <f t="shared" si="255"/>
        <v>48229</v>
      </c>
      <c r="AE3306" s="7">
        <f t="shared" si="256"/>
        <v>27215.384736416345</v>
      </c>
    </row>
    <row r="3307" spans="30:31" ht="14" thickBot="1" x14ac:dyDescent="0.2">
      <c r="AD3307" s="98">
        <f t="shared" si="255"/>
        <v>48230</v>
      </c>
      <c r="AE3307" s="7">
        <f t="shared" si="256"/>
        <v>27228.982519416826</v>
      </c>
    </row>
    <row r="3308" spans="30:31" ht="14" thickBot="1" x14ac:dyDescent="0.2">
      <c r="AD3308" s="98">
        <f t="shared" si="255"/>
        <v>48231</v>
      </c>
      <c r="AE3308" s="7">
        <f t="shared" si="256"/>
        <v>27242.587096357733</v>
      </c>
    </row>
    <row r="3309" spans="30:31" ht="14" thickBot="1" x14ac:dyDescent="0.2">
      <c r="AD3309" s="98">
        <f t="shared" si="255"/>
        <v>48232</v>
      </c>
      <c r="AE3309" s="7">
        <f t="shared" si="256"/>
        <v>27256.198470633561</v>
      </c>
    </row>
    <row r="3310" spans="30:31" ht="14" thickBot="1" x14ac:dyDescent="0.2">
      <c r="AD3310" s="98">
        <f t="shared" si="255"/>
        <v>48233</v>
      </c>
      <c r="AE3310" s="7">
        <f t="shared" si="256"/>
        <v>27269.816645640502</v>
      </c>
    </row>
    <row r="3311" spans="30:31" ht="14" thickBot="1" x14ac:dyDescent="0.2">
      <c r="AD3311" s="98">
        <f t="shared" si="255"/>
        <v>48234</v>
      </c>
      <c r="AE3311" s="7">
        <f t="shared" si="256"/>
        <v>27283.441624776446</v>
      </c>
    </row>
    <row r="3312" spans="30:31" ht="14" thickBot="1" x14ac:dyDescent="0.2">
      <c r="AD3312" s="98">
        <f t="shared" si="255"/>
        <v>48235</v>
      </c>
      <c r="AE3312" s="7">
        <f t="shared" si="256"/>
        <v>27297.073411440979</v>
      </c>
    </row>
    <row r="3313" spans="30:31" ht="14" thickBot="1" x14ac:dyDescent="0.2">
      <c r="AD3313" s="98">
        <f t="shared" si="255"/>
        <v>48236</v>
      </c>
      <c r="AE3313" s="7">
        <f t="shared" si="256"/>
        <v>27310.712009035386</v>
      </c>
    </row>
    <row r="3314" spans="30:31" ht="14" thickBot="1" x14ac:dyDescent="0.2">
      <c r="AD3314" s="98">
        <f t="shared" si="255"/>
        <v>48237</v>
      </c>
      <c r="AE3314" s="7">
        <f t="shared" si="256"/>
        <v>27324.357420962653</v>
      </c>
    </row>
    <row r="3315" spans="30:31" ht="14" thickBot="1" x14ac:dyDescent="0.2">
      <c r="AD3315" s="98">
        <f t="shared" si="255"/>
        <v>48238</v>
      </c>
      <c r="AE3315" s="7">
        <f t="shared" si="256"/>
        <v>27338.009650627468</v>
      </c>
    </row>
    <row r="3316" spans="30:31" ht="14" thickBot="1" x14ac:dyDescent="0.2">
      <c r="AD3316" s="98">
        <f t="shared" si="255"/>
        <v>48239</v>
      </c>
      <c r="AE3316" s="7">
        <f t="shared" si="256"/>
        <v>27351.668701436214</v>
      </c>
    </row>
    <row r="3317" spans="30:31" ht="14" thickBot="1" x14ac:dyDescent="0.2">
      <c r="AD3317" s="98">
        <f t="shared" si="255"/>
        <v>48240</v>
      </c>
      <c r="AE3317" s="7">
        <f t="shared" si="256"/>
        <v>27365.33457679698</v>
      </c>
    </row>
    <row r="3318" spans="30:31" ht="14" thickBot="1" x14ac:dyDescent="0.2">
      <c r="AD3318" s="98">
        <f t="shared" si="255"/>
        <v>48241</v>
      </c>
      <c r="AE3318" s="7">
        <f t="shared" si="256"/>
        <v>27379.00728011956</v>
      </c>
    </row>
    <row r="3319" spans="30:31" ht="14" thickBot="1" x14ac:dyDescent="0.2">
      <c r="AD3319" s="98">
        <f t="shared" si="255"/>
        <v>48242</v>
      </c>
      <c r="AE3319" s="7">
        <f t="shared" si="256"/>
        <v>27392.686814815446</v>
      </c>
    </row>
    <row r="3320" spans="30:31" ht="14" thickBot="1" x14ac:dyDescent="0.2">
      <c r="AD3320" s="98">
        <f t="shared" si="255"/>
        <v>48243</v>
      </c>
      <c r="AE3320" s="7">
        <f t="shared" si="256"/>
        <v>27406.373184297838</v>
      </c>
    </row>
    <row r="3321" spans="30:31" ht="14" thickBot="1" x14ac:dyDescent="0.2">
      <c r="AD3321" s="98">
        <f t="shared" si="255"/>
        <v>48244</v>
      </c>
      <c r="AE3321" s="7">
        <f t="shared" si="256"/>
        <v>27420.06639198164</v>
      </c>
    </row>
    <row r="3322" spans="30:31" ht="14" thickBot="1" x14ac:dyDescent="0.2">
      <c r="AD3322" s="98">
        <f t="shared" si="255"/>
        <v>48245</v>
      </c>
      <c r="AE3322" s="7">
        <f t="shared" si="256"/>
        <v>27433.76644128346</v>
      </c>
    </row>
    <row r="3323" spans="30:31" ht="14" thickBot="1" x14ac:dyDescent="0.2">
      <c r="AD3323" s="98">
        <f t="shared" si="255"/>
        <v>48246</v>
      </c>
      <c r="AE3323" s="7">
        <f t="shared" si="256"/>
        <v>27447.47333562162</v>
      </c>
    </row>
    <row r="3324" spans="30:31" ht="14" thickBot="1" x14ac:dyDescent="0.2">
      <c r="AD3324" s="98">
        <f t="shared" si="255"/>
        <v>48247</v>
      </c>
      <c r="AE3324" s="7">
        <f t="shared" si="256"/>
        <v>27461.187078416147</v>
      </c>
    </row>
    <row r="3325" spans="30:31" ht="14" thickBot="1" x14ac:dyDescent="0.2">
      <c r="AD3325" s="98">
        <f t="shared" si="255"/>
        <v>48248</v>
      </c>
      <c r="AE3325" s="7">
        <f t="shared" si="256"/>
        <v>27474.907673088772</v>
      </c>
    </row>
    <row r="3326" spans="30:31" ht="14" thickBot="1" x14ac:dyDescent="0.2">
      <c r="AD3326" s="98">
        <f t="shared" si="255"/>
        <v>48249</v>
      </c>
      <c r="AE3326" s="7">
        <f t="shared" si="256"/>
        <v>27488.635123062941</v>
      </c>
    </row>
    <row r="3327" spans="30:31" ht="14" thickBot="1" x14ac:dyDescent="0.2">
      <c r="AD3327" s="98">
        <f t="shared" si="255"/>
        <v>48250</v>
      </c>
      <c r="AE3327" s="7">
        <f t="shared" si="256"/>
        <v>27502.369431763807</v>
      </c>
    </row>
    <row r="3328" spans="30:31" ht="14" thickBot="1" x14ac:dyDescent="0.2">
      <c r="AD3328" s="98">
        <f t="shared" si="255"/>
        <v>48251</v>
      </c>
      <c r="AE3328" s="7">
        <f t="shared" si="256"/>
        <v>27516.110602618239</v>
      </c>
    </row>
    <row r="3329" spans="30:31" ht="14" thickBot="1" x14ac:dyDescent="0.2">
      <c r="AD3329" s="98">
        <f t="shared" si="255"/>
        <v>48252</v>
      </c>
      <c r="AE3329" s="7">
        <f t="shared" si="256"/>
        <v>27529.858639054812</v>
      </c>
    </row>
    <row r="3330" spans="30:31" ht="14" thickBot="1" x14ac:dyDescent="0.2">
      <c r="AD3330" s="98">
        <f t="shared" si="255"/>
        <v>48253</v>
      </c>
      <c r="AE3330" s="7">
        <f t="shared" si="256"/>
        <v>27543.61354450382</v>
      </c>
    </row>
    <row r="3331" spans="30:31" ht="14" thickBot="1" x14ac:dyDescent="0.2">
      <c r="AD3331" s="98">
        <f t="shared" si="255"/>
        <v>48254</v>
      </c>
      <c r="AE3331" s="7">
        <f t="shared" si="256"/>
        <v>27557.375322397267</v>
      </c>
    </row>
    <row r="3332" spans="30:31" ht="14" thickBot="1" x14ac:dyDescent="0.2">
      <c r="AD3332" s="98">
        <f t="shared" si="255"/>
        <v>48255</v>
      </c>
      <c r="AE3332" s="7">
        <f t="shared" si="256"/>
        <v>27571.143976168874</v>
      </c>
    </row>
    <row r="3333" spans="30:31" ht="14" thickBot="1" x14ac:dyDescent="0.2">
      <c r="AD3333" s="98">
        <f t="shared" si="255"/>
        <v>48256</v>
      </c>
      <c r="AE3333" s="7">
        <f t="shared" si="256"/>
        <v>27584.919509254076</v>
      </c>
    </row>
    <row r="3334" spans="30:31" ht="14" thickBot="1" x14ac:dyDescent="0.2">
      <c r="AD3334" s="98">
        <f t="shared" si="255"/>
        <v>48257</v>
      </c>
      <c r="AE3334" s="7">
        <f t="shared" si="256"/>
        <v>27598.701925090023</v>
      </c>
    </row>
    <row r="3335" spans="30:31" ht="14" thickBot="1" x14ac:dyDescent="0.2">
      <c r="AD3335" s="98">
        <f t="shared" si="255"/>
        <v>48258</v>
      </c>
      <c r="AE3335" s="7">
        <f t="shared" si="256"/>
        <v>27612.491227115584</v>
      </c>
    </row>
    <row r="3336" spans="30:31" ht="14" thickBot="1" x14ac:dyDescent="0.2">
      <c r="AD3336" s="98">
        <f t="shared" si="255"/>
        <v>48259</v>
      </c>
      <c r="AE3336" s="7">
        <f t="shared" si="256"/>
        <v>27626.28741877135</v>
      </c>
    </row>
    <row r="3337" spans="30:31" ht="14" thickBot="1" x14ac:dyDescent="0.2">
      <c r="AD3337" s="98">
        <f t="shared" ref="AD3337:AD3400" si="257">AD3336+1</f>
        <v>48260</v>
      </c>
      <c r="AE3337" s="7">
        <f t="shared" si="256"/>
        <v>27640.090503499625</v>
      </c>
    </row>
    <row r="3338" spans="30:31" ht="14" thickBot="1" x14ac:dyDescent="0.2">
      <c r="AD3338" s="98">
        <f t="shared" si="257"/>
        <v>48261</v>
      </c>
      <c r="AE3338" s="7">
        <f t="shared" si="256"/>
        <v>27653.900484744438</v>
      </c>
    </row>
    <row r="3339" spans="30:31" ht="14" thickBot="1" x14ac:dyDescent="0.2">
      <c r="AD3339" s="98">
        <f t="shared" si="257"/>
        <v>48262</v>
      </c>
      <c r="AE3339" s="7">
        <f t="shared" si="256"/>
        <v>27667.717365951532</v>
      </c>
    </row>
    <row r="3340" spans="30:31" ht="14" thickBot="1" x14ac:dyDescent="0.2">
      <c r="AD3340" s="98">
        <f t="shared" si="257"/>
        <v>48263</v>
      </c>
      <c r="AE3340" s="7">
        <f t="shared" si="256"/>
        <v>27681.541150568381</v>
      </c>
    </row>
    <row r="3341" spans="30:31" ht="14" thickBot="1" x14ac:dyDescent="0.2">
      <c r="AD3341" s="98">
        <f t="shared" si="257"/>
        <v>48264</v>
      </c>
      <c r="AE3341" s="7">
        <f t="shared" si="256"/>
        <v>27695.371842044173</v>
      </c>
    </row>
    <row r="3342" spans="30:31" ht="14" thickBot="1" x14ac:dyDescent="0.2">
      <c r="AD3342" s="98">
        <f t="shared" si="257"/>
        <v>48265</v>
      </c>
      <c r="AE3342" s="7">
        <f t="shared" si="256"/>
        <v>27709.209443829823</v>
      </c>
    </row>
    <row r="3343" spans="30:31" ht="14" thickBot="1" x14ac:dyDescent="0.2">
      <c r="AD3343" s="98">
        <f t="shared" si="257"/>
        <v>48266</v>
      </c>
      <c r="AE3343" s="7">
        <f t="shared" si="256"/>
        <v>27723.053959377969</v>
      </c>
    </row>
    <row r="3344" spans="30:31" ht="14" thickBot="1" x14ac:dyDescent="0.2">
      <c r="AD3344" s="98">
        <f t="shared" si="257"/>
        <v>48267</v>
      </c>
      <c r="AE3344" s="7">
        <f t="shared" si="256"/>
        <v>27736.905392142977</v>
      </c>
    </row>
    <row r="3345" spans="30:31" ht="14" thickBot="1" x14ac:dyDescent="0.2">
      <c r="AD3345" s="98">
        <f t="shared" si="257"/>
        <v>48268</v>
      </c>
      <c r="AE3345" s="7">
        <f t="shared" si="256"/>
        <v>27750.763745580934</v>
      </c>
    </row>
    <row r="3346" spans="30:31" ht="14" thickBot="1" x14ac:dyDescent="0.2">
      <c r="AD3346" s="98">
        <f t="shared" si="257"/>
        <v>48269</v>
      </c>
      <c r="AE3346" s="7">
        <f t="shared" si="256"/>
        <v>27764.62902314966</v>
      </c>
    </row>
    <row r="3347" spans="30:31" ht="14" thickBot="1" x14ac:dyDescent="0.2">
      <c r="AD3347" s="98">
        <f t="shared" si="257"/>
        <v>48270</v>
      </c>
      <c r="AE3347" s="7">
        <f t="shared" si="256"/>
        <v>27778.501228308698</v>
      </c>
    </row>
    <row r="3348" spans="30:31" ht="14" thickBot="1" x14ac:dyDescent="0.2">
      <c r="AD3348" s="98">
        <f t="shared" si="257"/>
        <v>48271</v>
      </c>
      <c r="AE3348" s="7">
        <f t="shared" si="256"/>
        <v>27792.380364519318</v>
      </c>
    </row>
    <row r="3349" spans="30:31" ht="14" thickBot="1" x14ac:dyDescent="0.2">
      <c r="AD3349" s="98">
        <f t="shared" si="257"/>
        <v>48272</v>
      </c>
      <c r="AE3349" s="7">
        <f t="shared" si="256"/>
        <v>27806.266435244524</v>
      </c>
    </row>
    <row r="3350" spans="30:31" ht="14" thickBot="1" x14ac:dyDescent="0.2">
      <c r="AD3350" s="98">
        <f t="shared" si="257"/>
        <v>48273</v>
      </c>
      <c r="AE3350" s="7">
        <f t="shared" si="256"/>
        <v>27820.159443949051</v>
      </c>
    </row>
    <row r="3351" spans="30:31" ht="14" thickBot="1" x14ac:dyDescent="0.2">
      <c r="AD3351" s="98">
        <f t="shared" si="257"/>
        <v>48274</v>
      </c>
      <c r="AE3351" s="7">
        <f t="shared" si="256"/>
        <v>27834.059394099357</v>
      </c>
    </row>
    <row r="3352" spans="30:31" ht="14" thickBot="1" x14ac:dyDescent="0.2">
      <c r="AD3352" s="98">
        <f t="shared" si="257"/>
        <v>48275</v>
      </c>
      <c r="AE3352" s="7">
        <f t="shared" si="256"/>
        <v>27847.96628916364</v>
      </c>
    </row>
    <row r="3353" spans="30:31" ht="14" thickBot="1" x14ac:dyDescent="0.2">
      <c r="AD3353" s="98">
        <f t="shared" si="257"/>
        <v>48276</v>
      </c>
      <c r="AE3353" s="7">
        <f t="shared" si="256"/>
        <v>27861.88013261183</v>
      </c>
    </row>
    <row r="3354" spans="30:31" ht="14" thickBot="1" x14ac:dyDescent="0.2">
      <c r="AD3354" s="98">
        <f t="shared" si="257"/>
        <v>48277</v>
      </c>
      <c r="AE3354" s="7">
        <f t="shared" si="256"/>
        <v>27875.800927915589</v>
      </c>
    </row>
    <row r="3355" spans="30:31" ht="14" thickBot="1" x14ac:dyDescent="0.2">
      <c r="AD3355" s="98">
        <f t="shared" si="257"/>
        <v>48278</v>
      </c>
      <c r="AE3355" s="7">
        <f t="shared" si="256"/>
        <v>27889.728678548312</v>
      </c>
    </row>
    <row r="3356" spans="30:31" ht="14" thickBot="1" x14ac:dyDescent="0.2">
      <c r="AD3356" s="98">
        <f t="shared" si="257"/>
        <v>48279</v>
      </c>
      <c r="AE3356" s="7">
        <f t="shared" ref="AE3356:AE3419" si="258">AE3355*$AI$95</f>
        <v>27903.663387985132</v>
      </c>
    </row>
    <row r="3357" spans="30:31" ht="14" thickBot="1" x14ac:dyDescent="0.2">
      <c r="AD3357" s="98">
        <f t="shared" si="257"/>
        <v>48280</v>
      </c>
      <c r="AE3357" s="7">
        <f t="shared" si="258"/>
        <v>27917.605059702917</v>
      </c>
    </row>
    <row r="3358" spans="30:31" ht="14" thickBot="1" x14ac:dyDescent="0.2">
      <c r="AD3358" s="98">
        <f t="shared" si="257"/>
        <v>48281</v>
      </c>
      <c r="AE3358" s="7">
        <f t="shared" si="258"/>
        <v>27931.553697180272</v>
      </c>
    </row>
    <row r="3359" spans="30:31" ht="14" thickBot="1" x14ac:dyDescent="0.2">
      <c r="AD3359" s="98">
        <f t="shared" si="257"/>
        <v>48282</v>
      </c>
      <c r="AE3359" s="7">
        <f t="shared" si="258"/>
        <v>27945.509303897539</v>
      </c>
    </row>
    <row r="3360" spans="30:31" ht="14" thickBot="1" x14ac:dyDescent="0.2">
      <c r="AD3360" s="98">
        <f t="shared" si="257"/>
        <v>48283</v>
      </c>
      <c r="AE3360" s="7">
        <f t="shared" si="258"/>
        <v>27959.471883336802</v>
      </c>
    </row>
    <row r="3361" spans="30:31" ht="14" thickBot="1" x14ac:dyDescent="0.2">
      <c r="AD3361" s="98">
        <f t="shared" si="257"/>
        <v>48284</v>
      </c>
      <c r="AE3361" s="7">
        <f t="shared" si="258"/>
        <v>27973.441438981885</v>
      </c>
    </row>
    <row r="3362" spans="30:31" ht="14" thickBot="1" x14ac:dyDescent="0.2">
      <c r="AD3362" s="98">
        <f t="shared" si="257"/>
        <v>48285</v>
      </c>
      <c r="AE3362" s="7">
        <f t="shared" si="258"/>
        <v>27987.417974318349</v>
      </c>
    </row>
    <row r="3363" spans="30:31" ht="14" thickBot="1" x14ac:dyDescent="0.2">
      <c r="AD3363" s="98">
        <f t="shared" si="257"/>
        <v>48286</v>
      </c>
      <c r="AE3363" s="7">
        <f t="shared" si="258"/>
        <v>28001.401492833498</v>
      </c>
    </row>
    <row r="3364" spans="30:31" ht="14" thickBot="1" x14ac:dyDescent="0.2">
      <c r="AD3364" s="98">
        <f t="shared" si="257"/>
        <v>48287</v>
      </c>
      <c r="AE3364" s="7">
        <f t="shared" si="258"/>
        <v>28015.391998016377</v>
      </c>
    </row>
    <row r="3365" spans="30:31" ht="14" thickBot="1" x14ac:dyDescent="0.2">
      <c r="AD3365" s="98">
        <f t="shared" si="257"/>
        <v>48288</v>
      </c>
      <c r="AE3365" s="7">
        <f t="shared" si="258"/>
        <v>28029.389493357779</v>
      </c>
    </row>
    <row r="3366" spans="30:31" ht="14" thickBot="1" x14ac:dyDescent="0.2">
      <c r="AD3366" s="98">
        <f t="shared" si="257"/>
        <v>48289</v>
      </c>
      <c r="AE3366" s="7">
        <f t="shared" si="258"/>
        <v>28043.393982350237</v>
      </c>
    </row>
    <row r="3367" spans="30:31" ht="14" thickBot="1" x14ac:dyDescent="0.2">
      <c r="AD3367" s="98">
        <f t="shared" si="257"/>
        <v>48290</v>
      </c>
      <c r="AE3367" s="7">
        <f t="shared" si="258"/>
        <v>28057.405468488028</v>
      </c>
    </row>
    <row r="3368" spans="30:31" ht="14" thickBot="1" x14ac:dyDescent="0.2">
      <c r="AD3368" s="98">
        <f t="shared" si="257"/>
        <v>48291</v>
      </c>
      <c r="AE3368" s="7">
        <f t="shared" si="258"/>
        <v>28071.423955267182</v>
      </c>
    </row>
    <row r="3369" spans="30:31" ht="14" thickBot="1" x14ac:dyDescent="0.2">
      <c r="AD3369" s="98">
        <f t="shared" si="257"/>
        <v>48292</v>
      </c>
      <c r="AE3369" s="7">
        <f t="shared" si="258"/>
        <v>28085.449446185467</v>
      </c>
    </row>
    <row r="3370" spans="30:31" ht="14" thickBot="1" x14ac:dyDescent="0.2">
      <c r="AD3370" s="98">
        <f t="shared" si="257"/>
        <v>48293</v>
      </c>
      <c r="AE3370" s="7">
        <f t="shared" si="258"/>
        <v>28099.481944742402</v>
      </c>
    </row>
    <row r="3371" spans="30:31" ht="14" thickBot="1" x14ac:dyDescent="0.2">
      <c r="AD3371" s="98">
        <f t="shared" si="257"/>
        <v>48294</v>
      </c>
      <c r="AE3371" s="7">
        <f t="shared" si="258"/>
        <v>28113.521454439255</v>
      </c>
    </row>
    <row r="3372" spans="30:31" ht="14" thickBot="1" x14ac:dyDescent="0.2">
      <c r="AD3372" s="98">
        <f t="shared" si="257"/>
        <v>48295</v>
      </c>
      <c r="AE3372" s="7">
        <f t="shared" si="258"/>
        <v>28127.567978779047</v>
      </c>
    </row>
    <row r="3373" spans="30:31" ht="14" thickBot="1" x14ac:dyDescent="0.2">
      <c r="AD3373" s="98">
        <f t="shared" si="257"/>
        <v>48296</v>
      </c>
      <c r="AE3373" s="7">
        <f t="shared" si="258"/>
        <v>28141.621521266541</v>
      </c>
    </row>
    <row r="3374" spans="30:31" ht="14" thickBot="1" x14ac:dyDescent="0.2">
      <c r="AD3374" s="98">
        <f t="shared" si="257"/>
        <v>48297</v>
      </c>
      <c r="AE3374" s="7">
        <f t="shared" si="258"/>
        <v>28155.682085408258</v>
      </c>
    </row>
    <row r="3375" spans="30:31" ht="14" thickBot="1" x14ac:dyDescent="0.2">
      <c r="AD3375" s="98">
        <f t="shared" si="257"/>
        <v>48298</v>
      </c>
      <c r="AE3375" s="7">
        <f t="shared" si="258"/>
        <v>28169.749674712468</v>
      </c>
    </row>
    <row r="3376" spans="30:31" ht="14" thickBot="1" x14ac:dyDescent="0.2">
      <c r="AD3376" s="98">
        <f t="shared" si="257"/>
        <v>48299</v>
      </c>
      <c r="AE3376" s="7">
        <f t="shared" si="258"/>
        <v>28183.824292689191</v>
      </c>
    </row>
    <row r="3377" spans="30:31" ht="14" thickBot="1" x14ac:dyDescent="0.2">
      <c r="AD3377" s="98">
        <f t="shared" si="257"/>
        <v>48300</v>
      </c>
      <c r="AE3377" s="7">
        <f t="shared" si="258"/>
        <v>28197.905942850208</v>
      </c>
    </row>
    <row r="3378" spans="30:31" ht="14" thickBot="1" x14ac:dyDescent="0.2">
      <c r="AD3378" s="98">
        <f t="shared" si="257"/>
        <v>48301</v>
      </c>
      <c r="AE3378" s="7">
        <f t="shared" si="258"/>
        <v>28211.99462870905</v>
      </c>
    </row>
    <row r="3379" spans="30:31" ht="14" thickBot="1" x14ac:dyDescent="0.2">
      <c r="AD3379" s="98">
        <f t="shared" si="257"/>
        <v>48302</v>
      </c>
      <c r="AE3379" s="7">
        <f t="shared" si="258"/>
        <v>28226.090353781001</v>
      </c>
    </row>
    <row r="3380" spans="30:31" ht="14" thickBot="1" x14ac:dyDescent="0.2">
      <c r="AD3380" s="98">
        <f t="shared" si="257"/>
        <v>48303</v>
      </c>
      <c r="AE3380" s="7">
        <f t="shared" si="258"/>
        <v>28240.19312158311</v>
      </c>
    </row>
    <row r="3381" spans="30:31" ht="14" thickBot="1" x14ac:dyDescent="0.2">
      <c r="AD3381" s="98">
        <f t="shared" si="257"/>
        <v>48304</v>
      </c>
      <c r="AE3381" s="7">
        <f t="shared" si="258"/>
        <v>28254.302935634172</v>
      </c>
    </row>
    <row r="3382" spans="30:31" ht="14" thickBot="1" x14ac:dyDescent="0.2">
      <c r="AD3382" s="98">
        <f t="shared" si="257"/>
        <v>48305</v>
      </c>
      <c r="AE3382" s="7">
        <f t="shared" si="258"/>
        <v>28268.41979945475</v>
      </c>
    </row>
    <row r="3383" spans="30:31" ht="14" thickBot="1" x14ac:dyDescent="0.2">
      <c r="AD3383" s="98">
        <f t="shared" si="257"/>
        <v>48306</v>
      </c>
      <c r="AE3383" s="7">
        <f t="shared" si="258"/>
        <v>28282.543716567161</v>
      </c>
    </row>
    <row r="3384" spans="30:31" ht="14" thickBot="1" x14ac:dyDescent="0.2">
      <c r="AD3384" s="98">
        <f t="shared" si="257"/>
        <v>48307</v>
      </c>
      <c r="AE3384" s="7">
        <f t="shared" si="258"/>
        <v>28296.674690495482</v>
      </c>
    </row>
    <row r="3385" spans="30:31" ht="14" thickBot="1" x14ac:dyDescent="0.2">
      <c r="AD3385" s="98">
        <f t="shared" si="257"/>
        <v>48308</v>
      </c>
      <c r="AE3385" s="7">
        <f t="shared" si="258"/>
        <v>28310.81272476555</v>
      </c>
    </row>
    <row r="3386" spans="30:31" ht="14" thickBot="1" x14ac:dyDescent="0.2">
      <c r="AD3386" s="98">
        <f t="shared" si="257"/>
        <v>48309</v>
      </c>
      <c r="AE3386" s="7">
        <f t="shared" si="258"/>
        <v>28324.957822904969</v>
      </c>
    </row>
    <row r="3387" spans="30:31" ht="14" thickBot="1" x14ac:dyDescent="0.2">
      <c r="AD3387" s="98">
        <f t="shared" si="257"/>
        <v>48310</v>
      </c>
      <c r="AE3387" s="7">
        <f t="shared" si="258"/>
        <v>28339.109988443099</v>
      </c>
    </row>
    <row r="3388" spans="30:31" ht="14" thickBot="1" x14ac:dyDescent="0.2">
      <c r="AD3388" s="98">
        <f t="shared" si="257"/>
        <v>48311</v>
      </c>
      <c r="AE3388" s="7">
        <f t="shared" si="258"/>
        <v>28353.269224911066</v>
      </c>
    </row>
    <row r="3389" spans="30:31" ht="14" thickBot="1" x14ac:dyDescent="0.2">
      <c r="AD3389" s="98">
        <f t="shared" si="257"/>
        <v>48312</v>
      </c>
      <c r="AE3389" s="7">
        <f t="shared" si="258"/>
        <v>28367.43553584176</v>
      </c>
    </row>
    <row r="3390" spans="30:31" ht="14" thickBot="1" x14ac:dyDescent="0.2">
      <c r="AD3390" s="98">
        <f t="shared" si="257"/>
        <v>48313</v>
      </c>
      <c r="AE3390" s="7">
        <f t="shared" si="258"/>
        <v>28381.60892476984</v>
      </c>
    </row>
    <row r="3391" spans="30:31" ht="14" thickBot="1" x14ac:dyDescent="0.2">
      <c r="AD3391" s="98">
        <f t="shared" si="257"/>
        <v>48314</v>
      </c>
      <c r="AE3391" s="7">
        <f t="shared" si="258"/>
        <v>28395.789395231724</v>
      </c>
    </row>
    <row r="3392" spans="30:31" ht="14" thickBot="1" x14ac:dyDescent="0.2">
      <c r="AD3392" s="98">
        <f t="shared" si="257"/>
        <v>48315</v>
      </c>
      <c r="AE3392" s="7">
        <f t="shared" si="258"/>
        <v>28409.976950765602</v>
      </c>
    </row>
    <row r="3393" spans="30:31" ht="14" thickBot="1" x14ac:dyDescent="0.2">
      <c r="AD3393" s="98">
        <f t="shared" si="257"/>
        <v>48316</v>
      </c>
      <c r="AE3393" s="7">
        <f t="shared" si="258"/>
        <v>28424.17159491143</v>
      </c>
    </row>
    <row r="3394" spans="30:31" ht="14" thickBot="1" x14ac:dyDescent="0.2">
      <c r="AD3394" s="98">
        <f t="shared" si="257"/>
        <v>48317</v>
      </c>
      <c r="AE3394" s="7">
        <f t="shared" si="258"/>
        <v>28438.373331210933</v>
      </c>
    </row>
    <row r="3395" spans="30:31" ht="14" thickBot="1" x14ac:dyDescent="0.2">
      <c r="AD3395" s="98">
        <f t="shared" si="257"/>
        <v>48318</v>
      </c>
      <c r="AE3395" s="7">
        <f t="shared" si="258"/>
        <v>28452.582163207604</v>
      </c>
    </row>
    <row r="3396" spans="30:31" ht="14" thickBot="1" x14ac:dyDescent="0.2">
      <c r="AD3396" s="98">
        <f t="shared" si="257"/>
        <v>48319</v>
      </c>
      <c r="AE3396" s="7">
        <f t="shared" si="258"/>
        <v>28466.798094446709</v>
      </c>
    </row>
    <row r="3397" spans="30:31" ht="14" thickBot="1" x14ac:dyDescent="0.2">
      <c r="AD3397" s="98">
        <f t="shared" si="257"/>
        <v>48320</v>
      </c>
      <c r="AE3397" s="7">
        <f t="shared" si="258"/>
        <v>28481.021128475284</v>
      </c>
    </row>
    <row r="3398" spans="30:31" ht="14" thickBot="1" x14ac:dyDescent="0.2">
      <c r="AD3398" s="98">
        <f t="shared" si="257"/>
        <v>48321</v>
      </c>
      <c r="AE3398" s="7">
        <f t="shared" si="258"/>
        <v>28495.251268842138</v>
      </c>
    </row>
    <row r="3399" spans="30:31" ht="14" thickBot="1" x14ac:dyDescent="0.2">
      <c r="AD3399" s="98">
        <f t="shared" si="257"/>
        <v>48322</v>
      </c>
      <c r="AE3399" s="7">
        <f t="shared" si="258"/>
        <v>28509.488519097853</v>
      </c>
    </row>
    <row r="3400" spans="30:31" ht="14" thickBot="1" x14ac:dyDescent="0.2">
      <c r="AD3400" s="98">
        <f t="shared" si="257"/>
        <v>48323</v>
      </c>
      <c r="AE3400" s="7">
        <f t="shared" si="258"/>
        <v>28523.732882794782</v>
      </c>
    </row>
    <row r="3401" spans="30:31" ht="14" thickBot="1" x14ac:dyDescent="0.2">
      <c r="AD3401" s="98">
        <f t="shared" ref="AD3401:AD3464" si="259">AD3400+1</f>
        <v>48324</v>
      </c>
      <c r="AE3401" s="7">
        <f t="shared" si="258"/>
        <v>28537.984363487059</v>
      </c>
    </row>
    <row r="3402" spans="30:31" ht="14" thickBot="1" x14ac:dyDescent="0.2">
      <c r="AD3402" s="98">
        <f t="shared" si="259"/>
        <v>48325</v>
      </c>
      <c r="AE3402" s="7">
        <f t="shared" si="258"/>
        <v>28552.242964730591</v>
      </c>
    </row>
    <row r="3403" spans="30:31" ht="14" thickBot="1" x14ac:dyDescent="0.2">
      <c r="AD3403" s="98">
        <f t="shared" si="259"/>
        <v>48326</v>
      </c>
      <c r="AE3403" s="7">
        <f t="shared" si="258"/>
        <v>28566.508690083057</v>
      </c>
    </row>
    <row r="3404" spans="30:31" ht="14" thickBot="1" x14ac:dyDescent="0.2">
      <c r="AD3404" s="98">
        <f t="shared" si="259"/>
        <v>48327</v>
      </c>
      <c r="AE3404" s="7">
        <f t="shared" si="258"/>
        <v>28580.78154310392</v>
      </c>
    </row>
    <row r="3405" spans="30:31" ht="14" thickBot="1" x14ac:dyDescent="0.2">
      <c r="AD3405" s="98">
        <f t="shared" si="259"/>
        <v>48328</v>
      </c>
      <c r="AE3405" s="7">
        <f t="shared" si="258"/>
        <v>28595.061527354417</v>
      </c>
    </row>
    <row r="3406" spans="30:31" ht="14" thickBot="1" x14ac:dyDescent="0.2">
      <c r="AD3406" s="98">
        <f t="shared" si="259"/>
        <v>48329</v>
      </c>
      <c r="AE3406" s="7">
        <f t="shared" si="258"/>
        <v>28609.348646397571</v>
      </c>
    </row>
    <row r="3407" spans="30:31" ht="14" thickBot="1" x14ac:dyDescent="0.2">
      <c r="AD3407" s="98">
        <f t="shared" si="259"/>
        <v>48330</v>
      </c>
      <c r="AE3407" s="7">
        <f t="shared" si="258"/>
        <v>28623.642903798176</v>
      </c>
    </row>
    <row r="3408" spans="30:31" ht="14" thickBot="1" x14ac:dyDescent="0.2">
      <c r="AD3408" s="98">
        <f t="shared" si="259"/>
        <v>48331</v>
      </c>
      <c r="AE3408" s="7">
        <f t="shared" si="258"/>
        <v>28637.944303122815</v>
      </c>
    </row>
    <row r="3409" spans="30:31" ht="14" thickBot="1" x14ac:dyDescent="0.2">
      <c r="AD3409" s="98">
        <f t="shared" si="259"/>
        <v>48332</v>
      </c>
      <c r="AE3409" s="7">
        <f t="shared" si="258"/>
        <v>28652.252847939846</v>
      </c>
    </row>
    <row r="3410" spans="30:31" ht="14" thickBot="1" x14ac:dyDescent="0.2">
      <c r="AD3410" s="98">
        <f t="shared" si="259"/>
        <v>48333</v>
      </c>
      <c r="AE3410" s="7">
        <f t="shared" si="258"/>
        <v>28666.568541819415</v>
      </c>
    </row>
    <row r="3411" spans="30:31" ht="14" thickBot="1" x14ac:dyDescent="0.2">
      <c r="AD3411" s="98">
        <f t="shared" si="259"/>
        <v>48334</v>
      </c>
      <c r="AE3411" s="7">
        <f t="shared" si="258"/>
        <v>28680.89138833345</v>
      </c>
    </row>
    <row r="3412" spans="30:31" ht="14" thickBot="1" x14ac:dyDescent="0.2">
      <c r="AD3412" s="98">
        <f t="shared" si="259"/>
        <v>48335</v>
      </c>
      <c r="AE3412" s="7">
        <f t="shared" si="258"/>
        <v>28695.221391055664</v>
      </c>
    </row>
    <row r="3413" spans="30:31" ht="14" thickBot="1" x14ac:dyDescent="0.2">
      <c r="AD3413" s="98">
        <f t="shared" si="259"/>
        <v>48336</v>
      </c>
      <c r="AE3413" s="7">
        <f t="shared" si="258"/>
        <v>28709.558553561554</v>
      </c>
    </row>
    <row r="3414" spans="30:31" ht="14" thickBot="1" x14ac:dyDescent="0.2">
      <c r="AD3414" s="98">
        <f t="shared" si="259"/>
        <v>48337</v>
      </c>
      <c r="AE3414" s="7">
        <f t="shared" si="258"/>
        <v>28723.902879428406</v>
      </c>
    </row>
    <row r="3415" spans="30:31" ht="14" thickBot="1" x14ac:dyDescent="0.2">
      <c r="AD3415" s="98">
        <f t="shared" si="259"/>
        <v>48338</v>
      </c>
      <c r="AE3415" s="7">
        <f t="shared" si="258"/>
        <v>28738.254372235293</v>
      </c>
    </row>
    <row r="3416" spans="30:31" ht="14" thickBot="1" x14ac:dyDescent="0.2">
      <c r="AD3416" s="98">
        <f t="shared" si="259"/>
        <v>48339</v>
      </c>
      <c r="AE3416" s="7">
        <f t="shared" si="258"/>
        <v>28752.613035563078</v>
      </c>
    </row>
    <row r="3417" spans="30:31" ht="14" thickBot="1" x14ac:dyDescent="0.2">
      <c r="AD3417" s="98">
        <f t="shared" si="259"/>
        <v>48340</v>
      </c>
      <c r="AE3417" s="7">
        <f t="shared" si="258"/>
        <v>28766.978872994405</v>
      </c>
    </row>
    <row r="3418" spans="30:31" ht="14" thickBot="1" x14ac:dyDescent="0.2">
      <c r="AD3418" s="98">
        <f t="shared" si="259"/>
        <v>48341</v>
      </c>
      <c r="AE3418" s="7">
        <f t="shared" si="258"/>
        <v>28781.351888113717</v>
      </c>
    </row>
    <row r="3419" spans="30:31" ht="14" thickBot="1" x14ac:dyDescent="0.2">
      <c r="AD3419" s="98">
        <f t="shared" si="259"/>
        <v>48342</v>
      </c>
      <c r="AE3419" s="7">
        <f t="shared" si="258"/>
        <v>28795.732084507243</v>
      </c>
    </row>
    <row r="3420" spans="30:31" ht="14" thickBot="1" x14ac:dyDescent="0.2">
      <c r="AD3420" s="98">
        <f t="shared" si="259"/>
        <v>48343</v>
      </c>
      <c r="AE3420" s="7">
        <f t="shared" ref="AE3420:AE3450" si="260">AE3419*$AI$95</f>
        <v>28810.119465763008</v>
      </c>
    </row>
    <row r="3421" spans="30:31" ht="14" thickBot="1" x14ac:dyDescent="0.2">
      <c r="AD3421" s="98">
        <f t="shared" si="259"/>
        <v>48344</v>
      </c>
      <c r="AE3421" s="7">
        <f t="shared" si="260"/>
        <v>28824.514035470824</v>
      </c>
    </row>
    <row r="3422" spans="30:31" ht="14" thickBot="1" x14ac:dyDescent="0.2">
      <c r="AD3422" s="98">
        <f t="shared" si="259"/>
        <v>48345</v>
      </c>
      <c r="AE3422" s="7">
        <f t="shared" si="260"/>
        <v>28838.9157972223</v>
      </c>
    </row>
    <row r="3423" spans="30:31" ht="14" thickBot="1" x14ac:dyDescent="0.2">
      <c r="AD3423" s="98">
        <f t="shared" si="259"/>
        <v>48346</v>
      </c>
      <c r="AE3423" s="7">
        <f t="shared" si="260"/>
        <v>28853.324754610843</v>
      </c>
    </row>
    <row r="3424" spans="30:31" ht="14" thickBot="1" x14ac:dyDescent="0.2">
      <c r="AD3424" s="98">
        <f t="shared" si="259"/>
        <v>48347</v>
      </c>
      <c r="AE3424" s="7">
        <f t="shared" si="260"/>
        <v>28867.740911231649</v>
      </c>
    </row>
    <row r="3425" spans="30:31" ht="14" thickBot="1" x14ac:dyDescent="0.2">
      <c r="AD3425" s="98">
        <f t="shared" si="259"/>
        <v>48348</v>
      </c>
      <c r="AE3425" s="7">
        <f t="shared" si="260"/>
        <v>28882.164270681711</v>
      </c>
    </row>
    <row r="3426" spans="30:31" ht="14" thickBot="1" x14ac:dyDescent="0.2">
      <c r="AD3426" s="98">
        <f t="shared" si="259"/>
        <v>48349</v>
      </c>
      <c r="AE3426" s="7">
        <f t="shared" si="260"/>
        <v>28896.594836559823</v>
      </c>
    </row>
    <row r="3427" spans="30:31" ht="14" thickBot="1" x14ac:dyDescent="0.2">
      <c r="AD3427" s="98">
        <f t="shared" si="259"/>
        <v>48350</v>
      </c>
      <c r="AE3427" s="7">
        <f t="shared" si="260"/>
        <v>28911.032612466573</v>
      </c>
    </row>
    <row r="3428" spans="30:31" ht="14" thickBot="1" x14ac:dyDescent="0.2">
      <c r="AD3428" s="98">
        <f t="shared" si="259"/>
        <v>48351</v>
      </c>
      <c r="AE3428" s="7">
        <f t="shared" si="260"/>
        <v>28925.477602004354</v>
      </c>
    </row>
    <row r="3429" spans="30:31" ht="14" thickBot="1" x14ac:dyDescent="0.2">
      <c r="AD3429" s="98">
        <f t="shared" si="259"/>
        <v>48352</v>
      </c>
      <c r="AE3429" s="7">
        <f t="shared" si="260"/>
        <v>28939.92980877735</v>
      </c>
    </row>
    <row r="3430" spans="30:31" ht="14" thickBot="1" x14ac:dyDescent="0.2">
      <c r="AD3430" s="98">
        <f t="shared" si="259"/>
        <v>48353</v>
      </c>
      <c r="AE3430" s="7">
        <f t="shared" si="260"/>
        <v>28954.389236391555</v>
      </c>
    </row>
    <row r="3431" spans="30:31" ht="14" thickBot="1" x14ac:dyDescent="0.2">
      <c r="AD3431" s="98">
        <f t="shared" si="259"/>
        <v>48354</v>
      </c>
      <c r="AE3431" s="7">
        <f t="shared" si="260"/>
        <v>28968.855888454756</v>
      </c>
    </row>
    <row r="3432" spans="30:31" ht="14" thickBot="1" x14ac:dyDescent="0.2">
      <c r="AD3432" s="98">
        <f t="shared" si="259"/>
        <v>48355</v>
      </c>
      <c r="AE3432" s="7">
        <f t="shared" si="260"/>
        <v>28983.32976857655</v>
      </c>
    </row>
    <row r="3433" spans="30:31" ht="14" thickBot="1" x14ac:dyDescent="0.2">
      <c r="AD3433" s="98">
        <f t="shared" si="259"/>
        <v>48356</v>
      </c>
      <c r="AE3433" s="7">
        <f t="shared" si="260"/>
        <v>28997.810880368335</v>
      </c>
    </row>
    <row r="3434" spans="30:31" ht="14" thickBot="1" x14ac:dyDescent="0.2">
      <c r="AD3434" s="98">
        <f t="shared" si="259"/>
        <v>48357</v>
      </c>
      <c r="AE3434" s="7">
        <f t="shared" si="260"/>
        <v>29012.299227443313</v>
      </c>
    </row>
    <row r="3435" spans="30:31" ht="14" thickBot="1" x14ac:dyDescent="0.2">
      <c r="AD3435" s="98">
        <f t="shared" si="259"/>
        <v>48358</v>
      </c>
      <c r="AE3435" s="7">
        <f t="shared" si="260"/>
        <v>29026.794813416491</v>
      </c>
    </row>
    <row r="3436" spans="30:31" ht="14" thickBot="1" x14ac:dyDescent="0.2">
      <c r="AD3436" s="98">
        <f t="shared" si="259"/>
        <v>48359</v>
      </c>
      <c r="AE3436" s="7">
        <f t="shared" si="260"/>
        <v>29041.297641904679</v>
      </c>
    </row>
    <row r="3437" spans="30:31" ht="14" thickBot="1" x14ac:dyDescent="0.2">
      <c r="AD3437" s="98">
        <f t="shared" si="259"/>
        <v>48360</v>
      </c>
      <c r="AE3437" s="7">
        <f t="shared" si="260"/>
        <v>29055.807716526502</v>
      </c>
    </row>
    <row r="3438" spans="30:31" ht="14" thickBot="1" x14ac:dyDescent="0.2">
      <c r="AD3438" s="98">
        <f t="shared" si="259"/>
        <v>48361</v>
      </c>
      <c r="AE3438" s="7">
        <f t="shared" si="260"/>
        <v>29070.325040902386</v>
      </c>
    </row>
    <row r="3439" spans="30:31" ht="14" thickBot="1" x14ac:dyDescent="0.2">
      <c r="AD3439" s="98">
        <f t="shared" si="259"/>
        <v>48362</v>
      </c>
      <c r="AE3439" s="7">
        <f t="shared" si="260"/>
        <v>29084.849618654567</v>
      </c>
    </row>
    <row r="3440" spans="30:31" ht="14" thickBot="1" x14ac:dyDescent="0.2">
      <c r="AD3440" s="98">
        <f t="shared" si="259"/>
        <v>48363</v>
      </c>
      <c r="AE3440" s="7">
        <f t="shared" si="260"/>
        <v>29099.381453407095</v>
      </c>
    </row>
    <row r="3441" spans="30:31" ht="14" thickBot="1" x14ac:dyDescent="0.2">
      <c r="AD3441" s="98">
        <f t="shared" si="259"/>
        <v>48364</v>
      </c>
      <c r="AE3441" s="7">
        <f t="shared" si="260"/>
        <v>29113.920548785827</v>
      </c>
    </row>
    <row r="3442" spans="30:31" ht="14" thickBot="1" x14ac:dyDescent="0.2">
      <c r="AD3442" s="98">
        <f t="shared" si="259"/>
        <v>48365</v>
      </c>
      <c r="AE3442" s="7">
        <f t="shared" si="260"/>
        <v>29128.466908418432</v>
      </c>
    </row>
    <row r="3443" spans="30:31" ht="14" thickBot="1" x14ac:dyDescent="0.2">
      <c r="AD3443" s="98">
        <f t="shared" si="259"/>
        <v>48366</v>
      </c>
      <c r="AE3443" s="7">
        <f t="shared" si="260"/>
        <v>29143.020535934393</v>
      </c>
    </row>
    <row r="3444" spans="30:31" ht="14" thickBot="1" x14ac:dyDescent="0.2">
      <c r="AD3444" s="98">
        <f t="shared" si="259"/>
        <v>48367</v>
      </c>
      <c r="AE3444" s="7">
        <f t="shared" si="260"/>
        <v>29157.581434965003</v>
      </c>
    </row>
    <row r="3445" spans="30:31" ht="14" thickBot="1" x14ac:dyDescent="0.2">
      <c r="AD3445" s="98">
        <f t="shared" si="259"/>
        <v>48368</v>
      </c>
      <c r="AE3445" s="7">
        <f t="shared" si="260"/>
        <v>29172.149609143376</v>
      </c>
    </row>
    <row r="3446" spans="30:31" ht="14" thickBot="1" x14ac:dyDescent="0.2">
      <c r="AD3446" s="98">
        <f t="shared" si="259"/>
        <v>48369</v>
      </c>
      <c r="AE3446" s="7">
        <f t="shared" si="260"/>
        <v>29186.725062104433</v>
      </c>
    </row>
    <row r="3447" spans="30:31" ht="14" thickBot="1" x14ac:dyDescent="0.2">
      <c r="AD3447" s="98">
        <f t="shared" si="259"/>
        <v>48370</v>
      </c>
      <c r="AE3447" s="7">
        <f t="shared" si="260"/>
        <v>29201.307797484918</v>
      </c>
    </row>
    <row r="3448" spans="30:31" ht="14" thickBot="1" x14ac:dyDescent="0.2">
      <c r="AD3448" s="98">
        <f t="shared" si="259"/>
        <v>48371</v>
      </c>
      <c r="AE3448" s="7">
        <f t="shared" si="260"/>
        <v>29215.897818923386</v>
      </c>
    </row>
    <row r="3449" spans="30:31" ht="14" thickBot="1" x14ac:dyDescent="0.2">
      <c r="AD3449" s="98">
        <f t="shared" si="259"/>
        <v>48372</v>
      </c>
      <c r="AE3449" s="7">
        <f t="shared" si="260"/>
        <v>29230.495130060215</v>
      </c>
    </row>
    <row r="3450" spans="30:31" ht="14" thickBot="1" x14ac:dyDescent="0.2">
      <c r="AD3450" s="98">
        <f t="shared" si="259"/>
        <v>48373</v>
      </c>
      <c r="AE3450" s="7">
        <f t="shared" si="260"/>
        <v>29245.099734537598</v>
      </c>
    </row>
    <row r="3451" spans="30:31" ht="14" thickBot="1" x14ac:dyDescent="0.2">
      <c r="AD3451" s="98">
        <f t="shared" si="259"/>
        <v>48374</v>
      </c>
    </row>
    <row r="3452" spans="30:31" ht="14" thickBot="1" x14ac:dyDescent="0.2">
      <c r="AD3452" s="98">
        <f t="shared" si="259"/>
        <v>48375</v>
      </c>
    </row>
    <row r="3453" spans="30:31" ht="14" thickBot="1" x14ac:dyDescent="0.2">
      <c r="AD3453" s="98">
        <f t="shared" si="259"/>
        <v>48376</v>
      </c>
    </row>
    <row r="3454" spans="30:31" ht="14" thickBot="1" x14ac:dyDescent="0.2">
      <c r="AD3454" s="98">
        <f t="shared" si="259"/>
        <v>48377</v>
      </c>
    </row>
    <row r="3455" spans="30:31" ht="14" thickBot="1" x14ac:dyDescent="0.2">
      <c r="AD3455" s="98">
        <f t="shared" si="259"/>
        <v>48378</v>
      </c>
    </row>
    <row r="3456" spans="30:31" ht="14" thickBot="1" x14ac:dyDescent="0.2">
      <c r="AD3456" s="98">
        <f t="shared" si="259"/>
        <v>48379</v>
      </c>
    </row>
    <row r="3457" spans="30:30" ht="14" thickBot="1" x14ac:dyDescent="0.2">
      <c r="AD3457" s="98">
        <f t="shared" si="259"/>
        <v>48380</v>
      </c>
    </row>
    <row r="3458" spans="30:30" ht="14" thickBot="1" x14ac:dyDescent="0.2">
      <c r="AD3458" s="98">
        <f t="shared" si="259"/>
        <v>48381</v>
      </c>
    </row>
    <row r="3459" spans="30:30" ht="14" thickBot="1" x14ac:dyDescent="0.2">
      <c r="AD3459" s="98">
        <f t="shared" si="259"/>
        <v>48382</v>
      </c>
    </row>
    <row r="3460" spans="30:30" ht="14" thickBot="1" x14ac:dyDescent="0.2">
      <c r="AD3460" s="98">
        <f t="shared" si="259"/>
        <v>48383</v>
      </c>
    </row>
    <row r="3461" spans="30:30" ht="14" thickBot="1" x14ac:dyDescent="0.2">
      <c r="AD3461" s="98">
        <f t="shared" si="259"/>
        <v>48384</v>
      </c>
    </row>
    <row r="3462" spans="30:30" ht="14" thickBot="1" x14ac:dyDescent="0.2">
      <c r="AD3462" s="98">
        <f t="shared" si="259"/>
        <v>48385</v>
      </c>
    </row>
    <row r="3463" spans="30:30" ht="14" thickBot="1" x14ac:dyDescent="0.2">
      <c r="AD3463" s="98">
        <f t="shared" si="259"/>
        <v>48386</v>
      </c>
    </row>
    <row r="3464" spans="30:30" ht="14" thickBot="1" x14ac:dyDescent="0.2">
      <c r="AD3464" s="98">
        <f t="shared" si="259"/>
        <v>48387</v>
      </c>
    </row>
    <row r="3465" spans="30:30" ht="14" thickBot="1" x14ac:dyDescent="0.2">
      <c r="AD3465" s="98">
        <f t="shared" ref="AD3465:AD3528" si="261">AD3464+1</f>
        <v>48388</v>
      </c>
    </row>
    <row r="3466" spans="30:30" ht="14" thickBot="1" x14ac:dyDescent="0.2">
      <c r="AD3466" s="98">
        <f t="shared" si="261"/>
        <v>48389</v>
      </c>
    </row>
    <row r="3467" spans="30:30" ht="14" thickBot="1" x14ac:dyDescent="0.2">
      <c r="AD3467" s="98">
        <f t="shared" si="261"/>
        <v>48390</v>
      </c>
    </row>
    <row r="3468" spans="30:30" ht="14" thickBot="1" x14ac:dyDescent="0.2">
      <c r="AD3468" s="98">
        <f t="shared" si="261"/>
        <v>48391</v>
      </c>
    </row>
    <row r="3469" spans="30:30" ht="14" thickBot="1" x14ac:dyDescent="0.2">
      <c r="AD3469" s="98">
        <f t="shared" si="261"/>
        <v>48392</v>
      </c>
    </row>
    <row r="3470" spans="30:30" ht="14" thickBot="1" x14ac:dyDescent="0.2">
      <c r="AD3470" s="98">
        <f t="shared" si="261"/>
        <v>48393</v>
      </c>
    </row>
    <row r="3471" spans="30:30" ht="14" thickBot="1" x14ac:dyDescent="0.2">
      <c r="AD3471" s="98">
        <f t="shared" si="261"/>
        <v>48394</v>
      </c>
    </row>
    <row r="3472" spans="30:30" ht="14" thickBot="1" x14ac:dyDescent="0.2">
      <c r="AD3472" s="98">
        <f t="shared" si="261"/>
        <v>48395</v>
      </c>
    </row>
    <row r="3473" spans="30:30" ht="14" thickBot="1" x14ac:dyDescent="0.2">
      <c r="AD3473" s="98">
        <f t="shared" si="261"/>
        <v>48396</v>
      </c>
    </row>
    <row r="3474" spans="30:30" ht="14" thickBot="1" x14ac:dyDescent="0.2">
      <c r="AD3474" s="98">
        <f t="shared" si="261"/>
        <v>48397</v>
      </c>
    </row>
    <row r="3475" spans="30:30" ht="14" thickBot="1" x14ac:dyDescent="0.2">
      <c r="AD3475" s="98">
        <f t="shared" si="261"/>
        <v>48398</v>
      </c>
    </row>
    <row r="3476" spans="30:30" ht="14" thickBot="1" x14ac:dyDescent="0.2">
      <c r="AD3476" s="98">
        <f t="shared" si="261"/>
        <v>48399</v>
      </c>
    </row>
    <row r="3477" spans="30:30" ht="14" thickBot="1" x14ac:dyDescent="0.2">
      <c r="AD3477" s="98">
        <f t="shared" si="261"/>
        <v>48400</v>
      </c>
    </row>
    <row r="3478" spans="30:30" ht="14" thickBot="1" x14ac:dyDescent="0.2">
      <c r="AD3478" s="98">
        <f t="shared" si="261"/>
        <v>48401</v>
      </c>
    </row>
    <row r="3479" spans="30:30" ht="14" thickBot="1" x14ac:dyDescent="0.2">
      <c r="AD3479" s="98">
        <f t="shared" si="261"/>
        <v>48402</v>
      </c>
    </row>
    <row r="3480" spans="30:30" ht="14" thickBot="1" x14ac:dyDescent="0.2">
      <c r="AD3480" s="98">
        <f t="shared" si="261"/>
        <v>48403</v>
      </c>
    </row>
    <row r="3481" spans="30:30" ht="14" thickBot="1" x14ac:dyDescent="0.2">
      <c r="AD3481" s="98">
        <f t="shared" si="261"/>
        <v>48404</v>
      </c>
    </row>
    <row r="3482" spans="30:30" ht="14" thickBot="1" x14ac:dyDescent="0.2">
      <c r="AD3482" s="98">
        <f t="shared" si="261"/>
        <v>48405</v>
      </c>
    </row>
    <row r="3483" spans="30:30" ht="14" thickBot="1" x14ac:dyDescent="0.2">
      <c r="AD3483" s="98">
        <f t="shared" si="261"/>
        <v>48406</v>
      </c>
    </row>
    <row r="3484" spans="30:30" ht="14" thickBot="1" x14ac:dyDescent="0.2">
      <c r="AD3484" s="98">
        <f t="shared" si="261"/>
        <v>48407</v>
      </c>
    </row>
    <row r="3485" spans="30:30" ht="14" thickBot="1" x14ac:dyDescent="0.2">
      <c r="AD3485" s="98">
        <f t="shared" si="261"/>
        <v>48408</v>
      </c>
    </row>
    <row r="3486" spans="30:30" ht="14" thickBot="1" x14ac:dyDescent="0.2">
      <c r="AD3486" s="98">
        <f t="shared" si="261"/>
        <v>48409</v>
      </c>
    </row>
    <row r="3487" spans="30:30" ht="14" thickBot="1" x14ac:dyDescent="0.2">
      <c r="AD3487" s="98">
        <f t="shared" si="261"/>
        <v>48410</v>
      </c>
    </row>
    <row r="3488" spans="30:30" ht="14" thickBot="1" x14ac:dyDescent="0.2">
      <c r="AD3488" s="98">
        <f t="shared" si="261"/>
        <v>48411</v>
      </c>
    </row>
    <row r="3489" spans="30:30" ht="14" thickBot="1" x14ac:dyDescent="0.2">
      <c r="AD3489" s="98">
        <f t="shared" si="261"/>
        <v>48412</v>
      </c>
    </row>
    <row r="3490" spans="30:30" ht="14" thickBot="1" x14ac:dyDescent="0.2">
      <c r="AD3490" s="98">
        <f t="shared" si="261"/>
        <v>48413</v>
      </c>
    </row>
    <row r="3491" spans="30:30" ht="14" thickBot="1" x14ac:dyDescent="0.2">
      <c r="AD3491" s="98">
        <f t="shared" si="261"/>
        <v>48414</v>
      </c>
    </row>
    <row r="3492" spans="30:30" ht="14" thickBot="1" x14ac:dyDescent="0.2">
      <c r="AD3492" s="98">
        <f t="shared" si="261"/>
        <v>48415</v>
      </c>
    </row>
    <row r="3493" spans="30:30" ht="14" thickBot="1" x14ac:dyDescent="0.2">
      <c r="AD3493" s="98">
        <f t="shared" si="261"/>
        <v>48416</v>
      </c>
    </row>
    <row r="3494" spans="30:30" ht="14" thickBot="1" x14ac:dyDescent="0.2">
      <c r="AD3494" s="98">
        <f t="shared" si="261"/>
        <v>48417</v>
      </c>
    </row>
    <row r="3495" spans="30:30" ht="14" thickBot="1" x14ac:dyDescent="0.2">
      <c r="AD3495" s="98">
        <f t="shared" si="261"/>
        <v>48418</v>
      </c>
    </row>
    <row r="3496" spans="30:30" ht="14" thickBot="1" x14ac:dyDescent="0.2">
      <c r="AD3496" s="98">
        <f t="shared" si="261"/>
        <v>48419</v>
      </c>
    </row>
    <row r="3497" spans="30:30" ht="14" thickBot="1" x14ac:dyDescent="0.2">
      <c r="AD3497" s="98">
        <f t="shared" si="261"/>
        <v>48420</v>
      </c>
    </row>
    <row r="3498" spans="30:30" ht="14" thickBot="1" x14ac:dyDescent="0.2">
      <c r="AD3498" s="98">
        <f t="shared" si="261"/>
        <v>48421</v>
      </c>
    </row>
    <row r="3499" spans="30:30" ht="14" thickBot="1" x14ac:dyDescent="0.2">
      <c r="AD3499" s="98">
        <f t="shared" si="261"/>
        <v>48422</v>
      </c>
    </row>
    <row r="3500" spans="30:30" ht="14" thickBot="1" x14ac:dyDescent="0.2">
      <c r="AD3500" s="98">
        <f t="shared" si="261"/>
        <v>48423</v>
      </c>
    </row>
    <row r="3501" spans="30:30" ht="14" thickBot="1" x14ac:dyDescent="0.2">
      <c r="AD3501" s="98">
        <f t="shared" si="261"/>
        <v>48424</v>
      </c>
    </row>
    <row r="3502" spans="30:30" ht="14" thickBot="1" x14ac:dyDescent="0.2">
      <c r="AD3502" s="98">
        <f t="shared" si="261"/>
        <v>48425</v>
      </c>
    </row>
    <row r="3503" spans="30:30" ht="14" thickBot="1" x14ac:dyDescent="0.2">
      <c r="AD3503" s="98">
        <f t="shared" si="261"/>
        <v>48426</v>
      </c>
    </row>
    <row r="3504" spans="30:30" ht="14" thickBot="1" x14ac:dyDescent="0.2">
      <c r="AD3504" s="98">
        <f t="shared" si="261"/>
        <v>48427</v>
      </c>
    </row>
    <row r="3505" spans="30:30" ht="14" thickBot="1" x14ac:dyDescent="0.2">
      <c r="AD3505" s="98">
        <f t="shared" si="261"/>
        <v>48428</v>
      </c>
    </row>
    <row r="3506" spans="30:30" ht="14" thickBot="1" x14ac:dyDescent="0.2">
      <c r="AD3506" s="98">
        <f t="shared" si="261"/>
        <v>48429</v>
      </c>
    </row>
    <row r="3507" spans="30:30" ht="14" thickBot="1" x14ac:dyDescent="0.2">
      <c r="AD3507" s="98">
        <f t="shared" si="261"/>
        <v>48430</v>
      </c>
    </row>
    <row r="3508" spans="30:30" ht="14" thickBot="1" x14ac:dyDescent="0.2">
      <c r="AD3508" s="98">
        <f t="shared" si="261"/>
        <v>48431</v>
      </c>
    </row>
    <row r="3509" spans="30:30" ht="14" thickBot="1" x14ac:dyDescent="0.2">
      <c r="AD3509" s="98">
        <f t="shared" si="261"/>
        <v>48432</v>
      </c>
    </row>
    <row r="3510" spans="30:30" ht="14" thickBot="1" x14ac:dyDescent="0.2">
      <c r="AD3510" s="98">
        <f t="shared" si="261"/>
        <v>48433</v>
      </c>
    </row>
    <row r="3511" spans="30:30" ht="14" thickBot="1" x14ac:dyDescent="0.2">
      <c r="AD3511" s="98">
        <f t="shared" si="261"/>
        <v>48434</v>
      </c>
    </row>
    <row r="3512" spans="30:30" ht="14" thickBot="1" x14ac:dyDescent="0.2">
      <c r="AD3512" s="98">
        <f t="shared" si="261"/>
        <v>48435</v>
      </c>
    </row>
    <row r="3513" spans="30:30" ht="14" thickBot="1" x14ac:dyDescent="0.2">
      <c r="AD3513" s="98">
        <f t="shared" si="261"/>
        <v>48436</v>
      </c>
    </row>
    <row r="3514" spans="30:30" ht="14" thickBot="1" x14ac:dyDescent="0.2">
      <c r="AD3514" s="98">
        <f t="shared" si="261"/>
        <v>48437</v>
      </c>
    </row>
    <row r="3515" spans="30:30" ht="14" thickBot="1" x14ac:dyDescent="0.2">
      <c r="AD3515" s="98">
        <f t="shared" si="261"/>
        <v>48438</v>
      </c>
    </row>
    <row r="3516" spans="30:30" ht="14" thickBot="1" x14ac:dyDescent="0.2">
      <c r="AD3516" s="98">
        <f t="shared" si="261"/>
        <v>48439</v>
      </c>
    </row>
    <row r="3517" spans="30:30" ht="14" thickBot="1" x14ac:dyDescent="0.2">
      <c r="AD3517" s="98">
        <f t="shared" si="261"/>
        <v>48440</v>
      </c>
    </row>
    <row r="3518" spans="30:30" ht="14" thickBot="1" x14ac:dyDescent="0.2">
      <c r="AD3518" s="98">
        <f t="shared" si="261"/>
        <v>48441</v>
      </c>
    </row>
    <row r="3519" spans="30:30" ht="14" thickBot="1" x14ac:dyDescent="0.2">
      <c r="AD3519" s="98">
        <f t="shared" si="261"/>
        <v>48442</v>
      </c>
    </row>
    <row r="3520" spans="30:30" ht="14" thickBot="1" x14ac:dyDescent="0.2">
      <c r="AD3520" s="98">
        <f t="shared" si="261"/>
        <v>48443</v>
      </c>
    </row>
    <row r="3521" spans="30:30" ht="14" thickBot="1" x14ac:dyDescent="0.2">
      <c r="AD3521" s="98">
        <f t="shared" si="261"/>
        <v>48444</v>
      </c>
    </row>
    <row r="3522" spans="30:30" ht="14" thickBot="1" x14ac:dyDescent="0.2">
      <c r="AD3522" s="98">
        <f t="shared" si="261"/>
        <v>48445</v>
      </c>
    </row>
    <row r="3523" spans="30:30" ht="14" thickBot="1" x14ac:dyDescent="0.2">
      <c r="AD3523" s="98">
        <f t="shared" si="261"/>
        <v>48446</v>
      </c>
    </row>
    <row r="3524" spans="30:30" ht="14" thickBot="1" x14ac:dyDescent="0.2">
      <c r="AD3524" s="98">
        <f t="shared" si="261"/>
        <v>48447</v>
      </c>
    </row>
    <row r="3525" spans="30:30" ht="14" thickBot="1" x14ac:dyDescent="0.2">
      <c r="AD3525" s="98">
        <f t="shared" si="261"/>
        <v>48448</v>
      </c>
    </row>
    <row r="3526" spans="30:30" ht="14" thickBot="1" x14ac:dyDescent="0.2">
      <c r="AD3526" s="98">
        <f t="shared" si="261"/>
        <v>48449</v>
      </c>
    </row>
    <row r="3527" spans="30:30" ht="14" thickBot="1" x14ac:dyDescent="0.2">
      <c r="AD3527" s="98">
        <f t="shared" si="261"/>
        <v>48450</v>
      </c>
    </row>
    <row r="3528" spans="30:30" ht="14" thickBot="1" x14ac:dyDescent="0.2">
      <c r="AD3528" s="98">
        <f t="shared" si="261"/>
        <v>48451</v>
      </c>
    </row>
    <row r="3529" spans="30:30" ht="14" thickBot="1" x14ac:dyDescent="0.2">
      <c r="AD3529" s="98">
        <f t="shared" ref="AD3529:AD3592" si="262">AD3528+1</f>
        <v>48452</v>
      </c>
    </row>
    <row r="3530" spans="30:30" ht="14" thickBot="1" x14ac:dyDescent="0.2">
      <c r="AD3530" s="98">
        <f t="shared" si="262"/>
        <v>48453</v>
      </c>
    </row>
    <row r="3531" spans="30:30" ht="14" thickBot="1" x14ac:dyDescent="0.2">
      <c r="AD3531" s="98">
        <f t="shared" si="262"/>
        <v>48454</v>
      </c>
    </row>
    <row r="3532" spans="30:30" ht="14" thickBot="1" x14ac:dyDescent="0.2">
      <c r="AD3532" s="98">
        <f t="shared" si="262"/>
        <v>48455</v>
      </c>
    </row>
    <row r="3533" spans="30:30" ht="14" thickBot="1" x14ac:dyDescent="0.2">
      <c r="AD3533" s="98">
        <f t="shared" si="262"/>
        <v>48456</v>
      </c>
    </row>
    <row r="3534" spans="30:30" ht="14" thickBot="1" x14ac:dyDescent="0.2">
      <c r="AD3534" s="98">
        <f t="shared" si="262"/>
        <v>48457</v>
      </c>
    </row>
    <row r="3535" spans="30:30" ht="14" thickBot="1" x14ac:dyDescent="0.2">
      <c r="AD3535" s="98">
        <f t="shared" si="262"/>
        <v>48458</v>
      </c>
    </row>
    <row r="3536" spans="30:30" ht="14" thickBot="1" x14ac:dyDescent="0.2">
      <c r="AD3536" s="98">
        <f t="shared" si="262"/>
        <v>48459</v>
      </c>
    </row>
    <row r="3537" spans="30:30" ht="14" thickBot="1" x14ac:dyDescent="0.2">
      <c r="AD3537" s="98">
        <f t="shared" si="262"/>
        <v>48460</v>
      </c>
    </row>
    <row r="3538" spans="30:30" ht="14" thickBot="1" x14ac:dyDescent="0.2">
      <c r="AD3538" s="98">
        <f t="shared" si="262"/>
        <v>48461</v>
      </c>
    </row>
    <row r="3539" spans="30:30" ht="14" thickBot="1" x14ac:dyDescent="0.2">
      <c r="AD3539" s="98">
        <f t="shared" si="262"/>
        <v>48462</v>
      </c>
    </row>
    <row r="3540" spans="30:30" ht="14" thickBot="1" x14ac:dyDescent="0.2">
      <c r="AD3540" s="98">
        <f t="shared" si="262"/>
        <v>48463</v>
      </c>
    </row>
    <row r="3541" spans="30:30" ht="14" thickBot="1" x14ac:dyDescent="0.2">
      <c r="AD3541" s="98">
        <f t="shared" si="262"/>
        <v>48464</v>
      </c>
    </row>
    <row r="3542" spans="30:30" ht="14" thickBot="1" x14ac:dyDescent="0.2">
      <c r="AD3542" s="98">
        <f t="shared" si="262"/>
        <v>48465</v>
      </c>
    </row>
    <row r="3543" spans="30:30" ht="14" thickBot="1" x14ac:dyDescent="0.2">
      <c r="AD3543" s="98">
        <f t="shared" si="262"/>
        <v>48466</v>
      </c>
    </row>
    <row r="3544" spans="30:30" ht="14" thickBot="1" x14ac:dyDescent="0.2">
      <c r="AD3544" s="98">
        <f t="shared" si="262"/>
        <v>48467</v>
      </c>
    </row>
    <row r="3545" spans="30:30" ht="14" thickBot="1" x14ac:dyDescent="0.2">
      <c r="AD3545" s="98">
        <f t="shared" si="262"/>
        <v>48468</v>
      </c>
    </row>
    <row r="3546" spans="30:30" ht="14" thickBot="1" x14ac:dyDescent="0.2">
      <c r="AD3546" s="98">
        <f t="shared" si="262"/>
        <v>48469</v>
      </c>
    </row>
    <row r="3547" spans="30:30" ht="14" thickBot="1" x14ac:dyDescent="0.2">
      <c r="AD3547" s="98">
        <f t="shared" si="262"/>
        <v>48470</v>
      </c>
    </row>
    <row r="3548" spans="30:30" ht="14" thickBot="1" x14ac:dyDescent="0.2">
      <c r="AD3548" s="98">
        <f t="shared" si="262"/>
        <v>48471</v>
      </c>
    </row>
    <row r="3549" spans="30:30" ht="14" thickBot="1" x14ac:dyDescent="0.2">
      <c r="AD3549" s="98">
        <f t="shared" si="262"/>
        <v>48472</v>
      </c>
    </row>
    <row r="3550" spans="30:30" ht="14" thickBot="1" x14ac:dyDescent="0.2">
      <c r="AD3550" s="98">
        <f t="shared" si="262"/>
        <v>48473</v>
      </c>
    </row>
    <row r="3551" spans="30:30" ht="14" thickBot="1" x14ac:dyDescent="0.2">
      <c r="AD3551" s="98">
        <f t="shared" si="262"/>
        <v>48474</v>
      </c>
    </row>
    <row r="3552" spans="30:30" ht="14" thickBot="1" x14ac:dyDescent="0.2">
      <c r="AD3552" s="98">
        <f t="shared" si="262"/>
        <v>48475</v>
      </c>
    </row>
    <row r="3553" spans="30:30" ht="14" thickBot="1" x14ac:dyDescent="0.2">
      <c r="AD3553" s="98">
        <f t="shared" si="262"/>
        <v>48476</v>
      </c>
    </row>
    <row r="3554" spans="30:30" ht="14" thickBot="1" x14ac:dyDescent="0.2">
      <c r="AD3554" s="98">
        <f t="shared" si="262"/>
        <v>48477</v>
      </c>
    </row>
    <row r="3555" spans="30:30" ht="14" thickBot="1" x14ac:dyDescent="0.2">
      <c r="AD3555" s="98">
        <f t="shared" si="262"/>
        <v>48478</v>
      </c>
    </row>
    <row r="3556" spans="30:30" ht="14" thickBot="1" x14ac:dyDescent="0.2">
      <c r="AD3556" s="98">
        <f t="shared" si="262"/>
        <v>48479</v>
      </c>
    </row>
    <row r="3557" spans="30:30" ht="14" thickBot="1" x14ac:dyDescent="0.2">
      <c r="AD3557" s="98">
        <f t="shared" si="262"/>
        <v>48480</v>
      </c>
    </row>
    <row r="3558" spans="30:30" ht="14" thickBot="1" x14ac:dyDescent="0.2">
      <c r="AD3558" s="98">
        <f t="shared" si="262"/>
        <v>48481</v>
      </c>
    </row>
    <row r="3559" spans="30:30" ht="14" thickBot="1" x14ac:dyDescent="0.2">
      <c r="AD3559" s="98">
        <f t="shared" si="262"/>
        <v>48482</v>
      </c>
    </row>
    <row r="3560" spans="30:30" ht="14" thickBot="1" x14ac:dyDescent="0.2">
      <c r="AD3560" s="98">
        <f t="shared" si="262"/>
        <v>48483</v>
      </c>
    </row>
    <row r="3561" spans="30:30" ht="14" thickBot="1" x14ac:dyDescent="0.2">
      <c r="AD3561" s="98">
        <f t="shared" si="262"/>
        <v>48484</v>
      </c>
    </row>
    <row r="3562" spans="30:30" ht="14" thickBot="1" x14ac:dyDescent="0.2">
      <c r="AD3562" s="98">
        <f t="shared" si="262"/>
        <v>48485</v>
      </c>
    </row>
    <row r="3563" spans="30:30" ht="14" thickBot="1" x14ac:dyDescent="0.2">
      <c r="AD3563" s="98">
        <f t="shared" si="262"/>
        <v>48486</v>
      </c>
    </row>
    <row r="3564" spans="30:30" ht="14" thickBot="1" x14ac:dyDescent="0.2">
      <c r="AD3564" s="98">
        <f t="shared" si="262"/>
        <v>48487</v>
      </c>
    </row>
    <row r="3565" spans="30:30" ht="14" thickBot="1" x14ac:dyDescent="0.2">
      <c r="AD3565" s="98">
        <f t="shared" si="262"/>
        <v>48488</v>
      </c>
    </row>
    <row r="3566" spans="30:30" ht="14" thickBot="1" x14ac:dyDescent="0.2">
      <c r="AD3566" s="98">
        <f t="shared" si="262"/>
        <v>48489</v>
      </c>
    </row>
    <row r="3567" spans="30:30" ht="14" thickBot="1" x14ac:dyDescent="0.2">
      <c r="AD3567" s="98">
        <f t="shared" si="262"/>
        <v>48490</v>
      </c>
    </row>
    <row r="3568" spans="30:30" ht="14" thickBot="1" x14ac:dyDescent="0.2">
      <c r="AD3568" s="98">
        <f t="shared" si="262"/>
        <v>48491</v>
      </c>
    </row>
    <row r="3569" spans="30:30" ht="14" thickBot="1" x14ac:dyDescent="0.2">
      <c r="AD3569" s="98">
        <f t="shared" si="262"/>
        <v>48492</v>
      </c>
    </row>
    <row r="3570" spans="30:30" ht="14" thickBot="1" x14ac:dyDescent="0.2">
      <c r="AD3570" s="98">
        <f t="shared" si="262"/>
        <v>48493</v>
      </c>
    </row>
    <row r="3571" spans="30:30" ht="14" thickBot="1" x14ac:dyDescent="0.2">
      <c r="AD3571" s="98">
        <f t="shared" si="262"/>
        <v>48494</v>
      </c>
    </row>
    <row r="3572" spans="30:30" ht="14" thickBot="1" x14ac:dyDescent="0.2">
      <c r="AD3572" s="98">
        <f t="shared" si="262"/>
        <v>48495</v>
      </c>
    </row>
    <row r="3573" spans="30:30" ht="14" thickBot="1" x14ac:dyDescent="0.2">
      <c r="AD3573" s="98">
        <f t="shared" si="262"/>
        <v>48496</v>
      </c>
    </row>
    <row r="3574" spans="30:30" ht="14" thickBot="1" x14ac:dyDescent="0.2">
      <c r="AD3574" s="98">
        <f t="shared" si="262"/>
        <v>48497</v>
      </c>
    </row>
    <row r="3575" spans="30:30" ht="14" thickBot="1" x14ac:dyDescent="0.2">
      <c r="AD3575" s="98">
        <f t="shared" si="262"/>
        <v>48498</v>
      </c>
    </row>
    <row r="3576" spans="30:30" ht="14" thickBot="1" x14ac:dyDescent="0.2">
      <c r="AD3576" s="98">
        <f t="shared" si="262"/>
        <v>48499</v>
      </c>
    </row>
    <row r="3577" spans="30:30" ht="14" thickBot="1" x14ac:dyDescent="0.2">
      <c r="AD3577" s="98">
        <f t="shared" si="262"/>
        <v>48500</v>
      </c>
    </row>
    <row r="3578" spans="30:30" ht="14" thickBot="1" x14ac:dyDescent="0.2">
      <c r="AD3578" s="98">
        <f t="shared" si="262"/>
        <v>48501</v>
      </c>
    </row>
    <row r="3579" spans="30:30" ht="14" thickBot="1" x14ac:dyDescent="0.2">
      <c r="AD3579" s="98">
        <f t="shared" si="262"/>
        <v>48502</v>
      </c>
    </row>
    <row r="3580" spans="30:30" ht="14" thickBot="1" x14ac:dyDescent="0.2">
      <c r="AD3580" s="98">
        <f t="shared" si="262"/>
        <v>48503</v>
      </c>
    </row>
    <row r="3581" spans="30:30" ht="14" thickBot="1" x14ac:dyDescent="0.2">
      <c r="AD3581" s="98">
        <f t="shared" si="262"/>
        <v>48504</v>
      </c>
    </row>
    <row r="3582" spans="30:30" ht="14" thickBot="1" x14ac:dyDescent="0.2">
      <c r="AD3582" s="98">
        <f t="shared" si="262"/>
        <v>48505</v>
      </c>
    </row>
    <row r="3583" spans="30:30" ht="14" thickBot="1" x14ac:dyDescent="0.2">
      <c r="AD3583" s="98">
        <f t="shared" si="262"/>
        <v>48506</v>
      </c>
    </row>
    <row r="3584" spans="30:30" ht="14" thickBot="1" x14ac:dyDescent="0.2">
      <c r="AD3584" s="98">
        <f t="shared" si="262"/>
        <v>48507</v>
      </c>
    </row>
    <row r="3585" spans="30:30" ht="14" thickBot="1" x14ac:dyDescent="0.2">
      <c r="AD3585" s="98">
        <f t="shared" si="262"/>
        <v>48508</v>
      </c>
    </row>
    <row r="3586" spans="30:30" ht="14" thickBot="1" x14ac:dyDescent="0.2">
      <c r="AD3586" s="98">
        <f t="shared" si="262"/>
        <v>48509</v>
      </c>
    </row>
    <row r="3587" spans="30:30" ht="14" thickBot="1" x14ac:dyDescent="0.2">
      <c r="AD3587" s="98">
        <f t="shared" si="262"/>
        <v>48510</v>
      </c>
    </row>
    <row r="3588" spans="30:30" ht="14" thickBot="1" x14ac:dyDescent="0.2">
      <c r="AD3588" s="98">
        <f t="shared" si="262"/>
        <v>48511</v>
      </c>
    </row>
    <row r="3589" spans="30:30" ht="14" thickBot="1" x14ac:dyDescent="0.2">
      <c r="AD3589" s="98">
        <f t="shared" si="262"/>
        <v>48512</v>
      </c>
    </row>
    <row r="3590" spans="30:30" ht="14" thickBot="1" x14ac:dyDescent="0.2">
      <c r="AD3590" s="98">
        <f t="shared" si="262"/>
        <v>48513</v>
      </c>
    </row>
    <row r="3591" spans="30:30" ht="14" thickBot="1" x14ac:dyDescent="0.2">
      <c r="AD3591" s="98">
        <f t="shared" si="262"/>
        <v>48514</v>
      </c>
    </row>
    <row r="3592" spans="30:30" ht="14" thickBot="1" x14ac:dyDescent="0.2">
      <c r="AD3592" s="98">
        <f t="shared" si="262"/>
        <v>48515</v>
      </c>
    </row>
    <row r="3593" spans="30:30" ht="14" thickBot="1" x14ac:dyDescent="0.2">
      <c r="AD3593" s="98">
        <f t="shared" ref="AD3593:AD3656" si="263">AD3592+1</f>
        <v>48516</v>
      </c>
    </row>
    <row r="3594" spans="30:30" ht="14" thickBot="1" x14ac:dyDescent="0.2">
      <c r="AD3594" s="98">
        <f t="shared" si="263"/>
        <v>48517</v>
      </c>
    </row>
    <row r="3595" spans="30:30" ht="14" thickBot="1" x14ac:dyDescent="0.2">
      <c r="AD3595" s="98">
        <f t="shared" si="263"/>
        <v>48518</v>
      </c>
    </row>
    <row r="3596" spans="30:30" ht="14" thickBot="1" x14ac:dyDescent="0.2">
      <c r="AD3596" s="98">
        <f t="shared" si="263"/>
        <v>48519</v>
      </c>
    </row>
    <row r="3597" spans="30:30" ht="14" thickBot="1" x14ac:dyDescent="0.2">
      <c r="AD3597" s="98">
        <f t="shared" si="263"/>
        <v>48520</v>
      </c>
    </row>
    <row r="3598" spans="30:30" ht="14" thickBot="1" x14ac:dyDescent="0.2">
      <c r="AD3598" s="98">
        <f t="shared" si="263"/>
        <v>48521</v>
      </c>
    </row>
    <row r="3599" spans="30:30" ht="14" thickBot="1" x14ac:dyDescent="0.2">
      <c r="AD3599" s="98">
        <f t="shared" si="263"/>
        <v>48522</v>
      </c>
    </row>
    <row r="3600" spans="30:30" ht="14" thickBot="1" x14ac:dyDescent="0.2">
      <c r="AD3600" s="98">
        <f t="shared" si="263"/>
        <v>48523</v>
      </c>
    </row>
    <row r="3601" spans="30:30" ht="14" thickBot="1" x14ac:dyDescent="0.2">
      <c r="AD3601" s="98">
        <f t="shared" si="263"/>
        <v>48524</v>
      </c>
    </row>
    <row r="3602" spans="30:30" ht="14" thickBot="1" x14ac:dyDescent="0.2">
      <c r="AD3602" s="98">
        <f t="shared" si="263"/>
        <v>48525</v>
      </c>
    </row>
    <row r="3603" spans="30:30" ht="14" thickBot="1" x14ac:dyDescent="0.2">
      <c r="AD3603" s="98">
        <f t="shared" si="263"/>
        <v>48526</v>
      </c>
    </row>
    <row r="3604" spans="30:30" ht="14" thickBot="1" x14ac:dyDescent="0.2">
      <c r="AD3604" s="98">
        <f t="shared" si="263"/>
        <v>48527</v>
      </c>
    </row>
    <row r="3605" spans="30:30" ht="14" thickBot="1" x14ac:dyDescent="0.2">
      <c r="AD3605" s="98">
        <f t="shared" si="263"/>
        <v>48528</v>
      </c>
    </row>
    <row r="3606" spans="30:30" ht="14" thickBot="1" x14ac:dyDescent="0.2">
      <c r="AD3606" s="98">
        <f t="shared" si="263"/>
        <v>48529</v>
      </c>
    </row>
    <row r="3607" spans="30:30" ht="14" thickBot="1" x14ac:dyDescent="0.2">
      <c r="AD3607" s="98">
        <f t="shared" si="263"/>
        <v>48530</v>
      </c>
    </row>
    <row r="3608" spans="30:30" ht="14" thickBot="1" x14ac:dyDescent="0.2">
      <c r="AD3608" s="98">
        <f t="shared" si="263"/>
        <v>48531</v>
      </c>
    </row>
    <row r="3609" spans="30:30" ht="14" thickBot="1" x14ac:dyDescent="0.2">
      <c r="AD3609" s="98">
        <f t="shared" si="263"/>
        <v>48532</v>
      </c>
    </row>
    <row r="3610" spans="30:30" ht="14" thickBot="1" x14ac:dyDescent="0.2">
      <c r="AD3610" s="98">
        <f t="shared" si="263"/>
        <v>48533</v>
      </c>
    </row>
    <row r="3611" spans="30:30" ht="14" thickBot="1" x14ac:dyDescent="0.2">
      <c r="AD3611" s="98">
        <f t="shared" si="263"/>
        <v>48534</v>
      </c>
    </row>
    <row r="3612" spans="30:30" ht="14" thickBot="1" x14ac:dyDescent="0.2">
      <c r="AD3612" s="98">
        <f t="shared" si="263"/>
        <v>48535</v>
      </c>
    </row>
    <row r="3613" spans="30:30" ht="14" thickBot="1" x14ac:dyDescent="0.2">
      <c r="AD3613" s="98">
        <f t="shared" si="263"/>
        <v>48536</v>
      </c>
    </row>
    <row r="3614" spans="30:30" ht="14" thickBot="1" x14ac:dyDescent="0.2">
      <c r="AD3614" s="98">
        <f t="shared" si="263"/>
        <v>48537</v>
      </c>
    </row>
    <row r="3615" spans="30:30" ht="14" thickBot="1" x14ac:dyDescent="0.2">
      <c r="AD3615" s="98">
        <f t="shared" si="263"/>
        <v>48538</v>
      </c>
    </row>
    <row r="3616" spans="30:30" ht="14" thickBot="1" x14ac:dyDescent="0.2">
      <c r="AD3616" s="98">
        <f t="shared" si="263"/>
        <v>48539</v>
      </c>
    </row>
    <row r="3617" spans="30:30" ht="14" thickBot="1" x14ac:dyDescent="0.2">
      <c r="AD3617" s="98">
        <f t="shared" si="263"/>
        <v>48540</v>
      </c>
    </row>
    <row r="3618" spans="30:30" ht="14" thickBot="1" x14ac:dyDescent="0.2">
      <c r="AD3618" s="98">
        <f t="shared" si="263"/>
        <v>48541</v>
      </c>
    </row>
    <row r="3619" spans="30:30" ht="14" thickBot="1" x14ac:dyDescent="0.2">
      <c r="AD3619" s="98">
        <f t="shared" si="263"/>
        <v>48542</v>
      </c>
    </row>
    <row r="3620" spans="30:30" ht="14" thickBot="1" x14ac:dyDescent="0.2">
      <c r="AD3620" s="98">
        <f t="shared" si="263"/>
        <v>48543</v>
      </c>
    </row>
    <row r="3621" spans="30:30" ht="14" thickBot="1" x14ac:dyDescent="0.2">
      <c r="AD3621" s="98">
        <f t="shared" si="263"/>
        <v>48544</v>
      </c>
    </row>
    <row r="3622" spans="30:30" ht="14" thickBot="1" x14ac:dyDescent="0.2">
      <c r="AD3622" s="98">
        <f t="shared" si="263"/>
        <v>48545</v>
      </c>
    </row>
    <row r="3623" spans="30:30" ht="14" thickBot="1" x14ac:dyDescent="0.2">
      <c r="AD3623" s="98">
        <f t="shared" si="263"/>
        <v>48546</v>
      </c>
    </row>
    <row r="3624" spans="30:30" ht="14" thickBot="1" x14ac:dyDescent="0.2">
      <c r="AD3624" s="98">
        <f t="shared" si="263"/>
        <v>48547</v>
      </c>
    </row>
    <row r="3625" spans="30:30" ht="14" thickBot="1" x14ac:dyDescent="0.2">
      <c r="AD3625" s="98">
        <f t="shared" si="263"/>
        <v>48548</v>
      </c>
    </row>
    <row r="3626" spans="30:30" ht="14" thickBot="1" x14ac:dyDescent="0.2">
      <c r="AD3626" s="98">
        <f t="shared" si="263"/>
        <v>48549</v>
      </c>
    </row>
    <row r="3627" spans="30:30" ht="14" thickBot="1" x14ac:dyDescent="0.2">
      <c r="AD3627" s="98">
        <f t="shared" si="263"/>
        <v>48550</v>
      </c>
    </row>
    <row r="3628" spans="30:30" ht="14" thickBot="1" x14ac:dyDescent="0.2">
      <c r="AD3628" s="98">
        <f t="shared" si="263"/>
        <v>48551</v>
      </c>
    </row>
    <row r="3629" spans="30:30" ht="14" thickBot="1" x14ac:dyDescent="0.2">
      <c r="AD3629" s="98">
        <f t="shared" si="263"/>
        <v>48552</v>
      </c>
    </row>
    <row r="3630" spans="30:30" ht="14" thickBot="1" x14ac:dyDescent="0.2">
      <c r="AD3630" s="98">
        <f t="shared" si="263"/>
        <v>48553</v>
      </c>
    </row>
    <row r="3631" spans="30:30" ht="14" thickBot="1" x14ac:dyDescent="0.2">
      <c r="AD3631" s="98">
        <f t="shared" si="263"/>
        <v>48554</v>
      </c>
    </row>
    <row r="3632" spans="30:30" ht="14" thickBot="1" x14ac:dyDescent="0.2">
      <c r="AD3632" s="98">
        <f t="shared" si="263"/>
        <v>48555</v>
      </c>
    </row>
    <row r="3633" spans="30:30" ht="14" thickBot="1" x14ac:dyDescent="0.2">
      <c r="AD3633" s="98">
        <f t="shared" si="263"/>
        <v>48556</v>
      </c>
    </row>
    <row r="3634" spans="30:30" ht="14" thickBot="1" x14ac:dyDescent="0.2">
      <c r="AD3634" s="98">
        <f t="shared" si="263"/>
        <v>48557</v>
      </c>
    </row>
    <row r="3635" spans="30:30" ht="14" thickBot="1" x14ac:dyDescent="0.2">
      <c r="AD3635" s="98">
        <f t="shared" si="263"/>
        <v>48558</v>
      </c>
    </row>
    <row r="3636" spans="30:30" ht="14" thickBot="1" x14ac:dyDescent="0.2">
      <c r="AD3636" s="98">
        <f t="shared" si="263"/>
        <v>48559</v>
      </c>
    </row>
    <row r="3637" spans="30:30" ht="14" thickBot="1" x14ac:dyDescent="0.2">
      <c r="AD3637" s="98">
        <f t="shared" si="263"/>
        <v>48560</v>
      </c>
    </row>
    <row r="3638" spans="30:30" ht="14" thickBot="1" x14ac:dyDescent="0.2">
      <c r="AD3638" s="98">
        <f t="shared" si="263"/>
        <v>48561</v>
      </c>
    </row>
    <row r="3639" spans="30:30" ht="14" thickBot="1" x14ac:dyDescent="0.2">
      <c r="AD3639" s="98">
        <f t="shared" si="263"/>
        <v>48562</v>
      </c>
    </row>
    <row r="3640" spans="30:30" ht="14" thickBot="1" x14ac:dyDescent="0.2">
      <c r="AD3640" s="98">
        <f t="shared" si="263"/>
        <v>48563</v>
      </c>
    </row>
    <row r="3641" spans="30:30" ht="14" thickBot="1" x14ac:dyDescent="0.2">
      <c r="AD3641" s="98">
        <f t="shared" si="263"/>
        <v>48564</v>
      </c>
    </row>
    <row r="3642" spans="30:30" ht="14" thickBot="1" x14ac:dyDescent="0.2">
      <c r="AD3642" s="98">
        <f t="shared" si="263"/>
        <v>48565</v>
      </c>
    </row>
    <row r="3643" spans="30:30" ht="14" thickBot="1" x14ac:dyDescent="0.2">
      <c r="AD3643" s="98">
        <f t="shared" si="263"/>
        <v>48566</v>
      </c>
    </row>
    <row r="3644" spans="30:30" ht="14" thickBot="1" x14ac:dyDescent="0.2">
      <c r="AD3644" s="98">
        <f t="shared" si="263"/>
        <v>48567</v>
      </c>
    </row>
    <row r="3645" spans="30:30" ht="14" thickBot="1" x14ac:dyDescent="0.2">
      <c r="AD3645" s="98">
        <f t="shared" si="263"/>
        <v>48568</v>
      </c>
    </row>
    <row r="3646" spans="30:30" ht="14" thickBot="1" x14ac:dyDescent="0.2">
      <c r="AD3646" s="98">
        <f t="shared" si="263"/>
        <v>48569</v>
      </c>
    </row>
    <row r="3647" spans="30:30" ht="14" thickBot="1" x14ac:dyDescent="0.2">
      <c r="AD3647" s="98">
        <f t="shared" si="263"/>
        <v>48570</v>
      </c>
    </row>
    <row r="3648" spans="30:30" ht="14" thickBot="1" x14ac:dyDescent="0.2">
      <c r="AD3648" s="98">
        <f t="shared" si="263"/>
        <v>48571</v>
      </c>
    </row>
    <row r="3649" spans="30:30" ht="14" thickBot="1" x14ac:dyDescent="0.2">
      <c r="AD3649" s="98">
        <f t="shared" si="263"/>
        <v>48572</v>
      </c>
    </row>
    <row r="3650" spans="30:30" ht="14" thickBot="1" x14ac:dyDescent="0.2">
      <c r="AD3650" s="98">
        <f t="shared" si="263"/>
        <v>48573</v>
      </c>
    </row>
    <row r="3651" spans="30:30" ht="14" thickBot="1" x14ac:dyDescent="0.2">
      <c r="AD3651" s="98">
        <f t="shared" si="263"/>
        <v>48574</v>
      </c>
    </row>
    <row r="3652" spans="30:30" ht="14" thickBot="1" x14ac:dyDescent="0.2">
      <c r="AD3652" s="98">
        <f t="shared" si="263"/>
        <v>48575</v>
      </c>
    </row>
    <row r="3653" spans="30:30" ht="14" thickBot="1" x14ac:dyDescent="0.2">
      <c r="AD3653" s="98">
        <f t="shared" si="263"/>
        <v>48576</v>
      </c>
    </row>
    <row r="3654" spans="30:30" ht="14" thickBot="1" x14ac:dyDescent="0.2">
      <c r="AD3654" s="98">
        <f t="shared" si="263"/>
        <v>48577</v>
      </c>
    </row>
    <row r="3655" spans="30:30" ht="14" thickBot="1" x14ac:dyDescent="0.2">
      <c r="AD3655" s="98">
        <f t="shared" si="263"/>
        <v>48578</v>
      </c>
    </row>
    <row r="3656" spans="30:30" ht="14" thickBot="1" x14ac:dyDescent="0.2">
      <c r="AD3656" s="98">
        <f t="shared" si="263"/>
        <v>48579</v>
      </c>
    </row>
    <row r="3657" spans="30:30" ht="14" thickBot="1" x14ac:dyDescent="0.2">
      <c r="AD3657" s="98">
        <f t="shared" ref="AD3657:AD3720" si="264">AD3656+1</f>
        <v>48580</v>
      </c>
    </row>
    <row r="3658" spans="30:30" ht="14" thickBot="1" x14ac:dyDescent="0.2">
      <c r="AD3658" s="98">
        <f t="shared" si="264"/>
        <v>48581</v>
      </c>
    </row>
    <row r="3659" spans="30:30" ht="14" thickBot="1" x14ac:dyDescent="0.2">
      <c r="AD3659" s="98">
        <f t="shared" si="264"/>
        <v>48582</v>
      </c>
    </row>
    <row r="3660" spans="30:30" ht="14" thickBot="1" x14ac:dyDescent="0.2">
      <c r="AD3660" s="98">
        <f t="shared" si="264"/>
        <v>48583</v>
      </c>
    </row>
    <row r="3661" spans="30:30" ht="14" thickBot="1" x14ac:dyDescent="0.2">
      <c r="AD3661" s="98">
        <f t="shared" si="264"/>
        <v>48584</v>
      </c>
    </row>
    <row r="3662" spans="30:30" ht="14" thickBot="1" x14ac:dyDescent="0.2">
      <c r="AD3662" s="98">
        <f t="shared" si="264"/>
        <v>48585</v>
      </c>
    </row>
    <row r="3663" spans="30:30" ht="14" thickBot="1" x14ac:dyDescent="0.2">
      <c r="AD3663" s="98">
        <f t="shared" si="264"/>
        <v>48586</v>
      </c>
    </row>
    <row r="3664" spans="30:30" ht="14" thickBot="1" x14ac:dyDescent="0.2">
      <c r="AD3664" s="98">
        <f t="shared" si="264"/>
        <v>48587</v>
      </c>
    </row>
    <row r="3665" spans="30:30" ht="14" thickBot="1" x14ac:dyDescent="0.2">
      <c r="AD3665" s="98">
        <f t="shared" si="264"/>
        <v>48588</v>
      </c>
    </row>
    <row r="3666" spans="30:30" ht="14" thickBot="1" x14ac:dyDescent="0.2">
      <c r="AD3666" s="98">
        <f t="shared" si="264"/>
        <v>48589</v>
      </c>
    </row>
    <row r="3667" spans="30:30" ht="14" thickBot="1" x14ac:dyDescent="0.2">
      <c r="AD3667" s="98">
        <f t="shared" si="264"/>
        <v>48590</v>
      </c>
    </row>
    <row r="3668" spans="30:30" ht="14" thickBot="1" x14ac:dyDescent="0.2">
      <c r="AD3668" s="98">
        <f t="shared" si="264"/>
        <v>48591</v>
      </c>
    </row>
    <row r="3669" spans="30:30" ht="14" thickBot="1" x14ac:dyDescent="0.2">
      <c r="AD3669" s="98">
        <f t="shared" si="264"/>
        <v>48592</v>
      </c>
    </row>
    <row r="3670" spans="30:30" ht="14" thickBot="1" x14ac:dyDescent="0.2">
      <c r="AD3670" s="98">
        <f t="shared" si="264"/>
        <v>48593</v>
      </c>
    </row>
    <row r="3671" spans="30:30" ht="14" thickBot="1" x14ac:dyDescent="0.2">
      <c r="AD3671" s="98">
        <f t="shared" si="264"/>
        <v>48594</v>
      </c>
    </row>
    <row r="3672" spans="30:30" ht="14" thickBot="1" x14ac:dyDescent="0.2">
      <c r="AD3672" s="98">
        <f t="shared" si="264"/>
        <v>48595</v>
      </c>
    </row>
    <row r="3673" spans="30:30" ht="14" thickBot="1" x14ac:dyDescent="0.2">
      <c r="AD3673" s="98">
        <f t="shared" si="264"/>
        <v>48596</v>
      </c>
    </row>
    <row r="3674" spans="30:30" ht="14" thickBot="1" x14ac:dyDescent="0.2">
      <c r="AD3674" s="98">
        <f t="shared" si="264"/>
        <v>48597</v>
      </c>
    </row>
    <row r="3675" spans="30:30" ht="14" thickBot="1" x14ac:dyDescent="0.2">
      <c r="AD3675" s="98">
        <f t="shared" si="264"/>
        <v>48598</v>
      </c>
    </row>
    <row r="3676" spans="30:30" ht="14" thickBot="1" x14ac:dyDescent="0.2">
      <c r="AD3676" s="98">
        <f t="shared" si="264"/>
        <v>48599</v>
      </c>
    </row>
    <row r="3677" spans="30:30" ht="14" thickBot="1" x14ac:dyDescent="0.2">
      <c r="AD3677" s="98">
        <f t="shared" si="264"/>
        <v>48600</v>
      </c>
    </row>
    <row r="3678" spans="30:30" ht="14" thickBot="1" x14ac:dyDescent="0.2">
      <c r="AD3678" s="98">
        <f t="shared" si="264"/>
        <v>48601</v>
      </c>
    </row>
    <row r="3679" spans="30:30" ht="14" thickBot="1" x14ac:dyDescent="0.2">
      <c r="AD3679" s="98">
        <f t="shared" si="264"/>
        <v>48602</v>
      </c>
    </row>
    <row r="3680" spans="30:30" ht="14" thickBot="1" x14ac:dyDescent="0.2">
      <c r="AD3680" s="98">
        <f t="shared" si="264"/>
        <v>48603</v>
      </c>
    </row>
    <row r="3681" spans="30:30" ht="14" thickBot="1" x14ac:dyDescent="0.2">
      <c r="AD3681" s="98">
        <f t="shared" si="264"/>
        <v>48604</v>
      </c>
    </row>
    <row r="3682" spans="30:30" ht="14" thickBot="1" x14ac:dyDescent="0.2">
      <c r="AD3682" s="98">
        <f t="shared" si="264"/>
        <v>48605</v>
      </c>
    </row>
    <row r="3683" spans="30:30" ht="14" thickBot="1" x14ac:dyDescent="0.2">
      <c r="AD3683" s="98">
        <f t="shared" si="264"/>
        <v>48606</v>
      </c>
    </row>
    <row r="3684" spans="30:30" ht="14" thickBot="1" x14ac:dyDescent="0.2">
      <c r="AD3684" s="98">
        <f t="shared" si="264"/>
        <v>48607</v>
      </c>
    </row>
    <row r="3685" spans="30:30" ht="14" thickBot="1" x14ac:dyDescent="0.2">
      <c r="AD3685" s="98">
        <f t="shared" si="264"/>
        <v>48608</v>
      </c>
    </row>
    <row r="3686" spans="30:30" ht="14" thickBot="1" x14ac:dyDescent="0.2">
      <c r="AD3686" s="98">
        <f t="shared" si="264"/>
        <v>48609</v>
      </c>
    </row>
    <row r="3687" spans="30:30" ht="14" thickBot="1" x14ac:dyDescent="0.2">
      <c r="AD3687" s="98">
        <f t="shared" si="264"/>
        <v>48610</v>
      </c>
    </row>
    <row r="3688" spans="30:30" ht="14" thickBot="1" x14ac:dyDescent="0.2">
      <c r="AD3688" s="98">
        <f t="shared" si="264"/>
        <v>48611</v>
      </c>
    </row>
    <row r="3689" spans="30:30" ht="14" thickBot="1" x14ac:dyDescent="0.2">
      <c r="AD3689" s="98">
        <f t="shared" si="264"/>
        <v>48612</v>
      </c>
    </row>
    <row r="3690" spans="30:30" ht="14" thickBot="1" x14ac:dyDescent="0.2">
      <c r="AD3690" s="98">
        <f t="shared" si="264"/>
        <v>48613</v>
      </c>
    </row>
    <row r="3691" spans="30:30" ht="14" thickBot="1" x14ac:dyDescent="0.2">
      <c r="AD3691" s="98">
        <f t="shared" si="264"/>
        <v>48614</v>
      </c>
    </row>
    <row r="3692" spans="30:30" ht="14" thickBot="1" x14ac:dyDescent="0.2">
      <c r="AD3692" s="98">
        <f t="shared" si="264"/>
        <v>48615</v>
      </c>
    </row>
    <row r="3693" spans="30:30" ht="14" thickBot="1" x14ac:dyDescent="0.2">
      <c r="AD3693" s="98">
        <f t="shared" si="264"/>
        <v>48616</v>
      </c>
    </row>
    <row r="3694" spans="30:30" ht="14" thickBot="1" x14ac:dyDescent="0.2">
      <c r="AD3694" s="98">
        <f t="shared" si="264"/>
        <v>48617</v>
      </c>
    </row>
    <row r="3695" spans="30:30" ht="14" thickBot="1" x14ac:dyDescent="0.2">
      <c r="AD3695" s="98">
        <f t="shared" si="264"/>
        <v>48618</v>
      </c>
    </row>
    <row r="3696" spans="30:30" ht="14" thickBot="1" x14ac:dyDescent="0.2">
      <c r="AD3696" s="98">
        <f t="shared" si="264"/>
        <v>48619</v>
      </c>
    </row>
    <row r="3697" spans="30:30" ht="14" thickBot="1" x14ac:dyDescent="0.2">
      <c r="AD3697" s="98">
        <f t="shared" si="264"/>
        <v>48620</v>
      </c>
    </row>
    <row r="3698" spans="30:30" ht="14" thickBot="1" x14ac:dyDescent="0.2">
      <c r="AD3698" s="98">
        <f t="shared" si="264"/>
        <v>48621</v>
      </c>
    </row>
    <row r="3699" spans="30:30" ht="14" thickBot="1" x14ac:dyDescent="0.2">
      <c r="AD3699" s="98">
        <f t="shared" si="264"/>
        <v>48622</v>
      </c>
    </row>
    <row r="3700" spans="30:30" ht="14" thickBot="1" x14ac:dyDescent="0.2">
      <c r="AD3700" s="98">
        <f t="shared" si="264"/>
        <v>48623</v>
      </c>
    </row>
    <row r="3701" spans="30:30" ht="14" thickBot="1" x14ac:dyDescent="0.2">
      <c r="AD3701" s="98">
        <f t="shared" si="264"/>
        <v>48624</v>
      </c>
    </row>
    <row r="3702" spans="30:30" ht="14" thickBot="1" x14ac:dyDescent="0.2">
      <c r="AD3702" s="98">
        <f t="shared" si="264"/>
        <v>48625</v>
      </c>
    </row>
    <row r="3703" spans="30:30" ht="14" thickBot="1" x14ac:dyDescent="0.2">
      <c r="AD3703" s="98">
        <f t="shared" si="264"/>
        <v>48626</v>
      </c>
    </row>
    <row r="3704" spans="30:30" ht="14" thickBot="1" x14ac:dyDescent="0.2">
      <c r="AD3704" s="98">
        <f t="shared" si="264"/>
        <v>48627</v>
      </c>
    </row>
    <row r="3705" spans="30:30" ht="14" thickBot="1" x14ac:dyDescent="0.2">
      <c r="AD3705" s="98">
        <f t="shared" si="264"/>
        <v>48628</v>
      </c>
    </row>
    <row r="3706" spans="30:30" ht="14" thickBot="1" x14ac:dyDescent="0.2">
      <c r="AD3706" s="98">
        <f t="shared" si="264"/>
        <v>48629</v>
      </c>
    </row>
    <row r="3707" spans="30:30" ht="14" thickBot="1" x14ac:dyDescent="0.2">
      <c r="AD3707" s="98">
        <f t="shared" si="264"/>
        <v>48630</v>
      </c>
    </row>
    <row r="3708" spans="30:30" ht="14" thickBot="1" x14ac:dyDescent="0.2">
      <c r="AD3708" s="98">
        <f t="shared" si="264"/>
        <v>48631</v>
      </c>
    </row>
    <row r="3709" spans="30:30" ht="14" thickBot="1" x14ac:dyDescent="0.2">
      <c r="AD3709" s="98">
        <f t="shared" si="264"/>
        <v>48632</v>
      </c>
    </row>
    <row r="3710" spans="30:30" ht="14" thickBot="1" x14ac:dyDescent="0.2">
      <c r="AD3710" s="98">
        <f t="shared" si="264"/>
        <v>48633</v>
      </c>
    </row>
    <row r="3711" spans="30:30" ht="14" thickBot="1" x14ac:dyDescent="0.2">
      <c r="AD3711" s="98">
        <f t="shared" si="264"/>
        <v>48634</v>
      </c>
    </row>
    <row r="3712" spans="30:30" ht="14" thickBot="1" x14ac:dyDescent="0.2">
      <c r="AD3712" s="98">
        <f t="shared" si="264"/>
        <v>48635</v>
      </c>
    </row>
    <row r="3713" spans="30:30" ht="14" thickBot="1" x14ac:dyDescent="0.2">
      <c r="AD3713" s="98">
        <f t="shared" si="264"/>
        <v>48636</v>
      </c>
    </row>
    <row r="3714" spans="30:30" ht="14" thickBot="1" x14ac:dyDescent="0.2">
      <c r="AD3714" s="98">
        <f t="shared" si="264"/>
        <v>48637</v>
      </c>
    </row>
    <row r="3715" spans="30:30" ht="14" thickBot="1" x14ac:dyDescent="0.2">
      <c r="AD3715" s="98">
        <f t="shared" si="264"/>
        <v>48638</v>
      </c>
    </row>
    <row r="3716" spans="30:30" ht="14" thickBot="1" x14ac:dyDescent="0.2">
      <c r="AD3716" s="98">
        <f t="shared" si="264"/>
        <v>48639</v>
      </c>
    </row>
    <row r="3717" spans="30:30" ht="14" thickBot="1" x14ac:dyDescent="0.2">
      <c r="AD3717" s="98">
        <f t="shared" si="264"/>
        <v>48640</v>
      </c>
    </row>
    <row r="3718" spans="30:30" ht="14" thickBot="1" x14ac:dyDescent="0.2">
      <c r="AD3718" s="98">
        <f t="shared" si="264"/>
        <v>48641</v>
      </c>
    </row>
    <row r="3719" spans="30:30" ht="14" thickBot="1" x14ac:dyDescent="0.2">
      <c r="AD3719" s="98">
        <f t="shared" si="264"/>
        <v>48642</v>
      </c>
    </row>
    <row r="3720" spans="30:30" ht="14" thickBot="1" x14ac:dyDescent="0.2">
      <c r="AD3720" s="98">
        <f t="shared" si="264"/>
        <v>48643</v>
      </c>
    </row>
    <row r="3721" spans="30:30" ht="14" thickBot="1" x14ac:dyDescent="0.2">
      <c r="AD3721" s="98">
        <f t="shared" ref="AD3721:AD3784" si="265">AD3720+1</f>
        <v>48644</v>
      </c>
    </row>
    <row r="3722" spans="30:30" ht="14" thickBot="1" x14ac:dyDescent="0.2">
      <c r="AD3722" s="98">
        <f t="shared" si="265"/>
        <v>48645</v>
      </c>
    </row>
    <row r="3723" spans="30:30" ht="14" thickBot="1" x14ac:dyDescent="0.2">
      <c r="AD3723" s="98">
        <f t="shared" si="265"/>
        <v>48646</v>
      </c>
    </row>
    <row r="3724" spans="30:30" ht="14" thickBot="1" x14ac:dyDescent="0.2">
      <c r="AD3724" s="98">
        <f t="shared" si="265"/>
        <v>48647</v>
      </c>
    </row>
    <row r="3725" spans="30:30" ht="14" thickBot="1" x14ac:dyDescent="0.2">
      <c r="AD3725" s="98">
        <f t="shared" si="265"/>
        <v>48648</v>
      </c>
    </row>
    <row r="3726" spans="30:30" ht="14" thickBot="1" x14ac:dyDescent="0.2">
      <c r="AD3726" s="98">
        <f t="shared" si="265"/>
        <v>48649</v>
      </c>
    </row>
    <row r="3727" spans="30:30" ht="14" thickBot="1" x14ac:dyDescent="0.2">
      <c r="AD3727" s="98">
        <f t="shared" si="265"/>
        <v>48650</v>
      </c>
    </row>
    <row r="3728" spans="30:30" ht="14" thickBot="1" x14ac:dyDescent="0.2">
      <c r="AD3728" s="98">
        <f t="shared" si="265"/>
        <v>48651</v>
      </c>
    </row>
    <row r="3729" spans="30:30" ht="14" thickBot="1" x14ac:dyDescent="0.2">
      <c r="AD3729" s="98">
        <f t="shared" si="265"/>
        <v>48652</v>
      </c>
    </row>
    <row r="3730" spans="30:30" ht="14" thickBot="1" x14ac:dyDescent="0.2">
      <c r="AD3730" s="98">
        <f t="shared" si="265"/>
        <v>48653</v>
      </c>
    </row>
    <row r="3731" spans="30:30" ht="14" thickBot="1" x14ac:dyDescent="0.2">
      <c r="AD3731" s="98">
        <f t="shared" si="265"/>
        <v>48654</v>
      </c>
    </row>
    <row r="3732" spans="30:30" ht="14" thickBot="1" x14ac:dyDescent="0.2">
      <c r="AD3732" s="98">
        <f t="shared" si="265"/>
        <v>48655</v>
      </c>
    </row>
    <row r="3733" spans="30:30" ht="14" thickBot="1" x14ac:dyDescent="0.2">
      <c r="AD3733" s="98">
        <f t="shared" si="265"/>
        <v>48656</v>
      </c>
    </row>
    <row r="3734" spans="30:30" ht="14" thickBot="1" x14ac:dyDescent="0.2">
      <c r="AD3734" s="98">
        <f t="shared" si="265"/>
        <v>48657</v>
      </c>
    </row>
    <row r="3735" spans="30:30" ht="14" thickBot="1" x14ac:dyDescent="0.2">
      <c r="AD3735" s="98">
        <f t="shared" si="265"/>
        <v>48658</v>
      </c>
    </row>
    <row r="3736" spans="30:30" ht="14" thickBot="1" x14ac:dyDescent="0.2">
      <c r="AD3736" s="98">
        <f t="shared" si="265"/>
        <v>48659</v>
      </c>
    </row>
    <row r="3737" spans="30:30" ht="14" thickBot="1" x14ac:dyDescent="0.2">
      <c r="AD3737" s="98">
        <f t="shared" si="265"/>
        <v>48660</v>
      </c>
    </row>
    <row r="3738" spans="30:30" ht="14" thickBot="1" x14ac:dyDescent="0.2">
      <c r="AD3738" s="98">
        <f t="shared" si="265"/>
        <v>48661</v>
      </c>
    </row>
    <row r="3739" spans="30:30" ht="14" thickBot="1" x14ac:dyDescent="0.2">
      <c r="AD3739" s="98">
        <f t="shared" si="265"/>
        <v>48662</v>
      </c>
    </row>
    <row r="3740" spans="30:30" ht="14" thickBot="1" x14ac:dyDescent="0.2">
      <c r="AD3740" s="98">
        <f t="shared" si="265"/>
        <v>48663</v>
      </c>
    </row>
    <row r="3741" spans="30:30" ht="14" thickBot="1" x14ac:dyDescent="0.2">
      <c r="AD3741" s="98">
        <f t="shared" si="265"/>
        <v>48664</v>
      </c>
    </row>
    <row r="3742" spans="30:30" ht="14" thickBot="1" x14ac:dyDescent="0.2">
      <c r="AD3742" s="98">
        <f t="shared" si="265"/>
        <v>48665</v>
      </c>
    </row>
    <row r="3743" spans="30:30" ht="14" thickBot="1" x14ac:dyDescent="0.2">
      <c r="AD3743" s="98">
        <f t="shared" si="265"/>
        <v>48666</v>
      </c>
    </row>
    <row r="3744" spans="30:30" ht="14" thickBot="1" x14ac:dyDescent="0.2">
      <c r="AD3744" s="98">
        <f t="shared" si="265"/>
        <v>48667</v>
      </c>
    </row>
    <row r="3745" spans="30:30" ht="14" thickBot="1" x14ac:dyDescent="0.2">
      <c r="AD3745" s="98">
        <f t="shared" si="265"/>
        <v>48668</v>
      </c>
    </row>
    <row r="3746" spans="30:30" ht="14" thickBot="1" x14ac:dyDescent="0.2">
      <c r="AD3746" s="98">
        <f t="shared" si="265"/>
        <v>48669</v>
      </c>
    </row>
    <row r="3747" spans="30:30" ht="14" thickBot="1" x14ac:dyDescent="0.2">
      <c r="AD3747" s="98">
        <f t="shared" si="265"/>
        <v>48670</v>
      </c>
    </row>
    <row r="3748" spans="30:30" ht="14" thickBot="1" x14ac:dyDescent="0.2">
      <c r="AD3748" s="98">
        <f t="shared" si="265"/>
        <v>48671</v>
      </c>
    </row>
    <row r="3749" spans="30:30" ht="14" thickBot="1" x14ac:dyDescent="0.2">
      <c r="AD3749" s="98">
        <f t="shared" si="265"/>
        <v>48672</v>
      </c>
    </row>
    <row r="3750" spans="30:30" ht="14" thickBot="1" x14ac:dyDescent="0.2">
      <c r="AD3750" s="98">
        <f t="shared" si="265"/>
        <v>48673</v>
      </c>
    </row>
    <row r="3751" spans="30:30" ht="14" thickBot="1" x14ac:dyDescent="0.2">
      <c r="AD3751" s="98">
        <f t="shared" si="265"/>
        <v>48674</v>
      </c>
    </row>
    <row r="3752" spans="30:30" ht="14" thickBot="1" x14ac:dyDescent="0.2">
      <c r="AD3752" s="98">
        <f t="shared" si="265"/>
        <v>48675</v>
      </c>
    </row>
    <row r="3753" spans="30:30" ht="14" thickBot="1" x14ac:dyDescent="0.2">
      <c r="AD3753" s="98">
        <f t="shared" si="265"/>
        <v>48676</v>
      </c>
    </row>
    <row r="3754" spans="30:30" ht="14" thickBot="1" x14ac:dyDescent="0.2">
      <c r="AD3754" s="98">
        <f t="shared" si="265"/>
        <v>48677</v>
      </c>
    </row>
    <row r="3755" spans="30:30" ht="14" thickBot="1" x14ac:dyDescent="0.2">
      <c r="AD3755" s="98">
        <f t="shared" si="265"/>
        <v>48678</v>
      </c>
    </row>
    <row r="3756" spans="30:30" ht="14" thickBot="1" x14ac:dyDescent="0.2">
      <c r="AD3756" s="98">
        <f t="shared" si="265"/>
        <v>48679</v>
      </c>
    </row>
    <row r="3757" spans="30:30" ht="14" thickBot="1" x14ac:dyDescent="0.2">
      <c r="AD3757" s="98">
        <f t="shared" si="265"/>
        <v>48680</v>
      </c>
    </row>
    <row r="3758" spans="30:30" ht="14" thickBot="1" x14ac:dyDescent="0.2">
      <c r="AD3758" s="98">
        <f t="shared" si="265"/>
        <v>48681</v>
      </c>
    </row>
    <row r="3759" spans="30:30" ht="14" thickBot="1" x14ac:dyDescent="0.2">
      <c r="AD3759" s="98">
        <f t="shared" si="265"/>
        <v>48682</v>
      </c>
    </row>
    <row r="3760" spans="30:30" ht="14" thickBot="1" x14ac:dyDescent="0.2">
      <c r="AD3760" s="98">
        <f t="shared" si="265"/>
        <v>48683</v>
      </c>
    </row>
    <row r="3761" spans="30:30" ht="14" thickBot="1" x14ac:dyDescent="0.2">
      <c r="AD3761" s="98">
        <f t="shared" si="265"/>
        <v>48684</v>
      </c>
    </row>
    <row r="3762" spans="30:30" ht="14" thickBot="1" x14ac:dyDescent="0.2">
      <c r="AD3762" s="98">
        <f t="shared" si="265"/>
        <v>48685</v>
      </c>
    </row>
    <row r="3763" spans="30:30" ht="14" thickBot="1" x14ac:dyDescent="0.2">
      <c r="AD3763" s="98">
        <f t="shared" si="265"/>
        <v>48686</v>
      </c>
    </row>
    <row r="3764" spans="30:30" ht="14" thickBot="1" x14ac:dyDescent="0.2">
      <c r="AD3764" s="98">
        <f t="shared" si="265"/>
        <v>48687</v>
      </c>
    </row>
    <row r="3765" spans="30:30" ht="14" thickBot="1" x14ac:dyDescent="0.2">
      <c r="AD3765" s="98">
        <f t="shared" si="265"/>
        <v>48688</v>
      </c>
    </row>
    <row r="3766" spans="30:30" ht="14" thickBot="1" x14ac:dyDescent="0.2">
      <c r="AD3766" s="98">
        <f t="shared" si="265"/>
        <v>48689</v>
      </c>
    </row>
    <row r="3767" spans="30:30" ht="14" thickBot="1" x14ac:dyDescent="0.2">
      <c r="AD3767" s="98">
        <f t="shared" si="265"/>
        <v>48690</v>
      </c>
    </row>
    <row r="3768" spans="30:30" ht="14" thickBot="1" x14ac:dyDescent="0.2">
      <c r="AD3768" s="98">
        <f t="shared" si="265"/>
        <v>48691</v>
      </c>
    </row>
    <row r="3769" spans="30:30" ht="14" thickBot="1" x14ac:dyDescent="0.2">
      <c r="AD3769" s="98">
        <f t="shared" si="265"/>
        <v>48692</v>
      </c>
    </row>
    <row r="3770" spans="30:30" ht="14" thickBot="1" x14ac:dyDescent="0.2">
      <c r="AD3770" s="98">
        <f t="shared" si="265"/>
        <v>48693</v>
      </c>
    </row>
    <row r="3771" spans="30:30" ht="14" thickBot="1" x14ac:dyDescent="0.2">
      <c r="AD3771" s="98">
        <f t="shared" si="265"/>
        <v>48694</v>
      </c>
    </row>
    <row r="3772" spans="30:30" ht="14" thickBot="1" x14ac:dyDescent="0.2">
      <c r="AD3772" s="98">
        <f t="shared" si="265"/>
        <v>48695</v>
      </c>
    </row>
    <row r="3773" spans="30:30" ht="14" thickBot="1" x14ac:dyDescent="0.2">
      <c r="AD3773" s="98">
        <f t="shared" si="265"/>
        <v>48696</v>
      </c>
    </row>
    <row r="3774" spans="30:30" ht="14" thickBot="1" x14ac:dyDescent="0.2">
      <c r="AD3774" s="98">
        <f t="shared" si="265"/>
        <v>48697</v>
      </c>
    </row>
    <row r="3775" spans="30:30" ht="14" thickBot="1" x14ac:dyDescent="0.2">
      <c r="AD3775" s="98">
        <f t="shared" si="265"/>
        <v>48698</v>
      </c>
    </row>
    <row r="3776" spans="30:30" ht="14" thickBot="1" x14ac:dyDescent="0.2">
      <c r="AD3776" s="98">
        <f t="shared" si="265"/>
        <v>48699</v>
      </c>
    </row>
    <row r="3777" spans="30:30" ht="14" thickBot="1" x14ac:dyDescent="0.2">
      <c r="AD3777" s="98">
        <f t="shared" si="265"/>
        <v>48700</v>
      </c>
    </row>
    <row r="3778" spans="30:30" ht="14" thickBot="1" x14ac:dyDescent="0.2">
      <c r="AD3778" s="98">
        <f t="shared" si="265"/>
        <v>48701</v>
      </c>
    </row>
    <row r="3779" spans="30:30" ht="14" thickBot="1" x14ac:dyDescent="0.2">
      <c r="AD3779" s="98">
        <f t="shared" si="265"/>
        <v>48702</v>
      </c>
    </row>
    <row r="3780" spans="30:30" ht="14" thickBot="1" x14ac:dyDescent="0.2">
      <c r="AD3780" s="98">
        <f t="shared" si="265"/>
        <v>48703</v>
      </c>
    </row>
    <row r="3781" spans="30:30" ht="14" thickBot="1" x14ac:dyDescent="0.2">
      <c r="AD3781" s="98">
        <f t="shared" si="265"/>
        <v>48704</v>
      </c>
    </row>
    <row r="3782" spans="30:30" ht="14" thickBot="1" x14ac:dyDescent="0.2">
      <c r="AD3782" s="98">
        <f t="shared" si="265"/>
        <v>48705</v>
      </c>
    </row>
    <row r="3783" spans="30:30" ht="14" thickBot="1" x14ac:dyDescent="0.2">
      <c r="AD3783" s="98">
        <f t="shared" si="265"/>
        <v>48706</v>
      </c>
    </row>
    <row r="3784" spans="30:30" ht="14" thickBot="1" x14ac:dyDescent="0.2">
      <c r="AD3784" s="98">
        <f t="shared" si="265"/>
        <v>48707</v>
      </c>
    </row>
    <row r="3785" spans="30:30" ht="14" thickBot="1" x14ac:dyDescent="0.2">
      <c r="AD3785" s="98">
        <f t="shared" ref="AD3785:AD3848" si="266">AD3784+1</f>
        <v>48708</v>
      </c>
    </row>
    <row r="3786" spans="30:30" ht="14" thickBot="1" x14ac:dyDescent="0.2">
      <c r="AD3786" s="98">
        <f t="shared" si="266"/>
        <v>48709</v>
      </c>
    </row>
    <row r="3787" spans="30:30" ht="14" thickBot="1" x14ac:dyDescent="0.2">
      <c r="AD3787" s="98">
        <f t="shared" si="266"/>
        <v>48710</v>
      </c>
    </row>
    <row r="3788" spans="30:30" ht="14" thickBot="1" x14ac:dyDescent="0.2">
      <c r="AD3788" s="98">
        <f t="shared" si="266"/>
        <v>48711</v>
      </c>
    </row>
    <row r="3789" spans="30:30" ht="14" thickBot="1" x14ac:dyDescent="0.2">
      <c r="AD3789" s="98">
        <f t="shared" si="266"/>
        <v>48712</v>
      </c>
    </row>
    <row r="3790" spans="30:30" ht="14" thickBot="1" x14ac:dyDescent="0.2">
      <c r="AD3790" s="98">
        <f t="shared" si="266"/>
        <v>48713</v>
      </c>
    </row>
    <row r="3791" spans="30:30" ht="14" thickBot="1" x14ac:dyDescent="0.2">
      <c r="AD3791" s="98">
        <f t="shared" si="266"/>
        <v>48714</v>
      </c>
    </row>
    <row r="3792" spans="30:30" ht="14" thickBot="1" x14ac:dyDescent="0.2">
      <c r="AD3792" s="98">
        <f t="shared" si="266"/>
        <v>48715</v>
      </c>
    </row>
    <row r="3793" spans="30:30" ht="14" thickBot="1" x14ac:dyDescent="0.2">
      <c r="AD3793" s="98">
        <f t="shared" si="266"/>
        <v>48716</v>
      </c>
    </row>
    <row r="3794" spans="30:30" ht="14" thickBot="1" x14ac:dyDescent="0.2">
      <c r="AD3794" s="98">
        <f t="shared" si="266"/>
        <v>48717</v>
      </c>
    </row>
    <row r="3795" spans="30:30" ht="14" thickBot="1" x14ac:dyDescent="0.2">
      <c r="AD3795" s="98">
        <f t="shared" si="266"/>
        <v>48718</v>
      </c>
    </row>
    <row r="3796" spans="30:30" ht="14" thickBot="1" x14ac:dyDescent="0.2">
      <c r="AD3796" s="98">
        <f t="shared" si="266"/>
        <v>48719</v>
      </c>
    </row>
    <row r="3797" spans="30:30" ht="14" thickBot="1" x14ac:dyDescent="0.2">
      <c r="AD3797" s="98">
        <f t="shared" si="266"/>
        <v>48720</v>
      </c>
    </row>
    <row r="3798" spans="30:30" ht="14" thickBot="1" x14ac:dyDescent="0.2">
      <c r="AD3798" s="98">
        <f t="shared" si="266"/>
        <v>48721</v>
      </c>
    </row>
    <row r="3799" spans="30:30" ht="14" thickBot="1" x14ac:dyDescent="0.2">
      <c r="AD3799" s="98">
        <f t="shared" si="266"/>
        <v>48722</v>
      </c>
    </row>
    <row r="3800" spans="30:30" ht="14" thickBot="1" x14ac:dyDescent="0.2">
      <c r="AD3800" s="98">
        <f t="shared" si="266"/>
        <v>48723</v>
      </c>
    </row>
    <row r="3801" spans="30:30" ht="14" thickBot="1" x14ac:dyDescent="0.2">
      <c r="AD3801" s="98">
        <f t="shared" si="266"/>
        <v>48724</v>
      </c>
    </row>
    <row r="3802" spans="30:30" ht="14" thickBot="1" x14ac:dyDescent="0.2">
      <c r="AD3802" s="98">
        <f t="shared" si="266"/>
        <v>48725</v>
      </c>
    </row>
    <row r="3803" spans="30:30" ht="14" thickBot="1" x14ac:dyDescent="0.2">
      <c r="AD3803" s="98">
        <f t="shared" si="266"/>
        <v>48726</v>
      </c>
    </row>
    <row r="3804" spans="30:30" ht="14" thickBot="1" x14ac:dyDescent="0.2">
      <c r="AD3804" s="98">
        <f t="shared" si="266"/>
        <v>48727</v>
      </c>
    </row>
    <row r="3805" spans="30:30" ht="14" thickBot="1" x14ac:dyDescent="0.2">
      <c r="AD3805" s="98">
        <f t="shared" si="266"/>
        <v>48728</v>
      </c>
    </row>
    <row r="3806" spans="30:30" ht="14" thickBot="1" x14ac:dyDescent="0.2">
      <c r="AD3806" s="98">
        <f t="shared" si="266"/>
        <v>48729</v>
      </c>
    </row>
    <row r="3807" spans="30:30" ht="14" thickBot="1" x14ac:dyDescent="0.2">
      <c r="AD3807" s="98">
        <f t="shared" si="266"/>
        <v>48730</v>
      </c>
    </row>
    <row r="3808" spans="30:30" ht="14" thickBot="1" x14ac:dyDescent="0.2">
      <c r="AD3808" s="98">
        <f t="shared" si="266"/>
        <v>48731</v>
      </c>
    </row>
    <row r="3809" spans="30:30" ht="14" thickBot="1" x14ac:dyDescent="0.2">
      <c r="AD3809" s="98">
        <f t="shared" si="266"/>
        <v>48732</v>
      </c>
    </row>
    <row r="3810" spans="30:30" ht="14" thickBot="1" x14ac:dyDescent="0.2">
      <c r="AD3810" s="98">
        <f t="shared" si="266"/>
        <v>48733</v>
      </c>
    </row>
    <row r="3811" spans="30:30" ht="14" thickBot="1" x14ac:dyDescent="0.2">
      <c r="AD3811" s="98">
        <f t="shared" si="266"/>
        <v>48734</v>
      </c>
    </row>
    <row r="3812" spans="30:30" ht="14" thickBot="1" x14ac:dyDescent="0.2">
      <c r="AD3812" s="98">
        <f t="shared" si="266"/>
        <v>48735</v>
      </c>
    </row>
    <row r="3813" spans="30:30" ht="14" thickBot="1" x14ac:dyDescent="0.2">
      <c r="AD3813" s="98">
        <f t="shared" si="266"/>
        <v>48736</v>
      </c>
    </row>
    <row r="3814" spans="30:30" ht="14" thickBot="1" x14ac:dyDescent="0.2">
      <c r="AD3814" s="98">
        <f t="shared" si="266"/>
        <v>48737</v>
      </c>
    </row>
    <row r="3815" spans="30:30" ht="14" thickBot="1" x14ac:dyDescent="0.2">
      <c r="AD3815" s="98">
        <f t="shared" si="266"/>
        <v>48738</v>
      </c>
    </row>
    <row r="3816" spans="30:30" ht="14" thickBot="1" x14ac:dyDescent="0.2">
      <c r="AD3816" s="98">
        <f t="shared" si="266"/>
        <v>48739</v>
      </c>
    </row>
    <row r="3817" spans="30:30" ht="14" thickBot="1" x14ac:dyDescent="0.2">
      <c r="AD3817" s="98">
        <f t="shared" si="266"/>
        <v>48740</v>
      </c>
    </row>
    <row r="3818" spans="30:30" ht="14" thickBot="1" x14ac:dyDescent="0.2">
      <c r="AD3818" s="98">
        <f t="shared" si="266"/>
        <v>48741</v>
      </c>
    </row>
    <row r="3819" spans="30:30" ht="14" thickBot="1" x14ac:dyDescent="0.2">
      <c r="AD3819" s="98">
        <f t="shared" si="266"/>
        <v>48742</v>
      </c>
    </row>
    <row r="3820" spans="30:30" ht="14" thickBot="1" x14ac:dyDescent="0.2">
      <c r="AD3820" s="98">
        <f t="shared" si="266"/>
        <v>48743</v>
      </c>
    </row>
    <row r="3821" spans="30:30" ht="14" thickBot="1" x14ac:dyDescent="0.2">
      <c r="AD3821" s="98">
        <f t="shared" si="266"/>
        <v>48744</v>
      </c>
    </row>
    <row r="3822" spans="30:30" ht="14" thickBot="1" x14ac:dyDescent="0.2">
      <c r="AD3822" s="98">
        <f t="shared" si="266"/>
        <v>48745</v>
      </c>
    </row>
    <row r="3823" spans="30:30" ht="14" thickBot="1" x14ac:dyDescent="0.2">
      <c r="AD3823" s="98">
        <f t="shared" si="266"/>
        <v>48746</v>
      </c>
    </row>
    <row r="3824" spans="30:30" ht="14" thickBot="1" x14ac:dyDescent="0.2">
      <c r="AD3824" s="98">
        <f t="shared" si="266"/>
        <v>48747</v>
      </c>
    </row>
    <row r="3825" spans="30:30" ht="14" thickBot="1" x14ac:dyDescent="0.2">
      <c r="AD3825" s="98">
        <f t="shared" si="266"/>
        <v>48748</v>
      </c>
    </row>
    <row r="3826" spans="30:30" ht="14" thickBot="1" x14ac:dyDescent="0.2">
      <c r="AD3826" s="98">
        <f t="shared" si="266"/>
        <v>48749</v>
      </c>
    </row>
    <row r="3827" spans="30:30" ht="14" thickBot="1" x14ac:dyDescent="0.2">
      <c r="AD3827" s="98">
        <f t="shared" si="266"/>
        <v>48750</v>
      </c>
    </row>
    <row r="3828" spans="30:30" ht="14" thickBot="1" x14ac:dyDescent="0.2">
      <c r="AD3828" s="98">
        <f t="shared" si="266"/>
        <v>48751</v>
      </c>
    </row>
    <row r="3829" spans="30:30" ht="14" thickBot="1" x14ac:dyDescent="0.2">
      <c r="AD3829" s="98">
        <f t="shared" si="266"/>
        <v>48752</v>
      </c>
    </row>
    <row r="3830" spans="30:30" ht="14" thickBot="1" x14ac:dyDescent="0.2">
      <c r="AD3830" s="98">
        <f t="shared" si="266"/>
        <v>48753</v>
      </c>
    </row>
    <row r="3831" spans="30:30" ht="14" thickBot="1" x14ac:dyDescent="0.2">
      <c r="AD3831" s="98">
        <f t="shared" si="266"/>
        <v>48754</v>
      </c>
    </row>
    <row r="3832" spans="30:30" ht="14" thickBot="1" x14ac:dyDescent="0.2">
      <c r="AD3832" s="98">
        <f t="shared" si="266"/>
        <v>48755</v>
      </c>
    </row>
    <row r="3833" spans="30:30" ht="14" thickBot="1" x14ac:dyDescent="0.2">
      <c r="AD3833" s="98">
        <f t="shared" si="266"/>
        <v>48756</v>
      </c>
    </row>
    <row r="3834" spans="30:30" ht="14" thickBot="1" x14ac:dyDescent="0.2">
      <c r="AD3834" s="98">
        <f t="shared" si="266"/>
        <v>48757</v>
      </c>
    </row>
    <row r="3835" spans="30:30" ht="14" thickBot="1" x14ac:dyDescent="0.2">
      <c r="AD3835" s="98">
        <f t="shared" si="266"/>
        <v>48758</v>
      </c>
    </row>
    <row r="3836" spans="30:30" ht="14" thickBot="1" x14ac:dyDescent="0.2">
      <c r="AD3836" s="98">
        <f t="shared" si="266"/>
        <v>48759</v>
      </c>
    </row>
    <row r="3837" spans="30:30" ht="14" thickBot="1" x14ac:dyDescent="0.2">
      <c r="AD3837" s="98">
        <f t="shared" si="266"/>
        <v>48760</v>
      </c>
    </row>
    <row r="3838" spans="30:30" ht="14" thickBot="1" x14ac:dyDescent="0.2">
      <c r="AD3838" s="98">
        <f t="shared" si="266"/>
        <v>48761</v>
      </c>
    </row>
    <row r="3839" spans="30:30" ht="14" thickBot="1" x14ac:dyDescent="0.2">
      <c r="AD3839" s="98">
        <f t="shared" si="266"/>
        <v>48762</v>
      </c>
    </row>
    <row r="3840" spans="30:30" ht="14" thickBot="1" x14ac:dyDescent="0.2">
      <c r="AD3840" s="98">
        <f t="shared" si="266"/>
        <v>48763</v>
      </c>
    </row>
    <row r="3841" spans="30:30" ht="14" thickBot="1" x14ac:dyDescent="0.2">
      <c r="AD3841" s="98">
        <f t="shared" si="266"/>
        <v>48764</v>
      </c>
    </row>
    <row r="3842" spans="30:30" ht="14" thickBot="1" x14ac:dyDescent="0.2">
      <c r="AD3842" s="98">
        <f t="shared" si="266"/>
        <v>48765</v>
      </c>
    </row>
    <row r="3843" spans="30:30" ht="14" thickBot="1" x14ac:dyDescent="0.2">
      <c r="AD3843" s="98">
        <f t="shared" si="266"/>
        <v>48766</v>
      </c>
    </row>
    <row r="3844" spans="30:30" ht="14" thickBot="1" x14ac:dyDescent="0.2">
      <c r="AD3844" s="98">
        <f t="shared" si="266"/>
        <v>48767</v>
      </c>
    </row>
    <row r="3845" spans="30:30" ht="14" thickBot="1" x14ac:dyDescent="0.2">
      <c r="AD3845" s="98">
        <f t="shared" si="266"/>
        <v>48768</v>
      </c>
    </row>
    <row r="3846" spans="30:30" ht="14" thickBot="1" x14ac:dyDescent="0.2">
      <c r="AD3846" s="98">
        <f t="shared" si="266"/>
        <v>48769</v>
      </c>
    </row>
    <row r="3847" spans="30:30" ht="14" thickBot="1" x14ac:dyDescent="0.2">
      <c r="AD3847" s="98">
        <f t="shared" si="266"/>
        <v>48770</v>
      </c>
    </row>
    <row r="3848" spans="30:30" ht="14" thickBot="1" x14ac:dyDescent="0.2">
      <c r="AD3848" s="98">
        <f t="shared" si="266"/>
        <v>48771</v>
      </c>
    </row>
    <row r="3849" spans="30:30" ht="14" thickBot="1" x14ac:dyDescent="0.2">
      <c r="AD3849" s="98">
        <f t="shared" ref="AD3849:AD3912" si="267">AD3848+1</f>
        <v>48772</v>
      </c>
    </row>
    <row r="3850" spans="30:30" ht="14" thickBot="1" x14ac:dyDescent="0.2">
      <c r="AD3850" s="98">
        <f t="shared" si="267"/>
        <v>48773</v>
      </c>
    </row>
    <row r="3851" spans="30:30" ht="14" thickBot="1" x14ac:dyDescent="0.2">
      <c r="AD3851" s="98">
        <f t="shared" si="267"/>
        <v>48774</v>
      </c>
    </row>
    <row r="3852" spans="30:30" ht="14" thickBot="1" x14ac:dyDescent="0.2">
      <c r="AD3852" s="98">
        <f t="shared" si="267"/>
        <v>48775</v>
      </c>
    </row>
    <row r="3853" spans="30:30" ht="14" thickBot="1" x14ac:dyDescent="0.2">
      <c r="AD3853" s="98">
        <f t="shared" si="267"/>
        <v>48776</v>
      </c>
    </row>
    <row r="3854" spans="30:30" ht="14" thickBot="1" x14ac:dyDescent="0.2">
      <c r="AD3854" s="98">
        <f t="shared" si="267"/>
        <v>48777</v>
      </c>
    </row>
    <row r="3855" spans="30:30" ht="14" thickBot="1" x14ac:dyDescent="0.2">
      <c r="AD3855" s="98">
        <f t="shared" si="267"/>
        <v>48778</v>
      </c>
    </row>
    <row r="3856" spans="30:30" ht="14" thickBot="1" x14ac:dyDescent="0.2">
      <c r="AD3856" s="98">
        <f t="shared" si="267"/>
        <v>48779</v>
      </c>
    </row>
    <row r="3857" spans="30:30" ht="14" thickBot="1" x14ac:dyDescent="0.2">
      <c r="AD3857" s="98">
        <f t="shared" si="267"/>
        <v>48780</v>
      </c>
    </row>
    <row r="3858" spans="30:30" ht="14" thickBot="1" x14ac:dyDescent="0.2">
      <c r="AD3858" s="98">
        <f t="shared" si="267"/>
        <v>48781</v>
      </c>
    </row>
    <row r="3859" spans="30:30" ht="14" thickBot="1" x14ac:dyDescent="0.2">
      <c r="AD3859" s="98">
        <f t="shared" si="267"/>
        <v>48782</v>
      </c>
    </row>
    <row r="3860" spans="30:30" ht="14" thickBot="1" x14ac:dyDescent="0.2">
      <c r="AD3860" s="98">
        <f t="shared" si="267"/>
        <v>48783</v>
      </c>
    </row>
    <row r="3861" spans="30:30" ht="14" thickBot="1" x14ac:dyDescent="0.2">
      <c r="AD3861" s="98">
        <f t="shared" si="267"/>
        <v>48784</v>
      </c>
    </row>
    <row r="3862" spans="30:30" ht="14" thickBot="1" x14ac:dyDescent="0.2">
      <c r="AD3862" s="98">
        <f t="shared" si="267"/>
        <v>48785</v>
      </c>
    </row>
    <row r="3863" spans="30:30" ht="14" thickBot="1" x14ac:dyDescent="0.2">
      <c r="AD3863" s="98">
        <f t="shared" si="267"/>
        <v>48786</v>
      </c>
    </row>
    <row r="3864" spans="30:30" ht="14" thickBot="1" x14ac:dyDescent="0.2">
      <c r="AD3864" s="98">
        <f t="shared" si="267"/>
        <v>48787</v>
      </c>
    </row>
    <row r="3865" spans="30:30" ht="14" thickBot="1" x14ac:dyDescent="0.2">
      <c r="AD3865" s="98">
        <f t="shared" si="267"/>
        <v>48788</v>
      </c>
    </row>
    <row r="3866" spans="30:30" ht="14" thickBot="1" x14ac:dyDescent="0.2">
      <c r="AD3866" s="98">
        <f t="shared" si="267"/>
        <v>48789</v>
      </c>
    </row>
    <row r="3867" spans="30:30" ht="14" thickBot="1" x14ac:dyDescent="0.2">
      <c r="AD3867" s="98">
        <f t="shared" si="267"/>
        <v>48790</v>
      </c>
    </row>
    <row r="3868" spans="30:30" ht="14" thickBot="1" x14ac:dyDescent="0.2">
      <c r="AD3868" s="98">
        <f t="shared" si="267"/>
        <v>48791</v>
      </c>
    </row>
    <row r="3869" spans="30:30" ht="14" thickBot="1" x14ac:dyDescent="0.2">
      <c r="AD3869" s="98">
        <f t="shared" si="267"/>
        <v>48792</v>
      </c>
    </row>
    <row r="3870" spans="30:30" ht="14" thickBot="1" x14ac:dyDescent="0.2">
      <c r="AD3870" s="98">
        <f t="shared" si="267"/>
        <v>48793</v>
      </c>
    </row>
    <row r="3871" spans="30:30" ht="14" thickBot="1" x14ac:dyDescent="0.2">
      <c r="AD3871" s="98">
        <f t="shared" si="267"/>
        <v>48794</v>
      </c>
    </row>
    <row r="3872" spans="30:30" ht="14" thickBot="1" x14ac:dyDescent="0.2">
      <c r="AD3872" s="98">
        <f t="shared" si="267"/>
        <v>48795</v>
      </c>
    </row>
    <row r="3873" spans="30:30" ht="14" thickBot="1" x14ac:dyDescent="0.2">
      <c r="AD3873" s="98">
        <f t="shared" si="267"/>
        <v>48796</v>
      </c>
    </row>
    <row r="3874" spans="30:30" ht="14" thickBot="1" x14ac:dyDescent="0.2">
      <c r="AD3874" s="98">
        <f t="shared" si="267"/>
        <v>48797</v>
      </c>
    </row>
    <row r="3875" spans="30:30" ht="14" thickBot="1" x14ac:dyDescent="0.2">
      <c r="AD3875" s="98">
        <f t="shared" si="267"/>
        <v>48798</v>
      </c>
    </row>
    <row r="3876" spans="30:30" ht="14" thickBot="1" x14ac:dyDescent="0.2">
      <c r="AD3876" s="98">
        <f t="shared" si="267"/>
        <v>48799</v>
      </c>
    </row>
    <row r="3877" spans="30:30" ht="14" thickBot="1" x14ac:dyDescent="0.2">
      <c r="AD3877" s="98">
        <f t="shared" si="267"/>
        <v>48800</v>
      </c>
    </row>
    <row r="3878" spans="30:30" ht="14" thickBot="1" x14ac:dyDescent="0.2">
      <c r="AD3878" s="98">
        <f t="shared" si="267"/>
        <v>48801</v>
      </c>
    </row>
    <row r="3879" spans="30:30" ht="14" thickBot="1" x14ac:dyDescent="0.2">
      <c r="AD3879" s="98">
        <f t="shared" si="267"/>
        <v>48802</v>
      </c>
    </row>
    <row r="3880" spans="30:30" ht="14" thickBot="1" x14ac:dyDescent="0.2">
      <c r="AD3880" s="98">
        <f t="shared" si="267"/>
        <v>48803</v>
      </c>
    </row>
    <row r="3881" spans="30:30" ht="14" thickBot="1" x14ac:dyDescent="0.2">
      <c r="AD3881" s="98">
        <f t="shared" si="267"/>
        <v>48804</v>
      </c>
    </row>
    <row r="3882" spans="30:30" ht="14" thickBot="1" x14ac:dyDescent="0.2">
      <c r="AD3882" s="98">
        <f t="shared" si="267"/>
        <v>48805</v>
      </c>
    </row>
    <row r="3883" spans="30:30" ht="14" thickBot="1" x14ac:dyDescent="0.2">
      <c r="AD3883" s="98">
        <f t="shared" si="267"/>
        <v>48806</v>
      </c>
    </row>
    <row r="3884" spans="30:30" ht="14" thickBot="1" x14ac:dyDescent="0.2">
      <c r="AD3884" s="98">
        <f t="shared" si="267"/>
        <v>48807</v>
      </c>
    </row>
    <row r="3885" spans="30:30" ht="14" thickBot="1" x14ac:dyDescent="0.2">
      <c r="AD3885" s="98">
        <f t="shared" si="267"/>
        <v>48808</v>
      </c>
    </row>
    <row r="3886" spans="30:30" ht="14" thickBot="1" x14ac:dyDescent="0.2">
      <c r="AD3886" s="98">
        <f t="shared" si="267"/>
        <v>48809</v>
      </c>
    </row>
    <row r="3887" spans="30:30" ht="14" thickBot="1" x14ac:dyDescent="0.2">
      <c r="AD3887" s="98">
        <f t="shared" si="267"/>
        <v>48810</v>
      </c>
    </row>
    <row r="3888" spans="30:30" ht="14" thickBot="1" x14ac:dyDescent="0.2">
      <c r="AD3888" s="98">
        <f t="shared" si="267"/>
        <v>48811</v>
      </c>
    </row>
    <row r="3889" spans="30:30" ht="14" thickBot="1" x14ac:dyDescent="0.2">
      <c r="AD3889" s="98">
        <f t="shared" si="267"/>
        <v>48812</v>
      </c>
    </row>
    <row r="3890" spans="30:30" ht="14" thickBot="1" x14ac:dyDescent="0.2">
      <c r="AD3890" s="98">
        <f t="shared" si="267"/>
        <v>48813</v>
      </c>
    </row>
    <row r="3891" spans="30:30" ht="14" thickBot="1" x14ac:dyDescent="0.2">
      <c r="AD3891" s="98">
        <f t="shared" si="267"/>
        <v>48814</v>
      </c>
    </row>
    <row r="3892" spans="30:30" ht="14" thickBot="1" x14ac:dyDescent="0.2">
      <c r="AD3892" s="98">
        <f t="shared" si="267"/>
        <v>48815</v>
      </c>
    </row>
    <row r="3893" spans="30:30" ht="14" thickBot="1" x14ac:dyDescent="0.2">
      <c r="AD3893" s="98">
        <f t="shared" si="267"/>
        <v>48816</v>
      </c>
    </row>
    <row r="3894" spans="30:30" ht="14" thickBot="1" x14ac:dyDescent="0.2">
      <c r="AD3894" s="98">
        <f t="shared" si="267"/>
        <v>48817</v>
      </c>
    </row>
    <row r="3895" spans="30:30" ht="14" thickBot="1" x14ac:dyDescent="0.2">
      <c r="AD3895" s="98">
        <f t="shared" si="267"/>
        <v>48818</v>
      </c>
    </row>
    <row r="3896" spans="30:30" ht="14" thickBot="1" x14ac:dyDescent="0.2">
      <c r="AD3896" s="98">
        <f t="shared" si="267"/>
        <v>48819</v>
      </c>
    </row>
    <row r="3897" spans="30:30" ht="14" thickBot="1" x14ac:dyDescent="0.2">
      <c r="AD3897" s="98">
        <f t="shared" si="267"/>
        <v>48820</v>
      </c>
    </row>
    <row r="3898" spans="30:30" ht="14" thickBot="1" x14ac:dyDescent="0.2">
      <c r="AD3898" s="98">
        <f t="shared" si="267"/>
        <v>48821</v>
      </c>
    </row>
    <row r="3899" spans="30:30" ht="14" thickBot="1" x14ac:dyDescent="0.2">
      <c r="AD3899" s="98">
        <f t="shared" si="267"/>
        <v>48822</v>
      </c>
    </row>
    <row r="3900" spans="30:30" ht="14" thickBot="1" x14ac:dyDescent="0.2">
      <c r="AD3900" s="98">
        <f t="shared" si="267"/>
        <v>48823</v>
      </c>
    </row>
    <row r="3901" spans="30:30" ht="14" thickBot="1" x14ac:dyDescent="0.2">
      <c r="AD3901" s="98">
        <f t="shared" si="267"/>
        <v>48824</v>
      </c>
    </row>
    <row r="3902" spans="30:30" ht="14" thickBot="1" x14ac:dyDescent="0.2">
      <c r="AD3902" s="98">
        <f t="shared" si="267"/>
        <v>48825</v>
      </c>
    </row>
    <row r="3903" spans="30:30" ht="14" thickBot="1" x14ac:dyDescent="0.2">
      <c r="AD3903" s="98">
        <f t="shared" si="267"/>
        <v>48826</v>
      </c>
    </row>
    <row r="3904" spans="30:30" ht="14" thickBot="1" x14ac:dyDescent="0.2">
      <c r="AD3904" s="98">
        <f t="shared" si="267"/>
        <v>48827</v>
      </c>
    </row>
    <row r="3905" spans="30:30" ht="14" thickBot="1" x14ac:dyDescent="0.2">
      <c r="AD3905" s="98">
        <f t="shared" si="267"/>
        <v>48828</v>
      </c>
    </row>
    <row r="3906" spans="30:30" ht="14" thickBot="1" x14ac:dyDescent="0.2">
      <c r="AD3906" s="98">
        <f t="shared" si="267"/>
        <v>48829</v>
      </c>
    </row>
    <row r="3907" spans="30:30" ht="14" thickBot="1" x14ac:dyDescent="0.2">
      <c r="AD3907" s="98">
        <f t="shared" si="267"/>
        <v>48830</v>
      </c>
    </row>
    <row r="3908" spans="30:30" ht="14" thickBot="1" x14ac:dyDescent="0.2">
      <c r="AD3908" s="98">
        <f t="shared" si="267"/>
        <v>48831</v>
      </c>
    </row>
    <row r="3909" spans="30:30" ht="14" thickBot="1" x14ac:dyDescent="0.2">
      <c r="AD3909" s="98">
        <f t="shared" si="267"/>
        <v>48832</v>
      </c>
    </row>
    <row r="3910" spans="30:30" ht="14" thickBot="1" x14ac:dyDescent="0.2">
      <c r="AD3910" s="98">
        <f t="shared" si="267"/>
        <v>48833</v>
      </c>
    </row>
    <row r="3911" spans="30:30" ht="14" thickBot="1" x14ac:dyDescent="0.2">
      <c r="AD3911" s="98">
        <f t="shared" si="267"/>
        <v>48834</v>
      </c>
    </row>
    <row r="3912" spans="30:30" ht="14" thickBot="1" x14ac:dyDescent="0.2">
      <c r="AD3912" s="98">
        <f t="shared" si="267"/>
        <v>48835</v>
      </c>
    </row>
    <row r="3913" spans="30:30" ht="14" thickBot="1" x14ac:dyDescent="0.2">
      <c r="AD3913" s="98">
        <f t="shared" ref="AD3913:AD3976" si="268">AD3912+1</f>
        <v>48836</v>
      </c>
    </row>
    <row r="3914" spans="30:30" ht="14" thickBot="1" x14ac:dyDescent="0.2">
      <c r="AD3914" s="98">
        <f t="shared" si="268"/>
        <v>48837</v>
      </c>
    </row>
    <row r="3915" spans="30:30" ht="14" thickBot="1" x14ac:dyDescent="0.2">
      <c r="AD3915" s="98">
        <f t="shared" si="268"/>
        <v>48838</v>
      </c>
    </row>
    <row r="3916" spans="30:30" ht="14" thickBot="1" x14ac:dyDescent="0.2">
      <c r="AD3916" s="98">
        <f t="shared" si="268"/>
        <v>48839</v>
      </c>
    </row>
    <row r="3917" spans="30:30" ht="14" thickBot="1" x14ac:dyDescent="0.2">
      <c r="AD3917" s="98">
        <f t="shared" si="268"/>
        <v>48840</v>
      </c>
    </row>
    <row r="3918" spans="30:30" ht="14" thickBot="1" x14ac:dyDescent="0.2">
      <c r="AD3918" s="98">
        <f t="shared" si="268"/>
        <v>48841</v>
      </c>
    </row>
    <row r="3919" spans="30:30" ht="14" thickBot="1" x14ac:dyDescent="0.2">
      <c r="AD3919" s="98">
        <f t="shared" si="268"/>
        <v>48842</v>
      </c>
    </row>
    <row r="3920" spans="30:30" ht="14" thickBot="1" x14ac:dyDescent="0.2">
      <c r="AD3920" s="98">
        <f t="shared" si="268"/>
        <v>48843</v>
      </c>
    </row>
    <row r="3921" spans="30:30" ht="14" thickBot="1" x14ac:dyDescent="0.2">
      <c r="AD3921" s="98">
        <f t="shared" si="268"/>
        <v>48844</v>
      </c>
    </row>
    <row r="3922" spans="30:30" ht="14" thickBot="1" x14ac:dyDescent="0.2">
      <c r="AD3922" s="98">
        <f t="shared" si="268"/>
        <v>48845</v>
      </c>
    </row>
    <row r="3923" spans="30:30" ht="14" thickBot="1" x14ac:dyDescent="0.2">
      <c r="AD3923" s="98">
        <f t="shared" si="268"/>
        <v>48846</v>
      </c>
    </row>
    <row r="3924" spans="30:30" ht="14" thickBot="1" x14ac:dyDescent="0.2">
      <c r="AD3924" s="98">
        <f t="shared" si="268"/>
        <v>48847</v>
      </c>
    </row>
    <row r="3925" spans="30:30" ht="14" thickBot="1" x14ac:dyDescent="0.2">
      <c r="AD3925" s="98">
        <f t="shared" si="268"/>
        <v>48848</v>
      </c>
    </row>
    <row r="3926" spans="30:30" ht="14" thickBot="1" x14ac:dyDescent="0.2">
      <c r="AD3926" s="98">
        <f t="shared" si="268"/>
        <v>48849</v>
      </c>
    </row>
    <row r="3927" spans="30:30" ht="14" thickBot="1" x14ac:dyDescent="0.2">
      <c r="AD3927" s="98">
        <f t="shared" si="268"/>
        <v>48850</v>
      </c>
    </row>
    <row r="3928" spans="30:30" ht="14" thickBot="1" x14ac:dyDescent="0.2">
      <c r="AD3928" s="98">
        <f t="shared" si="268"/>
        <v>48851</v>
      </c>
    </row>
    <row r="3929" spans="30:30" ht="14" thickBot="1" x14ac:dyDescent="0.2">
      <c r="AD3929" s="98">
        <f t="shared" si="268"/>
        <v>48852</v>
      </c>
    </row>
    <row r="3930" spans="30:30" ht="14" thickBot="1" x14ac:dyDescent="0.2">
      <c r="AD3930" s="98">
        <f t="shared" si="268"/>
        <v>48853</v>
      </c>
    </row>
    <row r="3931" spans="30:30" ht="14" thickBot="1" x14ac:dyDescent="0.2">
      <c r="AD3931" s="98">
        <f t="shared" si="268"/>
        <v>48854</v>
      </c>
    </row>
    <row r="3932" spans="30:30" ht="14" thickBot="1" x14ac:dyDescent="0.2">
      <c r="AD3932" s="98">
        <f t="shared" si="268"/>
        <v>48855</v>
      </c>
    </row>
    <row r="3933" spans="30:30" ht="14" thickBot="1" x14ac:dyDescent="0.2">
      <c r="AD3933" s="98">
        <f t="shared" si="268"/>
        <v>48856</v>
      </c>
    </row>
    <row r="3934" spans="30:30" ht="14" thickBot="1" x14ac:dyDescent="0.2">
      <c r="AD3934" s="98">
        <f t="shared" si="268"/>
        <v>48857</v>
      </c>
    </row>
    <row r="3935" spans="30:30" ht="14" thickBot="1" x14ac:dyDescent="0.2">
      <c r="AD3935" s="98">
        <f t="shared" si="268"/>
        <v>48858</v>
      </c>
    </row>
    <row r="3936" spans="30:30" ht="14" thickBot="1" x14ac:dyDescent="0.2">
      <c r="AD3936" s="98">
        <f t="shared" si="268"/>
        <v>48859</v>
      </c>
    </row>
    <row r="3937" spans="30:30" ht="14" thickBot="1" x14ac:dyDescent="0.2">
      <c r="AD3937" s="98">
        <f t="shared" si="268"/>
        <v>48860</v>
      </c>
    </row>
    <row r="3938" spans="30:30" ht="14" thickBot="1" x14ac:dyDescent="0.2">
      <c r="AD3938" s="98">
        <f t="shared" si="268"/>
        <v>48861</v>
      </c>
    </row>
    <row r="3939" spans="30:30" ht="14" thickBot="1" x14ac:dyDescent="0.2">
      <c r="AD3939" s="98">
        <f t="shared" si="268"/>
        <v>48862</v>
      </c>
    </row>
    <row r="3940" spans="30:30" ht="14" thickBot="1" x14ac:dyDescent="0.2">
      <c r="AD3940" s="98">
        <f t="shared" si="268"/>
        <v>48863</v>
      </c>
    </row>
    <row r="3941" spans="30:30" ht="14" thickBot="1" x14ac:dyDescent="0.2">
      <c r="AD3941" s="98">
        <f t="shared" si="268"/>
        <v>48864</v>
      </c>
    </row>
    <row r="3942" spans="30:30" ht="14" thickBot="1" x14ac:dyDescent="0.2">
      <c r="AD3942" s="98">
        <f t="shared" si="268"/>
        <v>48865</v>
      </c>
    </row>
    <row r="3943" spans="30:30" ht="14" thickBot="1" x14ac:dyDescent="0.2">
      <c r="AD3943" s="98">
        <f t="shared" si="268"/>
        <v>48866</v>
      </c>
    </row>
    <row r="3944" spans="30:30" ht="14" thickBot="1" x14ac:dyDescent="0.2">
      <c r="AD3944" s="98">
        <f t="shared" si="268"/>
        <v>48867</v>
      </c>
    </row>
    <row r="3945" spans="30:30" ht="14" thickBot="1" x14ac:dyDescent="0.2">
      <c r="AD3945" s="98">
        <f t="shared" si="268"/>
        <v>48868</v>
      </c>
    </row>
    <row r="3946" spans="30:30" ht="14" thickBot="1" x14ac:dyDescent="0.2">
      <c r="AD3946" s="98">
        <f t="shared" si="268"/>
        <v>48869</v>
      </c>
    </row>
    <row r="3947" spans="30:30" ht="14" thickBot="1" x14ac:dyDescent="0.2">
      <c r="AD3947" s="98">
        <f t="shared" si="268"/>
        <v>48870</v>
      </c>
    </row>
    <row r="3948" spans="30:30" ht="14" thickBot="1" x14ac:dyDescent="0.2">
      <c r="AD3948" s="98">
        <f t="shared" si="268"/>
        <v>48871</v>
      </c>
    </row>
    <row r="3949" spans="30:30" ht="14" thickBot="1" x14ac:dyDescent="0.2">
      <c r="AD3949" s="98">
        <f t="shared" si="268"/>
        <v>48872</v>
      </c>
    </row>
    <row r="3950" spans="30:30" ht="14" thickBot="1" x14ac:dyDescent="0.2">
      <c r="AD3950" s="98">
        <f t="shared" si="268"/>
        <v>48873</v>
      </c>
    </row>
    <row r="3951" spans="30:30" ht="14" thickBot="1" x14ac:dyDescent="0.2">
      <c r="AD3951" s="98">
        <f t="shared" si="268"/>
        <v>48874</v>
      </c>
    </row>
    <row r="3952" spans="30:30" ht="14" thickBot="1" x14ac:dyDescent="0.2">
      <c r="AD3952" s="98">
        <f t="shared" si="268"/>
        <v>48875</v>
      </c>
    </row>
    <row r="3953" spans="30:30" ht="14" thickBot="1" x14ac:dyDescent="0.2">
      <c r="AD3953" s="98">
        <f t="shared" si="268"/>
        <v>48876</v>
      </c>
    </row>
    <row r="3954" spans="30:30" ht="14" thickBot="1" x14ac:dyDescent="0.2">
      <c r="AD3954" s="98">
        <f t="shared" si="268"/>
        <v>48877</v>
      </c>
    </row>
    <row r="3955" spans="30:30" ht="14" thickBot="1" x14ac:dyDescent="0.2">
      <c r="AD3955" s="98">
        <f t="shared" si="268"/>
        <v>48878</v>
      </c>
    </row>
    <row r="3956" spans="30:30" ht="14" thickBot="1" x14ac:dyDescent="0.2">
      <c r="AD3956" s="98">
        <f t="shared" si="268"/>
        <v>48879</v>
      </c>
    </row>
    <row r="3957" spans="30:30" ht="14" thickBot="1" x14ac:dyDescent="0.2">
      <c r="AD3957" s="98">
        <f t="shared" si="268"/>
        <v>48880</v>
      </c>
    </row>
    <row r="3958" spans="30:30" ht="14" thickBot="1" x14ac:dyDescent="0.2">
      <c r="AD3958" s="98">
        <f t="shared" si="268"/>
        <v>48881</v>
      </c>
    </row>
    <row r="3959" spans="30:30" ht="14" thickBot="1" x14ac:dyDescent="0.2">
      <c r="AD3959" s="98">
        <f t="shared" si="268"/>
        <v>48882</v>
      </c>
    </row>
    <row r="3960" spans="30:30" ht="14" thickBot="1" x14ac:dyDescent="0.2">
      <c r="AD3960" s="98">
        <f t="shared" si="268"/>
        <v>48883</v>
      </c>
    </row>
    <row r="3961" spans="30:30" ht="14" thickBot="1" x14ac:dyDescent="0.2">
      <c r="AD3961" s="98">
        <f t="shared" si="268"/>
        <v>48884</v>
      </c>
    </row>
    <row r="3962" spans="30:30" ht="14" thickBot="1" x14ac:dyDescent="0.2">
      <c r="AD3962" s="98">
        <f t="shared" si="268"/>
        <v>48885</v>
      </c>
    </row>
    <row r="3963" spans="30:30" ht="14" thickBot="1" x14ac:dyDescent="0.2">
      <c r="AD3963" s="98">
        <f t="shared" si="268"/>
        <v>48886</v>
      </c>
    </row>
    <row r="3964" spans="30:30" ht="14" thickBot="1" x14ac:dyDescent="0.2">
      <c r="AD3964" s="98">
        <f t="shared" si="268"/>
        <v>48887</v>
      </c>
    </row>
    <row r="3965" spans="30:30" ht="14" thickBot="1" x14ac:dyDescent="0.2">
      <c r="AD3965" s="98">
        <f t="shared" si="268"/>
        <v>48888</v>
      </c>
    </row>
    <row r="3966" spans="30:30" ht="14" thickBot="1" x14ac:dyDescent="0.2">
      <c r="AD3966" s="98">
        <f t="shared" si="268"/>
        <v>48889</v>
      </c>
    </row>
    <row r="3967" spans="30:30" ht="14" thickBot="1" x14ac:dyDescent="0.2">
      <c r="AD3967" s="98">
        <f t="shared" si="268"/>
        <v>48890</v>
      </c>
    </row>
    <row r="3968" spans="30:30" ht="14" thickBot="1" x14ac:dyDescent="0.2">
      <c r="AD3968" s="98">
        <f t="shared" si="268"/>
        <v>48891</v>
      </c>
    </row>
    <row r="3969" spans="30:30" ht="14" thickBot="1" x14ac:dyDescent="0.2">
      <c r="AD3969" s="98">
        <f t="shared" si="268"/>
        <v>48892</v>
      </c>
    </row>
    <row r="3970" spans="30:30" ht="14" thickBot="1" x14ac:dyDescent="0.2">
      <c r="AD3970" s="98">
        <f t="shared" si="268"/>
        <v>48893</v>
      </c>
    </row>
    <row r="3971" spans="30:30" ht="14" thickBot="1" x14ac:dyDescent="0.2">
      <c r="AD3971" s="98">
        <f t="shared" si="268"/>
        <v>48894</v>
      </c>
    </row>
    <row r="3972" spans="30:30" ht="14" thickBot="1" x14ac:dyDescent="0.2">
      <c r="AD3972" s="98">
        <f t="shared" si="268"/>
        <v>48895</v>
      </c>
    </row>
    <row r="3973" spans="30:30" ht="14" thickBot="1" x14ac:dyDescent="0.2">
      <c r="AD3973" s="98">
        <f t="shared" si="268"/>
        <v>48896</v>
      </c>
    </row>
    <row r="3974" spans="30:30" ht="14" thickBot="1" x14ac:dyDescent="0.2">
      <c r="AD3974" s="98">
        <f t="shared" si="268"/>
        <v>48897</v>
      </c>
    </row>
    <row r="3975" spans="30:30" ht="14" thickBot="1" x14ac:dyDescent="0.2">
      <c r="AD3975" s="98">
        <f t="shared" si="268"/>
        <v>48898</v>
      </c>
    </row>
    <row r="3976" spans="30:30" ht="14" thickBot="1" x14ac:dyDescent="0.2">
      <c r="AD3976" s="98">
        <f t="shared" si="268"/>
        <v>48899</v>
      </c>
    </row>
    <row r="3977" spans="30:30" ht="14" thickBot="1" x14ac:dyDescent="0.2">
      <c r="AD3977" s="98">
        <f t="shared" ref="AD3977:AD4040" si="269">AD3976+1</f>
        <v>48900</v>
      </c>
    </row>
    <row r="3978" spans="30:30" ht="14" thickBot="1" x14ac:dyDescent="0.2">
      <c r="AD3978" s="98">
        <f t="shared" si="269"/>
        <v>48901</v>
      </c>
    </row>
    <row r="3979" spans="30:30" ht="14" thickBot="1" x14ac:dyDescent="0.2">
      <c r="AD3979" s="98">
        <f t="shared" si="269"/>
        <v>48902</v>
      </c>
    </row>
    <row r="3980" spans="30:30" ht="14" thickBot="1" x14ac:dyDescent="0.2">
      <c r="AD3980" s="98">
        <f t="shared" si="269"/>
        <v>48903</v>
      </c>
    </row>
    <row r="3981" spans="30:30" ht="14" thickBot="1" x14ac:dyDescent="0.2">
      <c r="AD3981" s="98">
        <f t="shared" si="269"/>
        <v>48904</v>
      </c>
    </row>
    <row r="3982" spans="30:30" ht="14" thickBot="1" x14ac:dyDescent="0.2">
      <c r="AD3982" s="98">
        <f t="shared" si="269"/>
        <v>48905</v>
      </c>
    </row>
    <row r="3983" spans="30:30" ht="14" thickBot="1" x14ac:dyDescent="0.2">
      <c r="AD3983" s="98">
        <f t="shared" si="269"/>
        <v>48906</v>
      </c>
    </row>
    <row r="3984" spans="30:30" ht="14" thickBot="1" x14ac:dyDescent="0.2">
      <c r="AD3984" s="98">
        <f t="shared" si="269"/>
        <v>48907</v>
      </c>
    </row>
    <row r="3985" spans="30:30" ht="14" thickBot="1" x14ac:dyDescent="0.2">
      <c r="AD3985" s="98">
        <f t="shared" si="269"/>
        <v>48908</v>
      </c>
    </row>
    <row r="3986" spans="30:30" ht="14" thickBot="1" x14ac:dyDescent="0.2">
      <c r="AD3986" s="98">
        <f t="shared" si="269"/>
        <v>48909</v>
      </c>
    </row>
    <row r="3987" spans="30:30" ht="14" thickBot="1" x14ac:dyDescent="0.2">
      <c r="AD3987" s="98">
        <f t="shared" si="269"/>
        <v>48910</v>
      </c>
    </row>
    <row r="3988" spans="30:30" ht="14" thickBot="1" x14ac:dyDescent="0.2">
      <c r="AD3988" s="98">
        <f t="shared" si="269"/>
        <v>48911</v>
      </c>
    </row>
    <row r="3989" spans="30:30" ht="14" thickBot="1" x14ac:dyDescent="0.2">
      <c r="AD3989" s="98">
        <f t="shared" si="269"/>
        <v>48912</v>
      </c>
    </row>
    <row r="3990" spans="30:30" ht="14" thickBot="1" x14ac:dyDescent="0.2">
      <c r="AD3990" s="98">
        <f t="shared" si="269"/>
        <v>48913</v>
      </c>
    </row>
    <row r="3991" spans="30:30" ht="14" thickBot="1" x14ac:dyDescent="0.2">
      <c r="AD3991" s="98">
        <f t="shared" si="269"/>
        <v>48914</v>
      </c>
    </row>
    <row r="3992" spans="30:30" ht="14" thickBot="1" x14ac:dyDescent="0.2">
      <c r="AD3992" s="98">
        <f t="shared" si="269"/>
        <v>48915</v>
      </c>
    </row>
    <row r="3993" spans="30:30" ht="14" thickBot="1" x14ac:dyDescent="0.2">
      <c r="AD3993" s="98">
        <f t="shared" si="269"/>
        <v>48916</v>
      </c>
    </row>
    <row r="3994" spans="30:30" ht="14" thickBot="1" x14ac:dyDescent="0.2">
      <c r="AD3994" s="98">
        <f t="shared" si="269"/>
        <v>48917</v>
      </c>
    </row>
    <row r="3995" spans="30:30" ht="14" thickBot="1" x14ac:dyDescent="0.2">
      <c r="AD3995" s="98">
        <f t="shared" si="269"/>
        <v>48918</v>
      </c>
    </row>
    <row r="3996" spans="30:30" ht="14" thickBot="1" x14ac:dyDescent="0.2">
      <c r="AD3996" s="98">
        <f t="shared" si="269"/>
        <v>48919</v>
      </c>
    </row>
    <row r="3997" spans="30:30" ht="14" thickBot="1" x14ac:dyDescent="0.2">
      <c r="AD3997" s="98">
        <f t="shared" si="269"/>
        <v>48920</v>
      </c>
    </row>
    <row r="3998" spans="30:30" ht="14" thickBot="1" x14ac:dyDescent="0.2">
      <c r="AD3998" s="98">
        <f t="shared" si="269"/>
        <v>48921</v>
      </c>
    </row>
    <row r="3999" spans="30:30" ht="14" thickBot="1" x14ac:dyDescent="0.2">
      <c r="AD3999" s="98">
        <f t="shared" si="269"/>
        <v>48922</v>
      </c>
    </row>
    <row r="4000" spans="30:30" ht="14" thickBot="1" x14ac:dyDescent="0.2">
      <c r="AD4000" s="98">
        <f t="shared" si="269"/>
        <v>48923</v>
      </c>
    </row>
    <row r="4001" spans="30:30" ht="14" thickBot="1" x14ac:dyDescent="0.2">
      <c r="AD4001" s="98">
        <f t="shared" si="269"/>
        <v>48924</v>
      </c>
    </row>
    <row r="4002" spans="30:30" ht="14" thickBot="1" x14ac:dyDescent="0.2">
      <c r="AD4002" s="98">
        <f t="shared" si="269"/>
        <v>48925</v>
      </c>
    </row>
    <row r="4003" spans="30:30" ht="14" thickBot="1" x14ac:dyDescent="0.2">
      <c r="AD4003" s="98">
        <f t="shared" si="269"/>
        <v>48926</v>
      </c>
    </row>
    <row r="4004" spans="30:30" ht="14" thickBot="1" x14ac:dyDescent="0.2">
      <c r="AD4004" s="98">
        <f t="shared" si="269"/>
        <v>48927</v>
      </c>
    </row>
    <row r="4005" spans="30:30" ht="14" thickBot="1" x14ac:dyDescent="0.2">
      <c r="AD4005" s="98">
        <f t="shared" si="269"/>
        <v>48928</v>
      </c>
    </row>
    <row r="4006" spans="30:30" ht="14" thickBot="1" x14ac:dyDescent="0.2">
      <c r="AD4006" s="98">
        <f t="shared" si="269"/>
        <v>48929</v>
      </c>
    </row>
    <row r="4007" spans="30:30" ht="14" thickBot="1" x14ac:dyDescent="0.2">
      <c r="AD4007" s="98">
        <f t="shared" si="269"/>
        <v>48930</v>
      </c>
    </row>
    <row r="4008" spans="30:30" ht="14" thickBot="1" x14ac:dyDescent="0.2">
      <c r="AD4008" s="98">
        <f t="shared" si="269"/>
        <v>48931</v>
      </c>
    </row>
    <row r="4009" spans="30:30" ht="14" thickBot="1" x14ac:dyDescent="0.2">
      <c r="AD4009" s="98">
        <f t="shared" si="269"/>
        <v>48932</v>
      </c>
    </row>
    <row r="4010" spans="30:30" ht="14" thickBot="1" x14ac:dyDescent="0.2">
      <c r="AD4010" s="98">
        <f t="shared" si="269"/>
        <v>48933</v>
      </c>
    </row>
    <row r="4011" spans="30:30" ht="14" thickBot="1" x14ac:dyDescent="0.2">
      <c r="AD4011" s="98">
        <f t="shared" si="269"/>
        <v>48934</v>
      </c>
    </row>
    <row r="4012" spans="30:30" ht="14" thickBot="1" x14ac:dyDescent="0.2">
      <c r="AD4012" s="98">
        <f t="shared" si="269"/>
        <v>48935</v>
      </c>
    </row>
    <row r="4013" spans="30:30" ht="14" thickBot="1" x14ac:dyDescent="0.2">
      <c r="AD4013" s="98">
        <f t="shared" si="269"/>
        <v>48936</v>
      </c>
    </row>
    <row r="4014" spans="30:30" ht="14" thickBot="1" x14ac:dyDescent="0.2">
      <c r="AD4014" s="98">
        <f t="shared" si="269"/>
        <v>48937</v>
      </c>
    </row>
    <row r="4015" spans="30:30" ht="14" thickBot="1" x14ac:dyDescent="0.2">
      <c r="AD4015" s="98">
        <f t="shared" si="269"/>
        <v>48938</v>
      </c>
    </row>
    <row r="4016" spans="30:30" ht="14" thickBot="1" x14ac:dyDescent="0.2">
      <c r="AD4016" s="98">
        <f t="shared" si="269"/>
        <v>48939</v>
      </c>
    </row>
    <row r="4017" spans="30:30" ht="14" thickBot="1" x14ac:dyDescent="0.2">
      <c r="AD4017" s="98">
        <f t="shared" si="269"/>
        <v>48940</v>
      </c>
    </row>
    <row r="4018" spans="30:30" ht="14" thickBot="1" x14ac:dyDescent="0.2">
      <c r="AD4018" s="98">
        <f t="shared" si="269"/>
        <v>48941</v>
      </c>
    </row>
    <row r="4019" spans="30:30" ht="14" thickBot="1" x14ac:dyDescent="0.2">
      <c r="AD4019" s="98">
        <f t="shared" si="269"/>
        <v>48942</v>
      </c>
    </row>
    <row r="4020" spans="30:30" ht="14" thickBot="1" x14ac:dyDescent="0.2">
      <c r="AD4020" s="98">
        <f t="shared" si="269"/>
        <v>48943</v>
      </c>
    </row>
    <row r="4021" spans="30:30" ht="14" thickBot="1" x14ac:dyDescent="0.2">
      <c r="AD4021" s="98">
        <f t="shared" si="269"/>
        <v>48944</v>
      </c>
    </row>
    <row r="4022" spans="30:30" ht="14" thickBot="1" x14ac:dyDescent="0.2">
      <c r="AD4022" s="98">
        <f t="shared" si="269"/>
        <v>48945</v>
      </c>
    </row>
    <row r="4023" spans="30:30" ht="14" thickBot="1" x14ac:dyDescent="0.2">
      <c r="AD4023" s="98">
        <f t="shared" si="269"/>
        <v>48946</v>
      </c>
    </row>
    <row r="4024" spans="30:30" ht="14" thickBot="1" x14ac:dyDescent="0.2">
      <c r="AD4024" s="98">
        <f t="shared" si="269"/>
        <v>48947</v>
      </c>
    </row>
    <row r="4025" spans="30:30" ht="14" thickBot="1" x14ac:dyDescent="0.2">
      <c r="AD4025" s="98">
        <f t="shared" si="269"/>
        <v>48948</v>
      </c>
    </row>
    <row r="4026" spans="30:30" ht="14" thickBot="1" x14ac:dyDescent="0.2">
      <c r="AD4026" s="98">
        <f t="shared" si="269"/>
        <v>48949</v>
      </c>
    </row>
    <row r="4027" spans="30:30" ht="14" thickBot="1" x14ac:dyDescent="0.2">
      <c r="AD4027" s="98">
        <f t="shared" si="269"/>
        <v>48950</v>
      </c>
    </row>
    <row r="4028" spans="30:30" ht="14" thickBot="1" x14ac:dyDescent="0.2">
      <c r="AD4028" s="98">
        <f t="shared" si="269"/>
        <v>48951</v>
      </c>
    </row>
    <row r="4029" spans="30:30" ht="14" thickBot="1" x14ac:dyDescent="0.2">
      <c r="AD4029" s="98">
        <f t="shared" si="269"/>
        <v>48952</v>
      </c>
    </row>
    <row r="4030" spans="30:30" ht="14" thickBot="1" x14ac:dyDescent="0.2">
      <c r="AD4030" s="98">
        <f t="shared" si="269"/>
        <v>48953</v>
      </c>
    </row>
    <row r="4031" spans="30:30" ht="14" thickBot="1" x14ac:dyDescent="0.2">
      <c r="AD4031" s="98">
        <f t="shared" si="269"/>
        <v>48954</v>
      </c>
    </row>
    <row r="4032" spans="30:30" ht="14" thickBot="1" x14ac:dyDescent="0.2">
      <c r="AD4032" s="98">
        <f t="shared" si="269"/>
        <v>48955</v>
      </c>
    </row>
    <row r="4033" spans="30:30" ht="14" thickBot="1" x14ac:dyDescent="0.2">
      <c r="AD4033" s="98">
        <f t="shared" si="269"/>
        <v>48956</v>
      </c>
    </row>
    <row r="4034" spans="30:30" ht="14" thickBot="1" x14ac:dyDescent="0.2">
      <c r="AD4034" s="98">
        <f t="shared" si="269"/>
        <v>48957</v>
      </c>
    </row>
    <row r="4035" spans="30:30" ht="14" thickBot="1" x14ac:dyDescent="0.2">
      <c r="AD4035" s="98">
        <f t="shared" si="269"/>
        <v>48958</v>
      </c>
    </row>
    <row r="4036" spans="30:30" ht="14" thickBot="1" x14ac:dyDescent="0.2">
      <c r="AD4036" s="98">
        <f t="shared" si="269"/>
        <v>48959</v>
      </c>
    </row>
    <row r="4037" spans="30:30" ht="14" thickBot="1" x14ac:dyDescent="0.2">
      <c r="AD4037" s="98">
        <f t="shared" si="269"/>
        <v>48960</v>
      </c>
    </row>
    <row r="4038" spans="30:30" ht="14" thickBot="1" x14ac:dyDescent="0.2">
      <c r="AD4038" s="98">
        <f t="shared" si="269"/>
        <v>48961</v>
      </c>
    </row>
    <row r="4039" spans="30:30" ht="14" thickBot="1" x14ac:dyDescent="0.2">
      <c r="AD4039" s="98">
        <f t="shared" si="269"/>
        <v>48962</v>
      </c>
    </row>
    <row r="4040" spans="30:30" ht="14" thickBot="1" x14ac:dyDescent="0.2">
      <c r="AD4040" s="98">
        <f t="shared" si="269"/>
        <v>48963</v>
      </c>
    </row>
    <row r="4041" spans="30:30" ht="14" thickBot="1" x14ac:dyDescent="0.2">
      <c r="AD4041" s="98">
        <f t="shared" ref="AD4041:AD4104" si="270">AD4040+1</f>
        <v>48964</v>
      </c>
    </row>
    <row r="4042" spans="30:30" ht="14" thickBot="1" x14ac:dyDescent="0.2">
      <c r="AD4042" s="98">
        <f t="shared" si="270"/>
        <v>48965</v>
      </c>
    </row>
    <row r="4043" spans="30:30" ht="14" thickBot="1" x14ac:dyDescent="0.2">
      <c r="AD4043" s="98">
        <f t="shared" si="270"/>
        <v>48966</v>
      </c>
    </row>
    <row r="4044" spans="30:30" ht="14" thickBot="1" x14ac:dyDescent="0.2">
      <c r="AD4044" s="98">
        <f t="shared" si="270"/>
        <v>48967</v>
      </c>
    </row>
    <row r="4045" spans="30:30" ht="14" thickBot="1" x14ac:dyDescent="0.2">
      <c r="AD4045" s="98">
        <f t="shared" si="270"/>
        <v>48968</v>
      </c>
    </row>
    <row r="4046" spans="30:30" ht="14" thickBot="1" x14ac:dyDescent="0.2">
      <c r="AD4046" s="98">
        <f t="shared" si="270"/>
        <v>48969</v>
      </c>
    </row>
    <row r="4047" spans="30:30" ht="14" thickBot="1" x14ac:dyDescent="0.2">
      <c r="AD4047" s="98">
        <f t="shared" si="270"/>
        <v>48970</v>
      </c>
    </row>
    <row r="4048" spans="30:30" ht="14" thickBot="1" x14ac:dyDescent="0.2">
      <c r="AD4048" s="98">
        <f t="shared" si="270"/>
        <v>48971</v>
      </c>
    </row>
    <row r="4049" spans="30:30" ht="14" thickBot="1" x14ac:dyDescent="0.2">
      <c r="AD4049" s="98">
        <f t="shared" si="270"/>
        <v>48972</v>
      </c>
    </row>
    <row r="4050" spans="30:30" ht="14" thickBot="1" x14ac:dyDescent="0.2">
      <c r="AD4050" s="98">
        <f t="shared" si="270"/>
        <v>48973</v>
      </c>
    </row>
    <row r="4051" spans="30:30" ht="14" thickBot="1" x14ac:dyDescent="0.2">
      <c r="AD4051" s="98">
        <f t="shared" si="270"/>
        <v>48974</v>
      </c>
    </row>
    <row r="4052" spans="30:30" ht="14" thickBot="1" x14ac:dyDescent="0.2">
      <c r="AD4052" s="98">
        <f t="shared" si="270"/>
        <v>48975</v>
      </c>
    </row>
    <row r="4053" spans="30:30" ht="14" thickBot="1" x14ac:dyDescent="0.2">
      <c r="AD4053" s="98">
        <f t="shared" si="270"/>
        <v>48976</v>
      </c>
    </row>
    <row r="4054" spans="30:30" ht="14" thickBot="1" x14ac:dyDescent="0.2">
      <c r="AD4054" s="98">
        <f t="shared" si="270"/>
        <v>48977</v>
      </c>
    </row>
    <row r="4055" spans="30:30" ht="14" thickBot="1" x14ac:dyDescent="0.2">
      <c r="AD4055" s="98">
        <f t="shared" si="270"/>
        <v>48978</v>
      </c>
    </row>
    <row r="4056" spans="30:30" ht="14" thickBot="1" x14ac:dyDescent="0.2">
      <c r="AD4056" s="98">
        <f t="shared" si="270"/>
        <v>48979</v>
      </c>
    </row>
    <row r="4057" spans="30:30" ht="14" thickBot="1" x14ac:dyDescent="0.2">
      <c r="AD4057" s="98">
        <f t="shared" si="270"/>
        <v>48980</v>
      </c>
    </row>
    <row r="4058" spans="30:30" ht="14" thickBot="1" x14ac:dyDescent="0.2">
      <c r="AD4058" s="98">
        <f t="shared" si="270"/>
        <v>48981</v>
      </c>
    </row>
    <row r="4059" spans="30:30" ht="14" thickBot="1" x14ac:dyDescent="0.2">
      <c r="AD4059" s="98">
        <f t="shared" si="270"/>
        <v>48982</v>
      </c>
    </row>
    <row r="4060" spans="30:30" ht="14" thickBot="1" x14ac:dyDescent="0.2">
      <c r="AD4060" s="98">
        <f t="shared" si="270"/>
        <v>48983</v>
      </c>
    </row>
    <row r="4061" spans="30:30" ht="14" thickBot="1" x14ac:dyDescent="0.2">
      <c r="AD4061" s="98">
        <f t="shared" si="270"/>
        <v>48984</v>
      </c>
    </row>
    <row r="4062" spans="30:30" ht="14" thickBot="1" x14ac:dyDescent="0.2">
      <c r="AD4062" s="98">
        <f t="shared" si="270"/>
        <v>48985</v>
      </c>
    </row>
    <row r="4063" spans="30:30" ht="14" thickBot="1" x14ac:dyDescent="0.2">
      <c r="AD4063" s="98">
        <f t="shared" si="270"/>
        <v>48986</v>
      </c>
    </row>
    <row r="4064" spans="30:30" ht="14" thickBot="1" x14ac:dyDescent="0.2">
      <c r="AD4064" s="98">
        <f t="shared" si="270"/>
        <v>48987</v>
      </c>
    </row>
    <row r="4065" spans="30:30" ht="14" thickBot="1" x14ac:dyDescent="0.2">
      <c r="AD4065" s="98">
        <f t="shared" si="270"/>
        <v>48988</v>
      </c>
    </row>
    <row r="4066" spans="30:30" ht="14" thickBot="1" x14ac:dyDescent="0.2">
      <c r="AD4066" s="98">
        <f t="shared" si="270"/>
        <v>48989</v>
      </c>
    </row>
    <row r="4067" spans="30:30" ht="14" thickBot="1" x14ac:dyDescent="0.2">
      <c r="AD4067" s="98">
        <f t="shared" si="270"/>
        <v>48990</v>
      </c>
    </row>
    <row r="4068" spans="30:30" ht="14" thickBot="1" x14ac:dyDescent="0.2">
      <c r="AD4068" s="98">
        <f t="shared" si="270"/>
        <v>48991</v>
      </c>
    </row>
    <row r="4069" spans="30:30" ht="14" thickBot="1" x14ac:dyDescent="0.2">
      <c r="AD4069" s="98">
        <f t="shared" si="270"/>
        <v>48992</v>
      </c>
    </row>
    <row r="4070" spans="30:30" ht="14" thickBot="1" x14ac:dyDescent="0.2">
      <c r="AD4070" s="98">
        <f t="shared" si="270"/>
        <v>48993</v>
      </c>
    </row>
    <row r="4071" spans="30:30" ht="14" thickBot="1" x14ac:dyDescent="0.2">
      <c r="AD4071" s="98">
        <f t="shared" si="270"/>
        <v>48994</v>
      </c>
    </row>
    <row r="4072" spans="30:30" ht="14" thickBot="1" x14ac:dyDescent="0.2">
      <c r="AD4072" s="98">
        <f t="shared" si="270"/>
        <v>48995</v>
      </c>
    </row>
    <row r="4073" spans="30:30" ht="14" thickBot="1" x14ac:dyDescent="0.2">
      <c r="AD4073" s="98">
        <f t="shared" si="270"/>
        <v>48996</v>
      </c>
    </row>
    <row r="4074" spans="30:30" ht="14" thickBot="1" x14ac:dyDescent="0.2">
      <c r="AD4074" s="98">
        <f t="shared" si="270"/>
        <v>48997</v>
      </c>
    </row>
    <row r="4075" spans="30:30" ht="14" thickBot="1" x14ac:dyDescent="0.2">
      <c r="AD4075" s="98">
        <f t="shared" si="270"/>
        <v>48998</v>
      </c>
    </row>
    <row r="4076" spans="30:30" ht="14" thickBot="1" x14ac:dyDescent="0.2">
      <c r="AD4076" s="98">
        <f t="shared" si="270"/>
        <v>48999</v>
      </c>
    </row>
    <row r="4077" spans="30:30" ht="14" thickBot="1" x14ac:dyDescent="0.2">
      <c r="AD4077" s="98">
        <f t="shared" si="270"/>
        <v>49000</v>
      </c>
    </row>
    <row r="4078" spans="30:30" ht="14" thickBot="1" x14ac:dyDescent="0.2">
      <c r="AD4078" s="98">
        <f t="shared" si="270"/>
        <v>49001</v>
      </c>
    </row>
    <row r="4079" spans="30:30" ht="14" thickBot="1" x14ac:dyDescent="0.2">
      <c r="AD4079" s="98">
        <f t="shared" si="270"/>
        <v>49002</v>
      </c>
    </row>
    <row r="4080" spans="30:30" ht="14" thickBot="1" x14ac:dyDescent="0.2">
      <c r="AD4080" s="98">
        <f t="shared" si="270"/>
        <v>49003</v>
      </c>
    </row>
    <row r="4081" spans="30:30" ht="14" thickBot="1" x14ac:dyDescent="0.2">
      <c r="AD4081" s="98">
        <f t="shared" si="270"/>
        <v>49004</v>
      </c>
    </row>
    <row r="4082" spans="30:30" ht="14" thickBot="1" x14ac:dyDescent="0.2">
      <c r="AD4082" s="98">
        <f t="shared" si="270"/>
        <v>49005</v>
      </c>
    </row>
    <row r="4083" spans="30:30" ht="14" thickBot="1" x14ac:dyDescent="0.2">
      <c r="AD4083" s="98">
        <f t="shared" si="270"/>
        <v>49006</v>
      </c>
    </row>
    <row r="4084" spans="30:30" ht="14" thickBot="1" x14ac:dyDescent="0.2">
      <c r="AD4084" s="98">
        <f t="shared" si="270"/>
        <v>49007</v>
      </c>
    </row>
    <row r="4085" spans="30:30" ht="14" thickBot="1" x14ac:dyDescent="0.2">
      <c r="AD4085" s="98">
        <f t="shared" si="270"/>
        <v>49008</v>
      </c>
    </row>
    <row r="4086" spans="30:30" ht="14" thickBot="1" x14ac:dyDescent="0.2">
      <c r="AD4086" s="98">
        <f t="shared" si="270"/>
        <v>49009</v>
      </c>
    </row>
    <row r="4087" spans="30:30" ht="14" thickBot="1" x14ac:dyDescent="0.2">
      <c r="AD4087" s="98">
        <f t="shared" si="270"/>
        <v>49010</v>
      </c>
    </row>
    <row r="4088" spans="30:30" ht="14" thickBot="1" x14ac:dyDescent="0.2">
      <c r="AD4088" s="98">
        <f t="shared" si="270"/>
        <v>49011</v>
      </c>
    </row>
    <row r="4089" spans="30:30" ht="14" thickBot="1" x14ac:dyDescent="0.2">
      <c r="AD4089" s="98">
        <f t="shared" si="270"/>
        <v>49012</v>
      </c>
    </row>
    <row r="4090" spans="30:30" ht="14" thickBot="1" x14ac:dyDescent="0.2">
      <c r="AD4090" s="98">
        <f t="shared" si="270"/>
        <v>49013</v>
      </c>
    </row>
    <row r="4091" spans="30:30" ht="14" thickBot="1" x14ac:dyDescent="0.2">
      <c r="AD4091" s="98">
        <f t="shared" si="270"/>
        <v>49014</v>
      </c>
    </row>
    <row r="4092" spans="30:30" ht="14" thickBot="1" x14ac:dyDescent="0.2">
      <c r="AD4092" s="98">
        <f t="shared" si="270"/>
        <v>49015</v>
      </c>
    </row>
    <row r="4093" spans="30:30" ht="14" thickBot="1" x14ac:dyDescent="0.2">
      <c r="AD4093" s="98">
        <f t="shared" si="270"/>
        <v>49016</v>
      </c>
    </row>
    <row r="4094" spans="30:30" ht="14" thickBot="1" x14ac:dyDescent="0.2">
      <c r="AD4094" s="98">
        <f t="shared" si="270"/>
        <v>49017</v>
      </c>
    </row>
    <row r="4095" spans="30:30" ht="14" thickBot="1" x14ac:dyDescent="0.2">
      <c r="AD4095" s="98">
        <f t="shared" si="270"/>
        <v>49018</v>
      </c>
    </row>
    <row r="4096" spans="30:30" ht="14" thickBot="1" x14ac:dyDescent="0.2">
      <c r="AD4096" s="98">
        <f t="shared" si="270"/>
        <v>49019</v>
      </c>
    </row>
    <row r="4097" spans="30:30" ht="14" thickBot="1" x14ac:dyDescent="0.2">
      <c r="AD4097" s="98">
        <f t="shared" si="270"/>
        <v>49020</v>
      </c>
    </row>
    <row r="4098" spans="30:30" ht="14" thickBot="1" x14ac:dyDescent="0.2">
      <c r="AD4098" s="98">
        <f t="shared" si="270"/>
        <v>49021</v>
      </c>
    </row>
    <row r="4099" spans="30:30" ht="14" thickBot="1" x14ac:dyDescent="0.2">
      <c r="AD4099" s="98">
        <f t="shared" si="270"/>
        <v>49022</v>
      </c>
    </row>
    <row r="4100" spans="30:30" ht="14" thickBot="1" x14ac:dyDescent="0.2">
      <c r="AD4100" s="98">
        <f t="shared" si="270"/>
        <v>49023</v>
      </c>
    </row>
    <row r="4101" spans="30:30" ht="14" thickBot="1" x14ac:dyDescent="0.2">
      <c r="AD4101" s="98">
        <f t="shared" si="270"/>
        <v>49024</v>
      </c>
    </row>
    <row r="4102" spans="30:30" ht="14" thickBot="1" x14ac:dyDescent="0.2">
      <c r="AD4102" s="98">
        <f t="shared" si="270"/>
        <v>49025</v>
      </c>
    </row>
    <row r="4103" spans="30:30" ht="14" thickBot="1" x14ac:dyDescent="0.2">
      <c r="AD4103" s="98">
        <f t="shared" si="270"/>
        <v>49026</v>
      </c>
    </row>
    <row r="4104" spans="30:30" ht="14" thickBot="1" x14ac:dyDescent="0.2">
      <c r="AD4104" s="98">
        <f t="shared" si="270"/>
        <v>49027</v>
      </c>
    </row>
    <row r="4105" spans="30:30" ht="14" thickBot="1" x14ac:dyDescent="0.2">
      <c r="AD4105" s="98">
        <f t="shared" ref="AD4105:AD4168" si="271">AD4104+1</f>
        <v>49028</v>
      </c>
    </row>
    <row r="4106" spans="30:30" ht="14" thickBot="1" x14ac:dyDescent="0.2">
      <c r="AD4106" s="98">
        <f t="shared" si="271"/>
        <v>49029</v>
      </c>
    </row>
    <row r="4107" spans="30:30" ht="14" thickBot="1" x14ac:dyDescent="0.2">
      <c r="AD4107" s="98">
        <f t="shared" si="271"/>
        <v>49030</v>
      </c>
    </row>
    <row r="4108" spans="30:30" ht="14" thickBot="1" x14ac:dyDescent="0.2">
      <c r="AD4108" s="98">
        <f t="shared" si="271"/>
        <v>49031</v>
      </c>
    </row>
    <row r="4109" spans="30:30" ht="14" thickBot="1" x14ac:dyDescent="0.2">
      <c r="AD4109" s="98">
        <f t="shared" si="271"/>
        <v>49032</v>
      </c>
    </row>
    <row r="4110" spans="30:30" ht="14" thickBot="1" x14ac:dyDescent="0.2">
      <c r="AD4110" s="98">
        <f t="shared" si="271"/>
        <v>49033</v>
      </c>
    </row>
    <row r="4111" spans="30:30" ht="14" thickBot="1" x14ac:dyDescent="0.2">
      <c r="AD4111" s="98">
        <f t="shared" si="271"/>
        <v>49034</v>
      </c>
    </row>
    <row r="4112" spans="30:30" ht="14" thickBot="1" x14ac:dyDescent="0.2">
      <c r="AD4112" s="98">
        <f t="shared" si="271"/>
        <v>49035</v>
      </c>
    </row>
    <row r="4113" spans="30:30" ht="14" thickBot="1" x14ac:dyDescent="0.2">
      <c r="AD4113" s="98">
        <f t="shared" si="271"/>
        <v>49036</v>
      </c>
    </row>
    <row r="4114" spans="30:30" ht="14" thickBot="1" x14ac:dyDescent="0.2">
      <c r="AD4114" s="98">
        <f t="shared" si="271"/>
        <v>49037</v>
      </c>
    </row>
    <row r="4115" spans="30:30" ht="14" thickBot="1" x14ac:dyDescent="0.2">
      <c r="AD4115" s="98">
        <f t="shared" si="271"/>
        <v>49038</v>
      </c>
    </row>
    <row r="4116" spans="30:30" ht="14" thickBot="1" x14ac:dyDescent="0.2">
      <c r="AD4116" s="98">
        <f t="shared" si="271"/>
        <v>49039</v>
      </c>
    </row>
    <row r="4117" spans="30:30" ht="14" thickBot="1" x14ac:dyDescent="0.2">
      <c r="AD4117" s="98">
        <f t="shared" si="271"/>
        <v>49040</v>
      </c>
    </row>
    <row r="4118" spans="30:30" ht="14" thickBot="1" x14ac:dyDescent="0.2">
      <c r="AD4118" s="98">
        <f t="shared" si="271"/>
        <v>49041</v>
      </c>
    </row>
    <row r="4119" spans="30:30" ht="14" thickBot="1" x14ac:dyDescent="0.2">
      <c r="AD4119" s="98">
        <f t="shared" si="271"/>
        <v>49042</v>
      </c>
    </row>
    <row r="4120" spans="30:30" ht="14" thickBot="1" x14ac:dyDescent="0.2">
      <c r="AD4120" s="98">
        <f t="shared" si="271"/>
        <v>49043</v>
      </c>
    </row>
    <row r="4121" spans="30:30" ht="14" thickBot="1" x14ac:dyDescent="0.2">
      <c r="AD4121" s="98">
        <f t="shared" si="271"/>
        <v>49044</v>
      </c>
    </row>
    <row r="4122" spans="30:30" ht="14" thickBot="1" x14ac:dyDescent="0.2">
      <c r="AD4122" s="98">
        <f t="shared" si="271"/>
        <v>49045</v>
      </c>
    </row>
    <row r="4123" spans="30:30" ht="14" thickBot="1" x14ac:dyDescent="0.2">
      <c r="AD4123" s="98">
        <f t="shared" si="271"/>
        <v>49046</v>
      </c>
    </row>
    <row r="4124" spans="30:30" ht="14" thickBot="1" x14ac:dyDescent="0.2">
      <c r="AD4124" s="98">
        <f t="shared" si="271"/>
        <v>49047</v>
      </c>
    </row>
    <row r="4125" spans="30:30" ht="14" thickBot="1" x14ac:dyDescent="0.2">
      <c r="AD4125" s="98">
        <f t="shared" si="271"/>
        <v>49048</v>
      </c>
    </row>
    <row r="4126" spans="30:30" ht="14" thickBot="1" x14ac:dyDescent="0.2">
      <c r="AD4126" s="98">
        <f t="shared" si="271"/>
        <v>49049</v>
      </c>
    </row>
    <row r="4127" spans="30:30" ht="14" thickBot="1" x14ac:dyDescent="0.2">
      <c r="AD4127" s="98">
        <f t="shared" si="271"/>
        <v>49050</v>
      </c>
    </row>
    <row r="4128" spans="30:30" ht="14" thickBot="1" x14ac:dyDescent="0.2">
      <c r="AD4128" s="98">
        <f t="shared" si="271"/>
        <v>49051</v>
      </c>
    </row>
    <row r="4129" spans="30:30" ht="14" thickBot="1" x14ac:dyDescent="0.2">
      <c r="AD4129" s="98">
        <f t="shared" si="271"/>
        <v>49052</v>
      </c>
    </row>
    <row r="4130" spans="30:30" ht="14" thickBot="1" x14ac:dyDescent="0.2">
      <c r="AD4130" s="98">
        <f t="shared" si="271"/>
        <v>49053</v>
      </c>
    </row>
    <row r="4131" spans="30:30" ht="14" thickBot="1" x14ac:dyDescent="0.2">
      <c r="AD4131" s="98">
        <f t="shared" si="271"/>
        <v>49054</v>
      </c>
    </row>
    <row r="4132" spans="30:30" ht="14" thickBot="1" x14ac:dyDescent="0.2">
      <c r="AD4132" s="98">
        <f t="shared" si="271"/>
        <v>49055</v>
      </c>
    </row>
    <row r="4133" spans="30:30" ht="14" thickBot="1" x14ac:dyDescent="0.2">
      <c r="AD4133" s="98">
        <f t="shared" si="271"/>
        <v>49056</v>
      </c>
    </row>
    <row r="4134" spans="30:30" ht="14" thickBot="1" x14ac:dyDescent="0.2">
      <c r="AD4134" s="98">
        <f t="shared" si="271"/>
        <v>49057</v>
      </c>
    </row>
    <row r="4135" spans="30:30" ht="14" thickBot="1" x14ac:dyDescent="0.2">
      <c r="AD4135" s="98">
        <f t="shared" si="271"/>
        <v>49058</v>
      </c>
    </row>
    <row r="4136" spans="30:30" ht="14" thickBot="1" x14ac:dyDescent="0.2">
      <c r="AD4136" s="98">
        <f t="shared" si="271"/>
        <v>49059</v>
      </c>
    </row>
    <row r="4137" spans="30:30" ht="14" thickBot="1" x14ac:dyDescent="0.2">
      <c r="AD4137" s="98">
        <f t="shared" si="271"/>
        <v>49060</v>
      </c>
    </row>
    <row r="4138" spans="30:30" ht="14" thickBot="1" x14ac:dyDescent="0.2">
      <c r="AD4138" s="98">
        <f t="shared" si="271"/>
        <v>49061</v>
      </c>
    </row>
    <row r="4139" spans="30:30" ht="14" thickBot="1" x14ac:dyDescent="0.2">
      <c r="AD4139" s="98">
        <f t="shared" si="271"/>
        <v>49062</v>
      </c>
    </row>
    <row r="4140" spans="30:30" ht="14" thickBot="1" x14ac:dyDescent="0.2">
      <c r="AD4140" s="98">
        <f t="shared" si="271"/>
        <v>49063</v>
      </c>
    </row>
    <row r="4141" spans="30:30" ht="14" thickBot="1" x14ac:dyDescent="0.2">
      <c r="AD4141" s="98">
        <f t="shared" si="271"/>
        <v>49064</v>
      </c>
    </row>
    <row r="4142" spans="30:30" ht="14" thickBot="1" x14ac:dyDescent="0.2">
      <c r="AD4142" s="98">
        <f t="shared" si="271"/>
        <v>49065</v>
      </c>
    </row>
    <row r="4143" spans="30:30" ht="14" thickBot="1" x14ac:dyDescent="0.2">
      <c r="AD4143" s="98">
        <f t="shared" si="271"/>
        <v>49066</v>
      </c>
    </row>
    <row r="4144" spans="30:30" ht="14" thickBot="1" x14ac:dyDescent="0.2">
      <c r="AD4144" s="98">
        <f t="shared" si="271"/>
        <v>49067</v>
      </c>
    </row>
    <row r="4145" spans="30:30" ht="14" thickBot="1" x14ac:dyDescent="0.2">
      <c r="AD4145" s="98">
        <f t="shared" si="271"/>
        <v>49068</v>
      </c>
    </row>
    <row r="4146" spans="30:30" ht="14" thickBot="1" x14ac:dyDescent="0.2">
      <c r="AD4146" s="98">
        <f t="shared" si="271"/>
        <v>49069</v>
      </c>
    </row>
    <row r="4147" spans="30:30" ht="14" thickBot="1" x14ac:dyDescent="0.2">
      <c r="AD4147" s="98">
        <f t="shared" si="271"/>
        <v>49070</v>
      </c>
    </row>
    <row r="4148" spans="30:30" ht="14" thickBot="1" x14ac:dyDescent="0.2">
      <c r="AD4148" s="98">
        <f t="shared" si="271"/>
        <v>49071</v>
      </c>
    </row>
    <row r="4149" spans="30:30" ht="14" thickBot="1" x14ac:dyDescent="0.2">
      <c r="AD4149" s="98">
        <f t="shared" si="271"/>
        <v>49072</v>
      </c>
    </row>
    <row r="4150" spans="30:30" ht="14" thickBot="1" x14ac:dyDescent="0.2">
      <c r="AD4150" s="98">
        <f t="shared" si="271"/>
        <v>49073</v>
      </c>
    </row>
    <row r="4151" spans="30:30" ht="14" thickBot="1" x14ac:dyDescent="0.2">
      <c r="AD4151" s="98">
        <f t="shared" si="271"/>
        <v>49074</v>
      </c>
    </row>
    <row r="4152" spans="30:30" ht="14" thickBot="1" x14ac:dyDescent="0.2">
      <c r="AD4152" s="98">
        <f t="shared" si="271"/>
        <v>49075</v>
      </c>
    </row>
    <row r="4153" spans="30:30" ht="14" thickBot="1" x14ac:dyDescent="0.2">
      <c r="AD4153" s="98">
        <f t="shared" si="271"/>
        <v>49076</v>
      </c>
    </row>
    <row r="4154" spans="30:30" ht="14" thickBot="1" x14ac:dyDescent="0.2">
      <c r="AD4154" s="98">
        <f t="shared" si="271"/>
        <v>49077</v>
      </c>
    </row>
    <row r="4155" spans="30:30" ht="14" thickBot="1" x14ac:dyDescent="0.2">
      <c r="AD4155" s="98">
        <f t="shared" si="271"/>
        <v>49078</v>
      </c>
    </row>
    <row r="4156" spans="30:30" ht="14" thickBot="1" x14ac:dyDescent="0.2">
      <c r="AD4156" s="98">
        <f t="shared" si="271"/>
        <v>49079</v>
      </c>
    </row>
    <row r="4157" spans="30:30" ht="14" thickBot="1" x14ac:dyDescent="0.2">
      <c r="AD4157" s="98">
        <f t="shared" si="271"/>
        <v>49080</v>
      </c>
    </row>
    <row r="4158" spans="30:30" ht="14" thickBot="1" x14ac:dyDescent="0.2">
      <c r="AD4158" s="98">
        <f t="shared" si="271"/>
        <v>49081</v>
      </c>
    </row>
    <row r="4159" spans="30:30" ht="14" thickBot="1" x14ac:dyDescent="0.2">
      <c r="AD4159" s="98">
        <f t="shared" si="271"/>
        <v>49082</v>
      </c>
    </row>
    <row r="4160" spans="30:30" ht="14" thickBot="1" x14ac:dyDescent="0.2">
      <c r="AD4160" s="98">
        <f t="shared" si="271"/>
        <v>49083</v>
      </c>
    </row>
    <row r="4161" spans="30:30" ht="14" thickBot="1" x14ac:dyDescent="0.2">
      <c r="AD4161" s="98">
        <f t="shared" si="271"/>
        <v>49084</v>
      </c>
    </row>
    <row r="4162" spans="30:30" ht="14" thickBot="1" x14ac:dyDescent="0.2">
      <c r="AD4162" s="98">
        <f t="shared" si="271"/>
        <v>49085</v>
      </c>
    </row>
    <row r="4163" spans="30:30" ht="14" thickBot="1" x14ac:dyDescent="0.2">
      <c r="AD4163" s="98">
        <f t="shared" si="271"/>
        <v>49086</v>
      </c>
    </row>
    <row r="4164" spans="30:30" ht="14" thickBot="1" x14ac:dyDescent="0.2">
      <c r="AD4164" s="98">
        <f t="shared" si="271"/>
        <v>49087</v>
      </c>
    </row>
    <row r="4165" spans="30:30" ht="14" thickBot="1" x14ac:dyDescent="0.2">
      <c r="AD4165" s="98">
        <f t="shared" si="271"/>
        <v>49088</v>
      </c>
    </row>
    <row r="4166" spans="30:30" ht="14" thickBot="1" x14ac:dyDescent="0.2">
      <c r="AD4166" s="98">
        <f t="shared" si="271"/>
        <v>49089</v>
      </c>
    </row>
    <row r="4167" spans="30:30" ht="14" thickBot="1" x14ac:dyDescent="0.2">
      <c r="AD4167" s="98">
        <f t="shared" si="271"/>
        <v>49090</v>
      </c>
    </row>
    <row r="4168" spans="30:30" ht="14" thickBot="1" x14ac:dyDescent="0.2">
      <c r="AD4168" s="98">
        <f t="shared" si="271"/>
        <v>49091</v>
      </c>
    </row>
    <row r="4169" spans="30:30" ht="14" thickBot="1" x14ac:dyDescent="0.2">
      <c r="AD4169" s="98">
        <f t="shared" ref="AD4169:AD4232" si="272">AD4168+1</f>
        <v>49092</v>
      </c>
    </row>
    <row r="4170" spans="30:30" ht="14" thickBot="1" x14ac:dyDescent="0.2">
      <c r="AD4170" s="98">
        <f t="shared" si="272"/>
        <v>49093</v>
      </c>
    </row>
    <row r="4171" spans="30:30" ht="14" thickBot="1" x14ac:dyDescent="0.2">
      <c r="AD4171" s="98">
        <f t="shared" si="272"/>
        <v>49094</v>
      </c>
    </row>
    <row r="4172" spans="30:30" ht="14" thickBot="1" x14ac:dyDescent="0.2">
      <c r="AD4172" s="98">
        <f t="shared" si="272"/>
        <v>49095</v>
      </c>
    </row>
    <row r="4173" spans="30:30" ht="14" thickBot="1" x14ac:dyDescent="0.2">
      <c r="AD4173" s="98">
        <f t="shared" si="272"/>
        <v>49096</v>
      </c>
    </row>
    <row r="4174" spans="30:30" ht="14" thickBot="1" x14ac:dyDescent="0.2">
      <c r="AD4174" s="98">
        <f t="shared" si="272"/>
        <v>49097</v>
      </c>
    </row>
    <row r="4175" spans="30:30" ht="14" thickBot="1" x14ac:dyDescent="0.2">
      <c r="AD4175" s="98">
        <f t="shared" si="272"/>
        <v>49098</v>
      </c>
    </row>
    <row r="4176" spans="30:30" ht="14" thickBot="1" x14ac:dyDescent="0.2">
      <c r="AD4176" s="98">
        <f t="shared" si="272"/>
        <v>49099</v>
      </c>
    </row>
    <row r="4177" spans="30:30" ht="14" thickBot="1" x14ac:dyDescent="0.2">
      <c r="AD4177" s="98">
        <f t="shared" si="272"/>
        <v>49100</v>
      </c>
    </row>
    <row r="4178" spans="30:30" ht="14" thickBot="1" x14ac:dyDescent="0.2">
      <c r="AD4178" s="98">
        <f t="shared" si="272"/>
        <v>49101</v>
      </c>
    </row>
    <row r="4179" spans="30:30" ht="14" thickBot="1" x14ac:dyDescent="0.2">
      <c r="AD4179" s="98">
        <f t="shared" si="272"/>
        <v>49102</v>
      </c>
    </row>
    <row r="4180" spans="30:30" ht="14" thickBot="1" x14ac:dyDescent="0.2">
      <c r="AD4180" s="98">
        <f t="shared" si="272"/>
        <v>49103</v>
      </c>
    </row>
    <row r="4181" spans="30:30" ht="14" thickBot="1" x14ac:dyDescent="0.2">
      <c r="AD4181" s="98">
        <f t="shared" si="272"/>
        <v>49104</v>
      </c>
    </row>
    <row r="4182" spans="30:30" ht="14" thickBot="1" x14ac:dyDescent="0.2">
      <c r="AD4182" s="98">
        <f t="shared" si="272"/>
        <v>49105</v>
      </c>
    </row>
    <row r="4183" spans="30:30" ht="14" thickBot="1" x14ac:dyDescent="0.2">
      <c r="AD4183" s="98">
        <f t="shared" si="272"/>
        <v>49106</v>
      </c>
    </row>
    <row r="4184" spans="30:30" ht="14" thickBot="1" x14ac:dyDescent="0.2">
      <c r="AD4184" s="98">
        <f t="shared" si="272"/>
        <v>49107</v>
      </c>
    </row>
    <row r="4185" spans="30:30" ht="14" thickBot="1" x14ac:dyDescent="0.2">
      <c r="AD4185" s="98">
        <f t="shared" si="272"/>
        <v>49108</v>
      </c>
    </row>
    <row r="4186" spans="30:30" ht="14" thickBot="1" x14ac:dyDescent="0.2">
      <c r="AD4186" s="98">
        <f t="shared" si="272"/>
        <v>49109</v>
      </c>
    </row>
    <row r="4187" spans="30:30" ht="14" thickBot="1" x14ac:dyDescent="0.2">
      <c r="AD4187" s="98">
        <f t="shared" si="272"/>
        <v>49110</v>
      </c>
    </row>
    <row r="4188" spans="30:30" ht="14" thickBot="1" x14ac:dyDescent="0.2">
      <c r="AD4188" s="98">
        <f t="shared" si="272"/>
        <v>49111</v>
      </c>
    </row>
    <row r="4189" spans="30:30" ht="14" thickBot="1" x14ac:dyDescent="0.2">
      <c r="AD4189" s="98">
        <f t="shared" si="272"/>
        <v>49112</v>
      </c>
    </row>
    <row r="4190" spans="30:30" ht="14" thickBot="1" x14ac:dyDescent="0.2">
      <c r="AD4190" s="98">
        <f t="shared" si="272"/>
        <v>49113</v>
      </c>
    </row>
    <row r="4191" spans="30:30" ht="14" thickBot="1" x14ac:dyDescent="0.2">
      <c r="AD4191" s="98">
        <f t="shared" si="272"/>
        <v>49114</v>
      </c>
    </row>
    <row r="4192" spans="30:30" ht="14" thickBot="1" x14ac:dyDescent="0.2">
      <c r="AD4192" s="98">
        <f t="shared" si="272"/>
        <v>49115</v>
      </c>
    </row>
    <row r="4193" spans="30:30" ht="14" thickBot="1" x14ac:dyDescent="0.2">
      <c r="AD4193" s="98">
        <f t="shared" si="272"/>
        <v>49116</v>
      </c>
    </row>
    <row r="4194" spans="30:30" ht="14" thickBot="1" x14ac:dyDescent="0.2">
      <c r="AD4194" s="98">
        <f t="shared" si="272"/>
        <v>49117</v>
      </c>
    </row>
    <row r="4195" spans="30:30" ht="14" thickBot="1" x14ac:dyDescent="0.2">
      <c r="AD4195" s="98">
        <f t="shared" si="272"/>
        <v>49118</v>
      </c>
    </row>
    <row r="4196" spans="30:30" ht="14" thickBot="1" x14ac:dyDescent="0.2">
      <c r="AD4196" s="98">
        <f t="shared" si="272"/>
        <v>49119</v>
      </c>
    </row>
    <row r="4197" spans="30:30" ht="14" thickBot="1" x14ac:dyDescent="0.2">
      <c r="AD4197" s="98">
        <f t="shared" si="272"/>
        <v>49120</v>
      </c>
    </row>
    <row r="4198" spans="30:30" ht="14" thickBot="1" x14ac:dyDescent="0.2">
      <c r="AD4198" s="98">
        <f t="shared" si="272"/>
        <v>49121</v>
      </c>
    </row>
    <row r="4199" spans="30:30" ht="14" thickBot="1" x14ac:dyDescent="0.2">
      <c r="AD4199" s="98">
        <f t="shared" si="272"/>
        <v>49122</v>
      </c>
    </row>
    <row r="4200" spans="30:30" ht="14" thickBot="1" x14ac:dyDescent="0.2">
      <c r="AD4200" s="98">
        <f t="shared" si="272"/>
        <v>49123</v>
      </c>
    </row>
    <row r="4201" spans="30:30" ht="14" thickBot="1" x14ac:dyDescent="0.2">
      <c r="AD4201" s="98">
        <f t="shared" si="272"/>
        <v>49124</v>
      </c>
    </row>
    <row r="4202" spans="30:30" ht="14" thickBot="1" x14ac:dyDescent="0.2">
      <c r="AD4202" s="98">
        <f t="shared" si="272"/>
        <v>49125</v>
      </c>
    </row>
    <row r="4203" spans="30:30" ht="14" thickBot="1" x14ac:dyDescent="0.2">
      <c r="AD4203" s="98">
        <f t="shared" si="272"/>
        <v>49126</v>
      </c>
    </row>
    <row r="4204" spans="30:30" ht="14" thickBot="1" x14ac:dyDescent="0.2">
      <c r="AD4204" s="98">
        <f t="shared" si="272"/>
        <v>49127</v>
      </c>
    </row>
    <row r="4205" spans="30:30" ht="14" thickBot="1" x14ac:dyDescent="0.2">
      <c r="AD4205" s="98">
        <f t="shared" si="272"/>
        <v>49128</v>
      </c>
    </row>
    <row r="4206" spans="30:30" ht="14" thickBot="1" x14ac:dyDescent="0.2">
      <c r="AD4206" s="98">
        <f t="shared" si="272"/>
        <v>49129</v>
      </c>
    </row>
    <row r="4207" spans="30:30" ht="14" thickBot="1" x14ac:dyDescent="0.2">
      <c r="AD4207" s="98">
        <f t="shared" si="272"/>
        <v>49130</v>
      </c>
    </row>
    <row r="4208" spans="30:30" ht="14" thickBot="1" x14ac:dyDescent="0.2">
      <c r="AD4208" s="98">
        <f t="shared" si="272"/>
        <v>49131</v>
      </c>
    </row>
    <row r="4209" spans="30:30" ht="14" thickBot="1" x14ac:dyDescent="0.2">
      <c r="AD4209" s="98">
        <f t="shared" si="272"/>
        <v>49132</v>
      </c>
    </row>
    <row r="4210" spans="30:30" ht="14" thickBot="1" x14ac:dyDescent="0.2">
      <c r="AD4210" s="98">
        <f t="shared" si="272"/>
        <v>49133</v>
      </c>
    </row>
    <row r="4211" spans="30:30" ht="14" thickBot="1" x14ac:dyDescent="0.2">
      <c r="AD4211" s="98">
        <f t="shared" si="272"/>
        <v>49134</v>
      </c>
    </row>
    <row r="4212" spans="30:30" ht="14" thickBot="1" x14ac:dyDescent="0.2">
      <c r="AD4212" s="98">
        <f t="shared" si="272"/>
        <v>49135</v>
      </c>
    </row>
    <row r="4213" spans="30:30" ht="14" thickBot="1" x14ac:dyDescent="0.2">
      <c r="AD4213" s="98">
        <f t="shared" si="272"/>
        <v>49136</v>
      </c>
    </row>
    <row r="4214" spans="30:30" ht="14" thickBot="1" x14ac:dyDescent="0.2">
      <c r="AD4214" s="98">
        <f t="shared" si="272"/>
        <v>49137</v>
      </c>
    </row>
    <row r="4215" spans="30:30" ht="14" thickBot="1" x14ac:dyDescent="0.2">
      <c r="AD4215" s="98">
        <f t="shared" si="272"/>
        <v>49138</v>
      </c>
    </row>
    <row r="4216" spans="30:30" ht="14" thickBot="1" x14ac:dyDescent="0.2">
      <c r="AD4216" s="98">
        <f t="shared" si="272"/>
        <v>49139</v>
      </c>
    </row>
    <row r="4217" spans="30:30" ht="14" thickBot="1" x14ac:dyDescent="0.2">
      <c r="AD4217" s="98">
        <f t="shared" si="272"/>
        <v>49140</v>
      </c>
    </row>
    <row r="4218" spans="30:30" ht="14" thickBot="1" x14ac:dyDescent="0.2">
      <c r="AD4218" s="98">
        <f t="shared" si="272"/>
        <v>49141</v>
      </c>
    </row>
    <row r="4219" spans="30:30" ht="14" thickBot="1" x14ac:dyDescent="0.2">
      <c r="AD4219" s="98">
        <f t="shared" si="272"/>
        <v>49142</v>
      </c>
    </row>
    <row r="4220" spans="30:30" ht="14" thickBot="1" x14ac:dyDescent="0.2">
      <c r="AD4220" s="98">
        <f t="shared" si="272"/>
        <v>49143</v>
      </c>
    </row>
    <row r="4221" spans="30:30" ht="14" thickBot="1" x14ac:dyDescent="0.2">
      <c r="AD4221" s="98">
        <f t="shared" si="272"/>
        <v>49144</v>
      </c>
    </row>
    <row r="4222" spans="30:30" ht="14" thickBot="1" x14ac:dyDescent="0.2">
      <c r="AD4222" s="98">
        <f t="shared" si="272"/>
        <v>49145</v>
      </c>
    </row>
    <row r="4223" spans="30:30" ht="14" thickBot="1" x14ac:dyDescent="0.2">
      <c r="AD4223" s="98">
        <f t="shared" si="272"/>
        <v>49146</v>
      </c>
    </row>
    <row r="4224" spans="30:30" ht="14" thickBot="1" x14ac:dyDescent="0.2">
      <c r="AD4224" s="98">
        <f t="shared" si="272"/>
        <v>49147</v>
      </c>
    </row>
    <row r="4225" spans="30:30" ht="14" thickBot="1" x14ac:dyDescent="0.2">
      <c r="AD4225" s="98">
        <f t="shared" si="272"/>
        <v>49148</v>
      </c>
    </row>
    <row r="4226" spans="30:30" ht="14" thickBot="1" x14ac:dyDescent="0.2">
      <c r="AD4226" s="98">
        <f t="shared" si="272"/>
        <v>49149</v>
      </c>
    </row>
    <row r="4227" spans="30:30" ht="14" thickBot="1" x14ac:dyDescent="0.2">
      <c r="AD4227" s="98">
        <f t="shared" si="272"/>
        <v>49150</v>
      </c>
    </row>
    <row r="4228" spans="30:30" ht="14" thickBot="1" x14ac:dyDescent="0.2">
      <c r="AD4228" s="98">
        <f t="shared" si="272"/>
        <v>49151</v>
      </c>
    </row>
    <row r="4229" spans="30:30" ht="14" thickBot="1" x14ac:dyDescent="0.2">
      <c r="AD4229" s="98">
        <f t="shared" si="272"/>
        <v>49152</v>
      </c>
    </row>
    <row r="4230" spans="30:30" ht="14" thickBot="1" x14ac:dyDescent="0.2">
      <c r="AD4230" s="98">
        <f t="shared" si="272"/>
        <v>49153</v>
      </c>
    </row>
    <row r="4231" spans="30:30" ht="14" thickBot="1" x14ac:dyDescent="0.2">
      <c r="AD4231" s="98">
        <f t="shared" si="272"/>
        <v>49154</v>
      </c>
    </row>
    <row r="4232" spans="30:30" ht="14" thickBot="1" x14ac:dyDescent="0.2">
      <c r="AD4232" s="98">
        <f t="shared" si="272"/>
        <v>49155</v>
      </c>
    </row>
    <row r="4233" spans="30:30" ht="14" thickBot="1" x14ac:dyDescent="0.2">
      <c r="AD4233" s="98">
        <f t="shared" ref="AD4233:AD4296" si="273">AD4232+1</f>
        <v>49156</v>
      </c>
    </row>
    <row r="4234" spans="30:30" ht="14" thickBot="1" x14ac:dyDescent="0.2">
      <c r="AD4234" s="98">
        <f t="shared" si="273"/>
        <v>49157</v>
      </c>
    </row>
    <row r="4235" spans="30:30" ht="14" thickBot="1" x14ac:dyDescent="0.2">
      <c r="AD4235" s="98">
        <f t="shared" si="273"/>
        <v>49158</v>
      </c>
    </row>
    <row r="4236" spans="30:30" ht="14" thickBot="1" x14ac:dyDescent="0.2">
      <c r="AD4236" s="98">
        <f t="shared" si="273"/>
        <v>49159</v>
      </c>
    </row>
    <row r="4237" spans="30:30" ht="14" thickBot="1" x14ac:dyDescent="0.2">
      <c r="AD4237" s="98">
        <f t="shared" si="273"/>
        <v>49160</v>
      </c>
    </row>
    <row r="4238" spans="30:30" ht="14" thickBot="1" x14ac:dyDescent="0.2">
      <c r="AD4238" s="98">
        <f t="shared" si="273"/>
        <v>49161</v>
      </c>
    </row>
    <row r="4239" spans="30:30" ht="14" thickBot="1" x14ac:dyDescent="0.2">
      <c r="AD4239" s="98">
        <f t="shared" si="273"/>
        <v>49162</v>
      </c>
    </row>
    <row r="4240" spans="30:30" ht="14" thickBot="1" x14ac:dyDescent="0.2">
      <c r="AD4240" s="98">
        <f t="shared" si="273"/>
        <v>49163</v>
      </c>
    </row>
    <row r="4241" spans="30:30" ht="14" thickBot="1" x14ac:dyDescent="0.2">
      <c r="AD4241" s="98">
        <f t="shared" si="273"/>
        <v>49164</v>
      </c>
    </row>
    <row r="4242" spans="30:30" ht="14" thickBot="1" x14ac:dyDescent="0.2">
      <c r="AD4242" s="98">
        <f t="shared" si="273"/>
        <v>49165</v>
      </c>
    </row>
    <row r="4243" spans="30:30" ht="14" thickBot="1" x14ac:dyDescent="0.2">
      <c r="AD4243" s="98">
        <f t="shared" si="273"/>
        <v>49166</v>
      </c>
    </row>
    <row r="4244" spans="30:30" ht="14" thickBot="1" x14ac:dyDescent="0.2">
      <c r="AD4244" s="98">
        <f t="shared" si="273"/>
        <v>49167</v>
      </c>
    </row>
    <row r="4245" spans="30:30" ht="14" thickBot="1" x14ac:dyDescent="0.2">
      <c r="AD4245" s="98">
        <f t="shared" si="273"/>
        <v>49168</v>
      </c>
    </row>
    <row r="4246" spans="30:30" ht="14" thickBot="1" x14ac:dyDescent="0.2">
      <c r="AD4246" s="98">
        <f t="shared" si="273"/>
        <v>49169</v>
      </c>
    </row>
    <row r="4247" spans="30:30" ht="14" thickBot="1" x14ac:dyDescent="0.2">
      <c r="AD4247" s="98">
        <f t="shared" si="273"/>
        <v>49170</v>
      </c>
    </row>
    <row r="4248" spans="30:30" ht="14" thickBot="1" x14ac:dyDescent="0.2">
      <c r="AD4248" s="98">
        <f t="shared" si="273"/>
        <v>49171</v>
      </c>
    </row>
    <row r="4249" spans="30:30" ht="14" thickBot="1" x14ac:dyDescent="0.2">
      <c r="AD4249" s="98">
        <f t="shared" si="273"/>
        <v>49172</v>
      </c>
    </row>
    <row r="4250" spans="30:30" ht="14" thickBot="1" x14ac:dyDescent="0.2">
      <c r="AD4250" s="98">
        <f t="shared" si="273"/>
        <v>49173</v>
      </c>
    </row>
    <row r="4251" spans="30:30" ht="14" thickBot="1" x14ac:dyDescent="0.2">
      <c r="AD4251" s="98">
        <f t="shared" si="273"/>
        <v>49174</v>
      </c>
    </row>
    <row r="4252" spans="30:30" ht="14" thickBot="1" x14ac:dyDescent="0.2">
      <c r="AD4252" s="98">
        <f t="shared" si="273"/>
        <v>49175</v>
      </c>
    </row>
    <row r="4253" spans="30:30" ht="14" thickBot="1" x14ac:dyDescent="0.2">
      <c r="AD4253" s="98">
        <f t="shared" si="273"/>
        <v>49176</v>
      </c>
    </row>
    <row r="4254" spans="30:30" ht="14" thickBot="1" x14ac:dyDescent="0.2">
      <c r="AD4254" s="98">
        <f t="shared" si="273"/>
        <v>49177</v>
      </c>
    </row>
    <row r="4255" spans="30:30" ht="14" thickBot="1" x14ac:dyDescent="0.2">
      <c r="AD4255" s="98">
        <f t="shared" si="273"/>
        <v>49178</v>
      </c>
    </row>
    <row r="4256" spans="30:30" ht="14" thickBot="1" x14ac:dyDescent="0.2">
      <c r="AD4256" s="98">
        <f t="shared" si="273"/>
        <v>49179</v>
      </c>
    </row>
    <row r="4257" spans="30:30" ht="14" thickBot="1" x14ac:dyDescent="0.2">
      <c r="AD4257" s="98">
        <f t="shared" si="273"/>
        <v>49180</v>
      </c>
    </row>
    <row r="4258" spans="30:30" ht="14" thickBot="1" x14ac:dyDescent="0.2">
      <c r="AD4258" s="98">
        <f t="shared" si="273"/>
        <v>49181</v>
      </c>
    </row>
    <row r="4259" spans="30:30" ht="14" thickBot="1" x14ac:dyDescent="0.2">
      <c r="AD4259" s="98">
        <f t="shared" si="273"/>
        <v>49182</v>
      </c>
    </row>
    <row r="4260" spans="30:30" ht="14" thickBot="1" x14ac:dyDescent="0.2">
      <c r="AD4260" s="98">
        <f t="shared" si="273"/>
        <v>49183</v>
      </c>
    </row>
    <row r="4261" spans="30:30" ht="14" thickBot="1" x14ac:dyDescent="0.2">
      <c r="AD4261" s="98">
        <f t="shared" si="273"/>
        <v>49184</v>
      </c>
    </row>
    <row r="4262" spans="30:30" ht="14" thickBot="1" x14ac:dyDescent="0.2">
      <c r="AD4262" s="98">
        <f t="shared" si="273"/>
        <v>49185</v>
      </c>
    </row>
    <row r="4263" spans="30:30" ht="14" thickBot="1" x14ac:dyDescent="0.2">
      <c r="AD4263" s="98">
        <f t="shared" si="273"/>
        <v>49186</v>
      </c>
    </row>
    <row r="4264" spans="30:30" ht="14" thickBot="1" x14ac:dyDescent="0.2">
      <c r="AD4264" s="98">
        <f t="shared" si="273"/>
        <v>49187</v>
      </c>
    </row>
    <row r="4265" spans="30:30" ht="14" thickBot="1" x14ac:dyDescent="0.2">
      <c r="AD4265" s="98">
        <f t="shared" si="273"/>
        <v>49188</v>
      </c>
    </row>
    <row r="4266" spans="30:30" ht="14" thickBot="1" x14ac:dyDescent="0.2">
      <c r="AD4266" s="98">
        <f t="shared" si="273"/>
        <v>49189</v>
      </c>
    </row>
    <row r="4267" spans="30:30" ht="14" thickBot="1" x14ac:dyDescent="0.2">
      <c r="AD4267" s="98">
        <f t="shared" si="273"/>
        <v>49190</v>
      </c>
    </row>
    <row r="4268" spans="30:30" ht="14" thickBot="1" x14ac:dyDescent="0.2">
      <c r="AD4268" s="98">
        <f t="shared" si="273"/>
        <v>49191</v>
      </c>
    </row>
    <row r="4269" spans="30:30" ht="14" thickBot="1" x14ac:dyDescent="0.2">
      <c r="AD4269" s="98">
        <f t="shared" si="273"/>
        <v>49192</v>
      </c>
    </row>
    <row r="4270" spans="30:30" ht="14" thickBot="1" x14ac:dyDescent="0.2">
      <c r="AD4270" s="98">
        <f t="shared" si="273"/>
        <v>49193</v>
      </c>
    </row>
    <row r="4271" spans="30:30" ht="14" thickBot="1" x14ac:dyDescent="0.2">
      <c r="AD4271" s="98">
        <f t="shared" si="273"/>
        <v>49194</v>
      </c>
    </row>
    <row r="4272" spans="30:30" ht="14" thickBot="1" x14ac:dyDescent="0.2">
      <c r="AD4272" s="98">
        <f t="shared" si="273"/>
        <v>49195</v>
      </c>
    </row>
    <row r="4273" spans="30:30" ht="14" thickBot="1" x14ac:dyDescent="0.2">
      <c r="AD4273" s="98">
        <f t="shared" si="273"/>
        <v>49196</v>
      </c>
    </row>
    <row r="4274" spans="30:30" ht="14" thickBot="1" x14ac:dyDescent="0.2">
      <c r="AD4274" s="98">
        <f t="shared" si="273"/>
        <v>49197</v>
      </c>
    </row>
    <row r="4275" spans="30:30" ht="14" thickBot="1" x14ac:dyDescent="0.2">
      <c r="AD4275" s="98">
        <f t="shared" si="273"/>
        <v>49198</v>
      </c>
    </row>
    <row r="4276" spans="30:30" ht="14" thickBot="1" x14ac:dyDescent="0.2">
      <c r="AD4276" s="98">
        <f t="shared" si="273"/>
        <v>49199</v>
      </c>
    </row>
    <row r="4277" spans="30:30" ht="14" thickBot="1" x14ac:dyDescent="0.2">
      <c r="AD4277" s="98">
        <f t="shared" si="273"/>
        <v>49200</v>
      </c>
    </row>
    <row r="4278" spans="30:30" ht="14" thickBot="1" x14ac:dyDescent="0.2">
      <c r="AD4278" s="98">
        <f t="shared" si="273"/>
        <v>49201</v>
      </c>
    </row>
    <row r="4279" spans="30:30" ht="14" thickBot="1" x14ac:dyDescent="0.2">
      <c r="AD4279" s="98">
        <f t="shared" si="273"/>
        <v>49202</v>
      </c>
    </row>
    <row r="4280" spans="30:30" ht="14" thickBot="1" x14ac:dyDescent="0.2">
      <c r="AD4280" s="98">
        <f t="shared" si="273"/>
        <v>49203</v>
      </c>
    </row>
    <row r="4281" spans="30:30" ht="14" thickBot="1" x14ac:dyDescent="0.2">
      <c r="AD4281" s="98">
        <f t="shared" si="273"/>
        <v>49204</v>
      </c>
    </row>
    <row r="4282" spans="30:30" ht="14" thickBot="1" x14ac:dyDescent="0.2">
      <c r="AD4282" s="98">
        <f t="shared" si="273"/>
        <v>49205</v>
      </c>
    </row>
    <row r="4283" spans="30:30" ht="14" thickBot="1" x14ac:dyDescent="0.2">
      <c r="AD4283" s="98">
        <f t="shared" si="273"/>
        <v>49206</v>
      </c>
    </row>
    <row r="4284" spans="30:30" ht="14" thickBot="1" x14ac:dyDescent="0.2">
      <c r="AD4284" s="98">
        <f t="shared" si="273"/>
        <v>49207</v>
      </c>
    </row>
    <row r="4285" spans="30:30" ht="14" thickBot="1" x14ac:dyDescent="0.2">
      <c r="AD4285" s="98">
        <f t="shared" si="273"/>
        <v>49208</v>
      </c>
    </row>
    <row r="4286" spans="30:30" ht="14" thickBot="1" x14ac:dyDescent="0.2">
      <c r="AD4286" s="98">
        <f t="shared" si="273"/>
        <v>49209</v>
      </c>
    </row>
    <row r="4287" spans="30:30" ht="14" thickBot="1" x14ac:dyDescent="0.2">
      <c r="AD4287" s="98">
        <f t="shared" si="273"/>
        <v>49210</v>
      </c>
    </row>
    <row r="4288" spans="30:30" ht="14" thickBot="1" x14ac:dyDescent="0.2">
      <c r="AD4288" s="98">
        <f t="shared" si="273"/>
        <v>49211</v>
      </c>
    </row>
    <row r="4289" spans="30:30" ht="14" thickBot="1" x14ac:dyDescent="0.2">
      <c r="AD4289" s="98">
        <f t="shared" si="273"/>
        <v>49212</v>
      </c>
    </row>
    <row r="4290" spans="30:30" ht="14" thickBot="1" x14ac:dyDescent="0.2">
      <c r="AD4290" s="98">
        <f t="shared" si="273"/>
        <v>49213</v>
      </c>
    </row>
    <row r="4291" spans="30:30" ht="14" thickBot="1" x14ac:dyDescent="0.2">
      <c r="AD4291" s="98">
        <f t="shared" si="273"/>
        <v>49214</v>
      </c>
    </row>
    <row r="4292" spans="30:30" ht="14" thickBot="1" x14ac:dyDescent="0.2">
      <c r="AD4292" s="98">
        <f t="shared" si="273"/>
        <v>49215</v>
      </c>
    </row>
    <row r="4293" spans="30:30" ht="14" thickBot="1" x14ac:dyDescent="0.2">
      <c r="AD4293" s="98">
        <f t="shared" si="273"/>
        <v>49216</v>
      </c>
    </row>
    <row r="4294" spans="30:30" ht="14" thickBot="1" x14ac:dyDescent="0.2">
      <c r="AD4294" s="98">
        <f t="shared" si="273"/>
        <v>49217</v>
      </c>
    </row>
    <row r="4295" spans="30:30" ht="14" thickBot="1" x14ac:dyDescent="0.2">
      <c r="AD4295" s="98">
        <f t="shared" si="273"/>
        <v>49218</v>
      </c>
    </row>
    <row r="4296" spans="30:30" ht="14" thickBot="1" x14ac:dyDescent="0.2">
      <c r="AD4296" s="98">
        <f t="shared" si="273"/>
        <v>49219</v>
      </c>
    </row>
    <row r="4297" spans="30:30" ht="14" thickBot="1" x14ac:dyDescent="0.2">
      <c r="AD4297" s="98">
        <f t="shared" ref="AD4297:AD4360" si="274">AD4296+1</f>
        <v>49220</v>
      </c>
    </row>
    <row r="4298" spans="30:30" ht="14" thickBot="1" x14ac:dyDescent="0.2">
      <c r="AD4298" s="98">
        <f t="shared" si="274"/>
        <v>49221</v>
      </c>
    </row>
    <row r="4299" spans="30:30" ht="14" thickBot="1" x14ac:dyDescent="0.2">
      <c r="AD4299" s="98">
        <f t="shared" si="274"/>
        <v>49222</v>
      </c>
    </row>
    <row r="4300" spans="30:30" ht="14" thickBot="1" x14ac:dyDescent="0.2">
      <c r="AD4300" s="98">
        <f t="shared" si="274"/>
        <v>49223</v>
      </c>
    </row>
    <row r="4301" spans="30:30" ht="14" thickBot="1" x14ac:dyDescent="0.2">
      <c r="AD4301" s="98">
        <f t="shared" si="274"/>
        <v>49224</v>
      </c>
    </row>
    <row r="4302" spans="30:30" ht="14" thickBot="1" x14ac:dyDescent="0.2">
      <c r="AD4302" s="98">
        <f t="shared" si="274"/>
        <v>49225</v>
      </c>
    </row>
    <row r="4303" spans="30:30" ht="14" thickBot="1" x14ac:dyDescent="0.2">
      <c r="AD4303" s="98">
        <f t="shared" si="274"/>
        <v>49226</v>
      </c>
    </row>
    <row r="4304" spans="30:30" ht="14" thickBot="1" x14ac:dyDescent="0.2">
      <c r="AD4304" s="98">
        <f t="shared" si="274"/>
        <v>49227</v>
      </c>
    </row>
    <row r="4305" spans="30:30" ht="14" thickBot="1" x14ac:dyDescent="0.2">
      <c r="AD4305" s="98">
        <f t="shared" si="274"/>
        <v>49228</v>
      </c>
    </row>
    <row r="4306" spans="30:30" ht="14" thickBot="1" x14ac:dyDescent="0.2">
      <c r="AD4306" s="98">
        <f t="shared" si="274"/>
        <v>49229</v>
      </c>
    </row>
    <row r="4307" spans="30:30" ht="14" thickBot="1" x14ac:dyDescent="0.2">
      <c r="AD4307" s="98">
        <f t="shared" si="274"/>
        <v>49230</v>
      </c>
    </row>
    <row r="4308" spans="30:30" ht="14" thickBot="1" x14ac:dyDescent="0.2">
      <c r="AD4308" s="98">
        <f t="shared" si="274"/>
        <v>49231</v>
      </c>
    </row>
    <row r="4309" spans="30:30" ht="14" thickBot="1" x14ac:dyDescent="0.2">
      <c r="AD4309" s="98">
        <f t="shared" si="274"/>
        <v>49232</v>
      </c>
    </row>
    <row r="4310" spans="30:30" ht="14" thickBot="1" x14ac:dyDescent="0.2">
      <c r="AD4310" s="98">
        <f t="shared" si="274"/>
        <v>49233</v>
      </c>
    </row>
    <row r="4311" spans="30:30" ht="14" thickBot="1" x14ac:dyDescent="0.2">
      <c r="AD4311" s="98">
        <f t="shared" si="274"/>
        <v>49234</v>
      </c>
    </row>
    <row r="4312" spans="30:30" ht="14" thickBot="1" x14ac:dyDescent="0.2">
      <c r="AD4312" s="98">
        <f t="shared" si="274"/>
        <v>49235</v>
      </c>
    </row>
    <row r="4313" spans="30:30" ht="14" thickBot="1" x14ac:dyDescent="0.2">
      <c r="AD4313" s="98">
        <f t="shared" si="274"/>
        <v>49236</v>
      </c>
    </row>
    <row r="4314" spans="30:30" ht="14" thickBot="1" x14ac:dyDescent="0.2">
      <c r="AD4314" s="98">
        <f t="shared" si="274"/>
        <v>49237</v>
      </c>
    </row>
    <row r="4315" spans="30:30" ht="14" thickBot="1" x14ac:dyDescent="0.2">
      <c r="AD4315" s="98">
        <f t="shared" si="274"/>
        <v>49238</v>
      </c>
    </row>
    <row r="4316" spans="30:30" ht="14" thickBot="1" x14ac:dyDescent="0.2">
      <c r="AD4316" s="98">
        <f t="shared" si="274"/>
        <v>49239</v>
      </c>
    </row>
    <row r="4317" spans="30:30" ht="14" thickBot="1" x14ac:dyDescent="0.2">
      <c r="AD4317" s="98">
        <f t="shared" si="274"/>
        <v>49240</v>
      </c>
    </row>
    <row r="4318" spans="30:30" ht="14" thickBot="1" x14ac:dyDescent="0.2">
      <c r="AD4318" s="98">
        <f t="shared" si="274"/>
        <v>49241</v>
      </c>
    </row>
    <row r="4319" spans="30:30" ht="14" thickBot="1" x14ac:dyDescent="0.2">
      <c r="AD4319" s="98">
        <f t="shared" si="274"/>
        <v>49242</v>
      </c>
    </row>
    <row r="4320" spans="30:30" ht="14" thickBot="1" x14ac:dyDescent="0.2">
      <c r="AD4320" s="98">
        <f t="shared" si="274"/>
        <v>49243</v>
      </c>
    </row>
    <row r="4321" spans="30:30" ht="14" thickBot="1" x14ac:dyDescent="0.2">
      <c r="AD4321" s="98">
        <f t="shared" si="274"/>
        <v>49244</v>
      </c>
    </row>
    <row r="4322" spans="30:30" ht="14" thickBot="1" x14ac:dyDescent="0.2">
      <c r="AD4322" s="98">
        <f t="shared" si="274"/>
        <v>49245</v>
      </c>
    </row>
    <row r="4323" spans="30:30" ht="14" thickBot="1" x14ac:dyDescent="0.2">
      <c r="AD4323" s="98">
        <f t="shared" si="274"/>
        <v>49246</v>
      </c>
    </row>
    <row r="4324" spans="30:30" ht="14" thickBot="1" x14ac:dyDescent="0.2">
      <c r="AD4324" s="98">
        <f t="shared" si="274"/>
        <v>49247</v>
      </c>
    </row>
    <row r="4325" spans="30:30" ht="14" thickBot="1" x14ac:dyDescent="0.2">
      <c r="AD4325" s="98">
        <f t="shared" si="274"/>
        <v>49248</v>
      </c>
    </row>
    <row r="4326" spans="30:30" ht="14" thickBot="1" x14ac:dyDescent="0.2">
      <c r="AD4326" s="98">
        <f t="shared" si="274"/>
        <v>49249</v>
      </c>
    </row>
    <row r="4327" spans="30:30" ht="14" thickBot="1" x14ac:dyDescent="0.2">
      <c r="AD4327" s="98">
        <f t="shared" si="274"/>
        <v>49250</v>
      </c>
    </row>
    <row r="4328" spans="30:30" ht="14" thickBot="1" x14ac:dyDescent="0.2">
      <c r="AD4328" s="98">
        <f t="shared" si="274"/>
        <v>49251</v>
      </c>
    </row>
    <row r="4329" spans="30:30" ht="14" thickBot="1" x14ac:dyDescent="0.2">
      <c r="AD4329" s="98">
        <f t="shared" si="274"/>
        <v>49252</v>
      </c>
    </row>
    <row r="4330" spans="30:30" ht="14" thickBot="1" x14ac:dyDescent="0.2">
      <c r="AD4330" s="98">
        <f t="shared" si="274"/>
        <v>49253</v>
      </c>
    </row>
    <row r="4331" spans="30:30" ht="14" thickBot="1" x14ac:dyDescent="0.2">
      <c r="AD4331" s="98">
        <f t="shared" si="274"/>
        <v>49254</v>
      </c>
    </row>
    <row r="4332" spans="30:30" ht="14" thickBot="1" x14ac:dyDescent="0.2">
      <c r="AD4332" s="98">
        <f t="shared" si="274"/>
        <v>49255</v>
      </c>
    </row>
    <row r="4333" spans="30:30" ht="14" thickBot="1" x14ac:dyDescent="0.2">
      <c r="AD4333" s="98">
        <f t="shared" si="274"/>
        <v>49256</v>
      </c>
    </row>
    <row r="4334" spans="30:30" ht="14" thickBot="1" x14ac:dyDescent="0.2">
      <c r="AD4334" s="98">
        <f t="shared" si="274"/>
        <v>49257</v>
      </c>
    </row>
    <row r="4335" spans="30:30" ht="14" thickBot="1" x14ac:dyDescent="0.2">
      <c r="AD4335" s="98">
        <f t="shared" si="274"/>
        <v>49258</v>
      </c>
    </row>
    <row r="4336" spans="30:30" ht="14" thickBot="1" x14ac:dyDescent="0.2">
      <c r="AD4336" s="98">
        <f t="shared" si="274"/>
        <v>49259</v>
      </c>
    </row>
    <row r="4337" spans="30:30" ht="14" thickBot="1" x14ac:dyDescent="0.2">
      <c r="AD4337" s="98">
        <f t="shared" si="274"/>
        <v>49260</v>
      </c>
    </row>
    <row r="4338" spans="30:30" ht="14" thickBot="1" x14ac:dyDescent="0.2">
      <c r="AD4338" s="98">
        <f t="shared" si="274"/>
        <v>49261</v>
      </c>
    </row>
    <row r="4339" spans="30:30" ht="14" thickBot="1" x14ac:dyDescent="0.2">
      <c r="AD4339" s="98">
        <f t="shared" si="274"/>
        <v>49262</v>
      </c>
    </row>
    <row r="4340" spans="30:30" ht="14" thickBot="1" x14ac:dyDescent="0.2">
      <c r="AD4340" s="98">
        <f t="shared" si="274"/>
        <v>49263</v>
      </c>
    </row>
    <row r="4341" spans="30:30" ht="14" thickBot="1" x14ac:dyDescent="0.2">
      <c r="AD4341" s="98">
        <f t="shared" si="274"/>
        <v>49264</v>
      </c>
    </row>
    <row r="4342" spans="30:30" ht="14" thickBot="1" x14ac:dyDescent="0.2">
      <c r="AD4342" s="98">
        <f t="shared" si="274"/>
        <v>49265</v>
      </c>
    </row>
    <row r="4343" spans="30:30" ht="14" thickBot="1" x14ac:dyDescent="0.2">
      <c r="AD4343" s="98">
        <f t="shared" si="274"/>
        <v>49266</v>
      </c>
    </row>
    <row r="4344" spans="30:30" ht="14" thickBot="1" x14ac:dyDescent="0.2">
      <c r="AD4344" s="98">
        <f t="shared" si="274"/>
        <v>49267</v>
      </c>
    </row>
    <row r="4345" spans="30:30" ht="14" thickBot="1" x14ac:dyDescent="0.2">
      <c r="AD4345" s="98">
        <f t="shared" si="274"/>
        <v>49268</v>
      </c>
    </row>
    <row r="4346" spans="30:30" ht="14" thickBot="1" x14ac:dyDescent="0.2">
      <c r="AD4346" s="98">
        <f t="shared" si="274"/>
        <v>49269</v>
      </c>
    </row>
    <row r="4347" spans="30:30" ht="14" thickBot="1" x14ac:dyDescent="0.2">
      <c r="AD4347" s="98">
        <f t="shared" si="274"/>
        <v>49270</v>
      </c>
    </row>
    <row r="4348" spans="30:30" ht="14" thickBot="1" x14ac:dyDescent="0.2">
      <c r="AD4348" s="98">
        <f t="shared" si="274"/>
        <v>49271</v>
      </c>
    </row>
    <row r="4349" spans="30:30" ht="14" thickBot="1" x14ac:dyDescent="0.2">
      <c r="AD4349" s="98">
        <f t="shared" si="274"/>
        <v>49272</v>
      </c>
    </row>
    <row r="4350" spans="30:30" ht="14" thickBot="1" x14ac:dyDescent="0.2">
      <c r="AD4350" s="98">
        <f t="shared" si="274"/>
        <v>49273</v>
      </c>
    </row>
    <row r="4351" spans="30:30" ht="14" thickBot="1" x14ac:dyDescent="0.2">
      <c r="AD4351" s="98">
        <f t="shared" si="274"/>
        <v>49274</v>
      </c>
    </row>
    <row r="4352" spans="30:30" ht="14" thickBot="1" x14ac:dyDescent="0.2">
      <c r="AD4352" s="98">
        <f t="shared" si="274"/>
        <v>49275</v>
      </c>
    </row>
    <row r="4353" spans="30:30" ht="14" thickBot="1" x14ac:dyDescent="0.2">
      <c r="AD4353" s="98">
        <f t="shared" si="274"/>
        <v>49276</v>
      </c>
    </row>
    <row r="4354" spans="30:30" ht="14" thickBot="1" x14ac:dyDescent="0.2">
      <c r="AD4354" s="98">
        <f t="shared" si="274"/>
        <v>49277</v>
      </c>
    </row>
    <row r="4355" spans="30:30" ht="14" thickBot="1" x14ac:dyDescent="0.2">
      <c r="AD4355" s="98">
        <f t="shared" si="274"/>
        <v>49278</v>
      </c>
    </row>
    <row r="4356" spans="30:30" ht="14" thickBot="1" x14ac:dyDescent="0.2">
      <c r="AD4356" s="98">
        <f t="shared" si="274"/>
        <v>49279</v>
      </c>
    </row>
    <row r="4357" spans="30:30" ht="14" thickBot="1" x14ac:dyDescent="0.2">
      <c r="AD4357" s="98">
        <f t="shared" si="274"/>
        <v>49280</v>
      </c>
    </row>
    <row r="4358" spans="30:30" ht="14" thickBot="1" x14ac:dyDescent="0.2">
      <c r="AD4358" s="98">
        <f t="shared" si="274"/>
        <v>49281</v>
      </c>
    </row>
    <row r="4359" spans="30:30" ht="14" thickBot="1" x14ac:dyDescent="0.2">
      <c r="AD4359" s="98">
        <f t="shared" si="274"/>
        <v>49282</v>
      </c>
    </row>
    <row r="4360" spans="30:30" ht="14" thickBot="1" x14ac:dyDescent="0.2">
      <c r="AD4360" s="98">
        <f t="shared" si="274"/>
        <v>49283</v>
      </c>
    </row>
    <row r="4361" spans="30:30" ht="14" thickBot="1" x14ac:dyDescent="0.2">
      <c r="AD4361" s="98">
        <f t="shared" ref="AD4361:AD4424" si="275">AD4360+1</f>
        <v>49284</v>
      </c>
    </row>
    <row r="4362" spans="30:30" ht="14" thickBot="1" x14ac:dyDescent="0.2">
      <c r="AD4362" s="98">
        <f t="shared" si="275"/>
        <v>49285</v>
      </c>
    </row>
    <row r="4363" spans="30:30" ht="14" thickBot="1" x14ac:dyDescent="0.2">
      <c r="AD4363" s="98">
        <f t="shared" si="275"/>
        <v>49286</v>
      </c>
    </row>
    <row r="4364" spans="30:30" ht="14" thickBot="1" x14ac:dyDescent="0.2">
      <c r="AD4364" s="98">
        <f t="shared" si="275"/>
        <v>49287</v>
      </c>
    </row>
    <row r="4365" spans="30:30" ht="14" thickBot="1" x14ac:dyDescent="0.2">
      <c r="AD4365" s="98">
        <f t="shared" si="275"/>
        <v>49288</v>
      </c>
    </row>
    <row r="4366" spans="30:30" ht="14" thickBot="1" x14ac:dyDescent="0.2">
      <c r="AD4366" s="98">
        <f t="shared" si="275"/>
        <v>49289</v>
      </c>
    </row>
    <row r="4367" spans="30:30" ht="14" thickBot="1" x14ac:dyDescent="0.2">
      <c r="AD4367" s="98">
        <f t="shared" si="275"/>
        <v>49290</v>
      </c>
    </row>
    <row r="4368" spans="30:30" ht="14" thickBot="1" x14ac:dyDescent="0.2">
      <c r="AD4368" s="98">
        <f t="shared" si="275"/>
        <v>49291</v>
      </c>
    </row>
    <row r="4369" spans="30:30" ht="14" thickBot="1" x14ac:dyDescent="0.2">
      <c r="AD4369" s="98">
        <f t="shared" si="275"/>
        <v>49292</v>
      </c>
    </row>
    <row r="4370" spans="30:30" ht="14" thickBot="1" x14ac:dyDescent="0.2">
      <c r="AD4370" s="98">
        <f t="shared" si="275"/>
        <v>49293</v>
      </c>
    </row>
    <row r="4371" spans="30:30" ht="14" thickBot="1" x14ac:dyDescent="0.2">
      <c r="AD4371" s="98">
        <f t="shared" si="275"/>
        <v>49294</v>
      </c>
    </row>
    <row r="4372" spans="30:30" ht="14" thickBot="1" x14ac:dyDescent="0.2">
      <c r="AD4372" s="98">
        <f t="shared" si="275"/>
        <v>49295</v>
      </c>
    </row>
    <row r="4373" spans="30:30" ht="14" thickBot="1" x14ac:dyDescent="0.2">
      <c r="AD4373" s="98">
        <f t="shared" si="275"/>
        <v>49296</v>
      </c>
    </row>
    <row r="4374" spans="30:30" ht="14" thickBot="1" x14ac:dyDescent="0.2">
      <c r="AD4374" s="98">
        <f t="shared" si="275"/>
        <v>49297</v>
      </c>
    </row>
    <row r="4375" spans="30:30" ht="14" thickBot="1" x14ac:dyDescent="0.2">
      <c r="AD4375" s="98">
        <f t="shared" si="275"/>
        <v>49298</v>
      </c>
    </row>
    <row r="4376" spans="30:30" ht="14" thickBot="1" x14ac:dyDescent="0.2">
      <c r="AD4376" s="98">
        <f t="shared" si="275"/>
        <v>49299</v>
      </c>
    </row>
    <row r="4377" spans="30:30" ht="14" thickBot="1" x14ac:dyDescent="0.2">
      <c r="AD4377" s="98">
        <f t="shared" si="275"/>
        <v>49300</v>
      </c>
    </row>
    <row r="4378" spans="30:30" ht="14" thickBot="1" x14ac:dyDescent="0.2">
      <c r="AD4378" s="98">
        <f t="shared" si="275"/>
        <v>49301</v>
      </c>
    </row>
    <row r="4379" spans="30:30" ht="14" thickBot="1" x14ac:dyDescent="0.2">
      <c r="AD4379" s="98">
        <f t="shared" si="275"/>
        <v>49302</v>
      </c>
    </row>
    <row r="4380" spans="30:30" ht="14" thickBot="1" x14ac:dyDescent="0.2">
      <c r="AD4380" s="98">
        <f t="shared" si="275"/>
        <v>49303</v>
      </c>
    </row>
    <row r="4381" spans="30:30" ht="14" thickBot="1" x14ac:dyDescent="0.2">
      <c r="AD4381" s="98">
        <f t="shared" si="275"/>
        <v>49304</v>
      </c>
    </row>
    <row r="4382" spans="30:30" ht="14" thickBot="1" x14ac:dyDescent="0.2">
      <c r="AD4382" s="98">
        <f t="shared" si="275"/>
        <v>49305</v>
      </c>
    </row>
    <row r="4383" spans="30:30" ht="14" thickBot="1" x14ac:dyDescent="0.2">
      <c r="AD4383" s="98">
        <f t="shared" si="275"/>
        <v>49306</v>
      </c>
    </row>
    <row r="4384" spans="30:30" ht="14" thickBot="1" x14ac:dyDescent="0.2">
      <c r="AD4384" s="98">
        <f t="shared" si="275"/>
        <v>49307</v>
      </c>
    </row>
    <row r="4385" spans="30:30" ht="14" thickBot="1" x14ac:dyDescent="0.2">
      <c r="AD4385" s="98">
        <f t="shared" si="275"/>
        <v>49308</v>
      </c>
    </row>
    <row r="4386" spans="30:30" ht="14" thickBot="1" x14ac:dyDescent="0.2">
      <c r="AD4386" s="98">
        <f t="shared" si="275"/>
        <v>49309</v>
      </c>
    </row>
    <row r="4387" spans="30:30" ht="14" thickBot="1" x14ac:dyDescent="0.2">
      <c r="AD4387" s="98">
        <f t="shared" si="275"/>
        <v>49310</v>
      </c>
    </row>
    <row r="4388" spans="30:30" ht="14" thickBot="1" x14ac:dyDescent="0.2">
      <c r="AD4388" s="98">
        <f t="shared" si="275"/>
        <v>49311</v>
      </c>
    </row>
    <row r="4389" spans="30:30" ht="14" thickBot="1" x14ac:dyDescent="0.2">
      <c r="AD4389" s="98">
        <f t="shared" si="275"/>
        <v>49312</v>
      </c>
    </row>
    <row r="4390" spans="30:30" ht="14" thickBot="1" x14ac:dyDescent="0.2">
      <c r="AD4390" s="98">
        <f t="shared" si="275"/>
        <v>49313</v>
      </c>
    </row>
    <row r="4391" spans="30:30" ht="14" thickBot="1" x14ac:dyDescent="0.2">
      <c r="AD4391" s="98">
        <f t="shared" si="275"/>
        <v>49314</v>
      </c>
    </row>
    <row r="4392" spans="30:30" ht="14" thickBot="1" x14ac:dyDescent="0.2">
      <c r="AD4392" s="98">
        <f t="shared" si="275"/>
        <v>49315</v>
      </c>
    </row>
    <row r="4393" spans="30:30" ht="14" thickBot="1" x14ac:dyDescent="0.2">
      <c r="AD4393" s="98">
        <f t="shared" si="275"/>
        <v>49316</v>
      </c>
    </row>
    <row r="4394" spans="30:30" ht="14" thickBot="1" x14ac:dyDescent="0.2">
      <c r="AD4394" s="98">
        <f t="shared" si="275"/>
        <v>49317</v>
      </c>
    </row>
    <row r="4395" spans="30:30" ht="14" thickBot="1" x14ac:dyDescent="0.2">
      <c r="AD4395" s="98">
        <f t="shared" si="275"/>
        <v>49318</v>
      </c>
    </row>
    <row r="4396" spans="30:30" ht="14" thickBot="1" x14ac:dyDescent="0.2">
      <c r="AD4396" s="98">
        <f t="shared" si="275"/>
        <v>49319</v>
      </c>
    </row>
    <row r="4397" spans="30:30" ht="14" thickBot="1" x14ac:dyDescent="0.2">
      <c r="AD4397" s="98">
        <f t="shared" si="275"/>
        <v>49320</v>
      </c>
    </row>
    <row r="4398" spans="30:30" ht="14" thickBot="1" x14ac:dyDescent="0.2">
      <c r="AD4398" s="98">
        <f t="shared" si="275"/>
        <v>49321</v>
      </c>
    </row>
    <row r="4399" spans="30:30" ht="14" thickBot="1" x14ac:dyDescent="0.2">
      <c r="AD4399" s="98">
        <f t="shared" si="275"/>
        <v>49322</v>
      </c>
    </row>
    <row r="4400" spans="30:30" ht="14" thickBot="1" x14ac:dyDescent="0.2">
      <c r="AD4400" s="98">
        <f t="shared" si="275"/>
        <v>49323</v>
      </c>
    </row>
    <row r="4401" spans="30:30" ht="14" thickBot="1" x14ac:dyDescent="0.2">
      <c r="AD4401" s="98">
        <f t="shared" si="275"/>
        <v>49324</v>
      </c>
    </row>
    <row r="4402" spans="30:30" ht="14" thickBot="1" x14ac:dyDescent="0.2">
      <c r="AD4402" s="98">
        <f t="shared" si="275"/>
        <v>49325</v>
      </c>
    </row>
    <row r="4403" spans="30:30" ht="14" thickBot="1" x14ac:dyDescent="0.2">
      <c r="AD4403" s="98">
        <f t="shared" si="275"/>
        <v>49326</v>
      </c>
    </row>
    <row r="4404" spans="30:30" ht="14" thickBot="1" x14ac:dyDescent="0.2">
      <c r="AD4404" s="98">
        <f t="shared" si="275"/>
        <v>49327</v>
      </c>
    </row>
    <row r="4405" spans="30:30" ht="14" thickBot="1" x14ac:dyDescent="0.2">
      <c r="AD4405" s="98">
        <f t="shared" si="275"/>
        <v>49328</v>
      </c>
    </row>
    <row r="4406" spans="30:30" ht="14" thickBot="1" x14ac:dyDescent="0.2">
      <c r="AD4406" s="98">
        <f t="shared" si="275"/>
        <v>49329</v>
      </c>
    </row>
    <row r="4407" spans="30:30" ht="14" thickBot="1" x14ac:dyDescent="0.2">
      <c r="AD4407" s="98">
        <f t="shared" si="275"/>
        <v>49330</v>
      </c>
    </row>
    <row r="4408" spans="30:30" ht="14" thickBot="1" x14ac:dyDescent="0.2">
      <c r="AD4408" s="98">
        <f t="shared" si="275"/>
        <v>49331</v>
      </c>
    </row>
    <row r="4409" spans="30:30" ht="14" thickBot="1" x14ac:dyDescent="0.2">
      <c r="AD4409" s="98">
        <f t="shared" si="275"/>
        <v>49332</v>
      </c>
    </row>
    <row r="4410" spans="30:30" ht="14" thickBot="1" x14ac:dyDescent="0.2">
      <c r="AD4410" s="98">
        <f t="shared" si="275"/>
        <v>49333</v>
      </c>
    </row>
    <row r="4411" spans="30:30" ht="14" thickBot="1" x14ac:dyDescent="0.2">
      <c r="AD4411" s="98">
        <f t="shared" si="275"/>
        <v>49334</v>
      </c>
    </row>
    <row r="4412" spans="30:30" ht="14" thickBot="1" x14ac:dyDescent="0.2">
      <c r="AD4412" s="98">
        <f t="shared" si="275"/>
        <v>49335</v>
      </c>
    </row>
    <row r="4413" spans="30:30" ht="14" thickBot="1" x14ac:dyDescent="0.2">
      <c r="AD4413" s="98">
        <f t="shared" si="275"/>
        <v>49336</v>
      </c>
    </row>
    <row r="4414" spans="30:30" ht="14" thickBot="1" x14ac:dyDescent="0.2">
      <c r="AD4414" s="98">
        <f t="shared" si="275"/>
        <v>49337</v>
      </c>
    </row>
    <row r="4415" spans="30:30" ht="14" thickBot="1" x14ac:dyDescent="0.2">
      <c r="AD4415" s="98">
        <f t="shared" si="275"/>
        <v>49338</v>
      </c>
    </row>
    <row r="4416" spans="30:30" ht="14" thickBot="1" x14ac:dyDescent="0.2">
      <c r="AD4416" s="98">
        <f t="shared" si="275"/>
        <v>49339</v>
      </c>
    </row>
    <row r="4417" spans="30:30" ht="14" thickBot="1" x14ac:dyDescent="0.2">
      <c r="AD4417" s="98">
        <f t="shared" si="275"/>
        <v>49340</v>
      </c>
    </row>
    <row r="4418" spans="30:30" ht="14" thickBot="1" x14ac:dyDescent="0.2">
      <c r="AD4418" s="98">
        <f t="shared" si="275"/>
        <v>49341</v>
      </c>
    </row>
    <row r="4419" spans="30:30" ht="14" thickBot="1" x14ac:dyDescent="0.2">
      <c r="AD4419" s="98">
        <f t="shared" si="275"/>
        <v>49342</v>
      </c>
    </row>
    <row r="4420" spans="30:30" ht="14" thickBot="1" x14ac:dyDescent="0.2">
      <c r="AD4420" s="98">
        <f t="shared" si="275"/>
        <v>49343</v>
      </c>
    </row>
    <row r="4421" spans="30:30" ht="14" thickBot="1" x14ac:dyDescent="0.2">
      <c r="AD4421" s="98">
        <f t="shared" si="275"/>
        <v>49344</v>
      </c>
    </row>
    <row r="4422" spans="30:30" ht="14" thickBot="1" x14ac:dyDescent="0.2">
      <c r="AD4422" s="98">
        <f t="shared" si="275"/>
        <v>49345</v>
      </c>
    </row>
    <row r="4423" spans="30:30" ht="14" thickBot="1" x14ac:dyDescent="0.2">
      <c r="AD4423" s="98">
        <f t="shared" si="275"/>
        <v>49346</v>
      </c>
    </row>
    <row r="4424" spans="30:30" ht="14" thickBot="1" x14ac:dyDescent="0.2">
      <c r="AD4424" s="98">
        <f t="shared" si="275"/>
        <v>49347</v>
      </c>
    </row>
    <row r="4425" spans="30:30" ht="14" thickBot="1" x14ac:dyDescent="0.2">
      <c r="AD4425" s="98">
        <f t="shared" ref="AD4425:AD4488" si="276">AD4424+1</f>
        <v>49348</v>
      </c>
    </row>
    <row r="4426" spans="30:30" ht="14" thickBot="1" x14ac:dyDescent="0.2">
      <c r="AD4426" s="98">
        <f t="shared" si="276"/>
        <v>49349</v>
      </c>
    </row>
    <row r="4427" spans="30:30" ht="14" thickBot="1" x14ac:dyDescent="0.2">
      <c r="AD4427" s="98">
        <f t="shared" si="276"/>
        <v>49350</v>
      </c>
    </row>
    <row r="4428" spans="30:30" ht="14" thickBot="1" x14ac:dyDescent="0.2">
      <c r="AD4428" s="98">
        <f t="shared" si="276"/>
        <v>49351</v>
      </c>
    </row>
    <row r="4429" spans="30:30" ht="14" thickBot="1" x14ac:dyDescent="0.2">
      <c r="AD4429" s="98">
        <f t="shared" si="276"/>
        <v>49352</v>
      </c>
    </row>
    <row r="4430" spans="30:30" ht="14" thickBot="1" x14ac:dyDescent="0.2">
      <c r="AD4430" s="98">
        <f t="shared" si="276"/>
        <v>49353</v>
      </c>
    </row>
    <row r="4431" spans="30:30" ht="14" thickBot="1" x14ac:dyDescent="0.2">
      <c r="AD4431" s="98">
        <f t="shared" si="276"/>
        <v>49354</v>
      </c>
    </row>
    <row r="4432" spans="30:30" ht="14" thickBot="1" x14ac:dyDescent="0.2">
      <c r="AD4432" s="98">
        <f t="shared" si="276"/>
        <v>49355</v>
      </c>
    </row>
    <row r="4433" spans="30:30" ht="14" thickBot="1" x14ac:dyDescent="0.2">
      <c r="AD4433" s="98">
        <f t="shared" si="276"/>
        <v>49356</v>
      </c>
    </row>
    <row r="4434" spans="30:30" ht="14" thickBot="1" x14ac:dyDescent="0.2">
      <c r="AD4434" s="98">
        <f t="shared" si="276"/>
        <v>49357</v>
      </c>
    </row>
    <row r="4435" spans="30:30" ht="14" thickBot="1" x14ac:dyDescent="0.2">
      <c r="AD4435" s="98">
        <f t="shared" si="276"/>
        <v>49358</v>
      </c>
    </row>
    <row r="4436" spans="30:30" ht="14" thickBot="1" x14ac:dyDescent="0.2">
      <c r="AD4436" s="98">
        <f t="shared" si="276"/>
        <v>49359</v>
      </c>
    </row>
    <row r="4437" spans="30:30" ht="14" thickBot="1" x14ac:dyDescent="0.2">
      <c r="AD4437" s="98">
        <f t="shared" si="276"/>
        <v>49360</v>
      </c>
    </row>
    <row r="4438" spans="30:30" ht="14" thickBot="1" x14ac:dyDescent="0.2">
      <c r="AD4438" s="98">
        <f t="shared" si="276"/>
        <v>49361</v>
      </c>
    </row>
    <row r="4439" spans="30:30" ht="14" thickBot="1" x14ac:dyDescent="0.2">
      <c r="AD4439" s="98">
        <f t="shared" si="276"/>
        <v>49362</v>
      </c>
    </row>
    <row r="4440" spans="30:30" ht="14" thickBot="1" x14ac:dyDescent="0.2">
      <c r="AD4440" s="98">
        <f t="shared" si="276"/>
        <v>49363</v>
      </c>
    </row>
    <row r="4441" spans="30:30" ht="14" thickBot="1" x14ac:dyDescent="0.2">
      <c r="AD4441" s="98">
        <f t="shared" si="276"/>
        <v>49364</v>
      </c>
    </row>
    <row r="4442" spans="30:30" ht="14" thickBot="1" x14ac:dyDescent="0.2">
      <c r="AD4442" s="98">
        <f t="shared" si="276"/>
        <v>49365</v>
      </c>
    </row>
    <row r="4443" spans="30:30" ht="14" thickBot="1" x14ac:dyDescent="0.2">
      <c r="AD4443" s="98">
        <f t="shared" si="276"/>
        <v>49366</v>
      </c>
    </row>
    <row r="4444" spans="30:30" ht="14" thickBot="1" x14ac:dyDescent="0.2">
      <c r="AD4444" s="98">
        <f t="shared" si="276"/>
        <v>49367</v>
      </c>
    </row>
    <row r="4445" spans="30:30" ht="14" thickBot="1" x14ac:dyDescent="0.2">
      <c r="AD4445" s="98">
        <f t="shared" si="276"/>
        <v>49368</v>
      </c>
    </row>
    <row r="4446" spans="30:30" ht="14" thickBot="1" x14ac:dyDescent="0.2">
      <c r="AD4446" s="98">
        <f t="shared" si="276"/>
        <v>49369</v>
      </c>
    </row>
    <row r="4447" spans="30:30" ht="14" thickBot="1" x14ac:dyDescent="0.2">
      <c r="AD4447" s="98">
        <f t="shared" si="276"/>
        <v>49370</v>
      </c>
    </row>
    <row r="4448" spans="30:30" ht="14" thickBot="1" x14ac:dyDescent="0.2">
      <c r="AD4448" s="98">
        <f t="shared" si="276"/>
        <v>49371</v>
      </c>
    </row>
    <row r="4449" spans="30:30" ht="14" thickBot="1" x14ac:dyDescent="0.2">
      <c r="AD4449" s="98">
        <f t="shared" si="276"/>
        <v>49372</v>
      </c>
    </row>
    <row r="4450" spans="30:30" ht="14" thickBot="1" x14ac:dyDescent="0.2">
      <c r="AD4450" s="98">
        <f t="shared" si="276"/>
        <v>49373</v>
      </c>
    </row>
    <row r="4451" spans="30:30" ht="14" thickBot="1" x14ac:dyDescent="0.2">
      <c r="AD4451" s="98">
        <f t="shared" si="276"/>
        <v>49374</v>
      </c>
    </row>
    <row r="4452" spans="30:30" ht="14" thickBot="1" x14ac:dyDescent="0.2">
      <c r="AD4452" s="98">
        <f t="shared" si="276"/>
        <v>49375</v>
      </c>
    </row>
    <row r="4453" spans="30:30" ht="14" thickBot="1" x14ac:dyDescent="0.2">
      <c r="AD4453" s="98">
        <f t="shared" si="276"/>
        <v>49376</v>
      </c>
    </row>
    <row r="4454" spans="30:30" ht="14" thickBot="1" x14ac:dyDescent="0.2">
      <c r="AD4454" s="98">
        <f t="shared" si="276"/>
        <v>49377</v>
      </c>
    </row>
    <row r="4455" spans="30:30" ht="14" thickBot="1" x14ac:dyDescent="0.2">
      <c r="AD4455" s="98">
        <f t="shared" si="276"/>
        <v>49378</v>
      </c>
    </row>
    <row r="4456" spans="30:30" ht="14" thickBot="1" x14ac:dyDescent="0.2">
      <c r="AD4456" s="98">
        <f t="shared" si="276"/>
        <v>49379</v>
      </c>
    </row>
    <row r="4457" spans="30:30" ht="14" thickBot="1" x14ac:dyDescent="0.2">
      <c r="AD4457" s="98">
        <f t="shared" si="276"/>
        <v>49380</v>
      </c>
    </row>
    <row r="4458" spans="30:30" ht="14" thickBot="1" x14ac:dyDescent="0.2">
      <c r="AD4458" s="98">
        <f t="shared" si="276"/>
        <v>49381</v>
      </c>
    </row>
    <row r="4459" spans="30:30" ht="14" thickBot="1" x14ac:dyDescent="0.2">
      <c r="AD4459" s="98">
        <f t="shared" si="276"/>
        <v>49382</v>
      </c>
    </row>
    <row r="4460" spans="30:30" ht="14" thickBot="1" x14ac:dyDescent="0.2">
      <c r="AD4460" s="98">
        <f t="shared" si="276"/>
        <v>49383</v>
      </c>
    </row>
    <row r="4461" spans="30:30" ht="14" thickBot="1" x14ac:dyDescent="0.2">
      <c r="AD4461" s="98">
        <f t="shared" si="276"/>
        <v>49384</v>
      </c>
    </row>
    <row r="4462" spans="30:30" ht="14" thickBot="1" x14ac:dyDescent="0.2">
      <c r="AD4462" s="98">
        <f t="shared" si="276"/>
        <v>49385</v>
      </c>
    </row>
    <row r="4463" spans="30:30" ht="14" thickBot="1" x14ac:dyDescent="0.2">
      <c r="AD4463" s="98">
        <f t="shared" si="276"/>
        <v>49386</v>
      </c>
    </row>
    <row r="4464" spans="30:30" ht="14" thickBot="1" x14ac:dyDescent="0.2">
      <c r="AD4464" s="98">
        <f t="shared" si="276"/>
        <v>49387</v>
      </c>
    </row>
    <row r="4465" spans="30:30" ht="14" thickBot="1" x14ac:dyDescent="0.2">
      <c r="AD4465" s="98">
        <f t="shared" si="276"/>
        <v>49388</v>
      </c>
    </row>
    <row r="4466" spans="30:30" ht="14" thickBot="1" x14ac:dyDescent="0.2">
      <c r="AD4466" s="98">
        <f t="shared" si="276"/>
        <v>49389</v>
      </c>
    </row>
    <row r="4467" spans="30:30" ht="14" thickBot="1" x14ac:dyDescent="0.2">
      <c r="AD4467" s="98">
        <f t="shared" si="276"/>
        <v>49390</v>
      </c>
    </row>
    <row r="4468" spans="30:30" ht="14" thickBot="1" x14ac:dyDescent="0.2">
      <c r="AD4468" s="98">
        <f t="shared" si="276"/>
        <v>49391</v>
      </c>
    </row>
    <row r="4469" spans="30:30" ht="14" thickBot="1" x14ac:dyDescent="0.2">
      <c r="AD4469" s="98">
        <f t="shared" si="276"/>
        <v>49392</v>
      </c>
    </row>
    <row r="4470" spans="30:30" ht="14" thickBot="1" x14ac:dyDescent="0.2">
      <c r="AD4470" s="98">
        <f t="shared" si="276"/>
        <v>49393</v>
      </c>
    </row>
    <row r="4471" spans="30:30" ht="14" thickBot="1" x14ac:dyDescent="0.2">
      <c r="AD4471" s="98">
        <f t="shared" si="276"/>
        <v>49394</v>
      </c>
    </row>
    <row r="4472" spans="30:30" ht="14" thickBot="1" x14ac:dyDescent="0.2">
      <c r="AD4472" s="98">
        <f t="shared" si="276"/>
        <v>49395</v>
      </c>
    </row>
    <row r="4473" spans="30:30" ht="14" thickBot="1" x14ac:dyDescent="0.2">
      <c r="AD4473" s="98">
        <f t="shared" si="276"/>
        <v>49396</v>
      </c>
    </row>
    <row r="4474" spans="30:30" ht="14" thickBot="1" x14ac:dyDescent="0.2">
      <c r="AD4474" s="98">
        <f t="shared" si="276"/>
        <v>49397</v>
      </c>
    </row>
    <row r="4475" spans="30:30" ht="14" thickBot="1" x14ac:dyDescent="0.2">
      <c r="AD4475" s="98">
        <f t="shared" si="276"/>
        <v>49398</v>
      </c>
    </row>
    <row r="4476" spans="30:30" ht="14" thickBot="1" x14ac:dyDescent="0.2">
      <c r="AD4476" s="98">
        <f t="shared" si="276"/>
        <v>49399</v>
      </c>
    </row>
    <row r="4477" spans="30:30" ht="14" thickBot="1" x14ac:dyDescent="0.2">
      <c r="AD4477" s="98">
        <f t="shared" si="276"/>
        <v>49400</v>
      </c>
    </row>
    <row r="4478" spans="30:30" ht="14" thickBot="1" x14ac:dyDescent="0.2">
      <c r="AD4478" s="98">
        <f t="shared" si="276"/>
        <v>49401</v>
      </c>
    </row>
    <row r="4479" spans="30:30" ht="14" thickBot="1" x14ac:dyDescent="0.2">
      <c r="AD4479" s="98">
        <f t="shared" si="276"/>
        <v>49402</v>
      </c>
    </row>
    <row r="4480" spans="30:30" ht="14" thickBot="1" x14ac:dyDescent="0.2">
      <c r="AD4480" s="98">
        <f t="shared" si="276"/>
        <v>49403</v>
      </c>
    </row>
    <row r="4481" spans="30:30" ht="14" thickBot="1" x14ac:dyDescent="0.2">
      <c r="AD4481" s="98">
        <f t="shared" si="276"/>
        <v>49404</v>
      </c>
    </row>
    <row r="4482" spans="30:30" ht="14" thickBot="1" x14ac:dyDescent="0.2">
      <c r="AD4482" s="98">
        <f t="shared" si="276"/>
        <v>49405</v>
      </c>
    </row>
    <row r="4483" spans="30:30" ht="14" thickBot="1" x14ac:dyDescent="0.2">
      <c r="AD4483" s="98">
        <f t="shared" si="276"/>
        <v>49406</v>
      </c>
    </row>
    <row r="4484" spans="30:30" ht="14" thickBot="1" x14ac:dyDescent="0.2">
      <c r="AD4484" s="98">
        <f t="shared" si="276"/>
        <v>49407</v>
      </c>
    </row>
    <row r="4485" spans="30:30" ht="14" thickBot="1" x14ac:dyDescent="0.2">
      <c r="AD4485" s="98">
        <f t="shared" si="276"/>
        <v>49408</v>
      </c>
    </row>
    <row r="4486" spans="30:30" ht="14" thickBot="1" x14ac:dyDescent="0.2">
      <c r="AD4486" s="98">
        <f t="shared" si="276"/>
        <v>49409</v>
      </c>
    </row>
    <row r="4487" spans="30:30" ht="14" thickBot="1" x14ac:dyDescent="0.2">
      <c r="AD4487" s="98">
        <f t="shared" si="276"/>
        <v>49410</v>
      </c>
    </row>
    <row r="4488" spans="30:30" ht="14" thickBot="1" x14ac:dyDescent="0.2">
      <c r="AD4488" s="98">
        <f t="shared" si="276"/>
        <v>49411</v>
      </c>
    </row>
    <row r="4489" spans="30:30" ht="14" thickBot="1" x14ac:dyDescent="0.2">
      <c r="AD4489" s="98">
        <f t="shared" ref="AD4489:AD4552" si="277">AD4488+1</f>
        <v>49412</v>
      </c>
    </row>
    <row r="4490" spans="30:30" ht="14" thickBot="1" x14ac:dyDescent="0.2">
      <c r="AD4490" s="98">
        <f t="shared" si="277"/>
        <v>49413</v>
      </c>
    </row>
    <row r="4491" spans="30:30" ht="14" thickBot="1" x14ac:dyDescent="0.2">
      <c r="AD4491" s="98">
        <f t="shared" si="277"/>
        <v>49414</v>
      </c>
    </row>
    <row r="4492" spans="30:30" ht="14" thickBot="1" x14ac:dyDescent="0.2">
      <c r="AD4492" s="98">
        <f t="shared" si="277"/>
        <v>49415</v>
      </c>
    </row>
    <row r="4493" spans="30:30" ht="14" thickBot="1" x14ac:dyDescent="0.2">
      <c r="AD4493" s="98">
        <f t="shared" si="277"/>
        <v>49416</v>
      </c>
    </row>
    <row r="4494" spans="30:30" ht="14" thickBot="1" x14ac:dyDescent="0.2">
      <c r="AD4494" s="98">
        <f t="shared" si="277"/>
        <v>49417</v>
      </c>
    </row>
    <row r="4495" spans="30:30" ht="14" thickBot="1" x14ac:dyDescent="0.2">
      <c r="AD4495" s="98">
        <f t="shared" si="277"/>
        <v>49418</v>
      </c>
    </row>
    <row r="4496" spans="30:30" ht="14" thickBot="1" x14ac:dyDescent="0.2">
      <c r="AD4496" s="98">
        <f t="shared" si="277"/>
        <v>49419</v>
      </c>
    </row>
    <row r="4497" spans="30:30" ht="14" thickBot="1" x14ac:dyDescent="0.2">
      <c r="AD4497" s="98">
        <f t="shared" si="277"/>
        <v>49420</v>
      </c>
    </row>
    <row r="4498" spans="30:30" ht="14" thickBot="1" x14ac:dyDescent="0.2">
      <c r="AD4498" s="98">
        <f t="shared" si="277"/>
        <v>49421</v>
      </c>
    </row>
    <row r="4499" spans="30:30" ht="14" thickBot="1" x14ac:dyDescent="0.2">
      <c r="AD4499" s="98">
        <f t="shared" si="277"/>
        <v>49422</v>
      </c>
    </row>
    <row r="4500" spans="30:30" ht="14" thickBot="1" x14ac:dyDescent="0.2">
      <c r="AD4500" s="98">
        <f t="shared" si="277"/>
        <v>49423</v>
      </c>
    </row>
    <row r="4501" spans="30:30" ht="14" thickBot="1" x14ac:dyDescent="0.2">
      <c r="AD4501" s="98">
        <f t="shared" si="277"/>
        <v>49424</v>
      </c>
    </row>
    <row r="4502" spans="30:30" ht="14" thickBot="1" x14ac:dyDescent="0.2">
      <c r="AD4502" s="98">
        <f t="shared" si="277"/>
        <v>49425</v>
      </c>
    </row>
    <row r="4503" spans="30:30" ht="14" thickBot="1" x14ac:dyDescent="0.2">
      <c r="AD4503" s="98">
        <f t="shared" si="277"/>
        <v>49426</v>
      </c>
    </row>
    <row r="4504" spans="30:30" ht="14" thickBot="1" x14ac:dyDescent="0.2">
      <c r="AD4504" s="98">
        <f t="shared" si="277"/>
        <v>49427</v>
      </c>
    </row>
    <row r="4505" spans="30:30" ht="14" thickBot="1" x14ac:dyDescent="0.2">
      <c r="AD4505" s="98">
        <f t="shared" si="277"/>
        <v>49428</v>
      </c>
    </row>
    <row r="4506" spans="30:30" ht="14" thickBot="1" x14ac:dyDescent="0.2">
      <c r="AD4506" s="98">
        <f t="shared" si="277"/>
        <v>49429</v>
      </c>
    </row>
    <row r="4507" spans="30:30" ht="14" thickBot="1" x14ac:dyDescent="0.2">
      <c r="AD4507" s="98">
        <f t="shared" si="277"/>
        <v>49430</v>
      </c>
    </row>
    <row r="4508" spans="30:30" ht="14" thickBot="1" x14ac:dyDescent="0.2">
      <c r="AD4508" s="98">
        <f t="shared" si="277"/>
        <v>49431</v>
      </c>
    </row>
    <row r="4509" spans="30:30" ht="14" thickBot="1" x14ac:dyDescent="0.2">
      <c r="AD4509" s="98">
        <f t="shared" si="277"/>
        <v>49432</v>
      </c>
    </row>
    <row r="4510" spans="30:30" ht="14" thickBot="1" x14ac:dyDescent="0.2">
      <c r="AD4510" s="98">
        <f t="shared" si="277"/>
        <v>49433</v>
      </c>
    </row>
    <row r="4511" spans="30:30" ht="14" thickBot="1" x14ac:dyDescent="0.2">
      <c r="AD4511" s="98">
        <f t="shared" si="277"/>
        <v>49434</v>
      </c>
    </row>
    <row r="4512" spans="30:30" ht="14" thickBot="1" x14ac:dyDescent="0.2">
      <c r="AD4512" s="98">
        <f t="shared" si="277"/>
        <v>49435</v>
      </c>
    </row>
    <row r="4513" spans="30:30" ht="14" thickBot="1" x14ac:dyDescent="0.2">
      <c r="AD4513" s="98">
        <f t="shared" si="277"/>
        <v>49436</v>
      </c>
    </row>
    <row r="4514" spans="30:30" ht="14" thickBot="1" x14ac:dyDescent="0.2">
      <c r="AD4514" s="98">
        <f t="shared" si="277"/>
        <v>49437</v>
      </c>
    </row>
    <row r="4515" spans="30:30" ht="14" thickBot="1" x14ac:dyDescent="0.2">
      <c r="AD4515" s="98">
        <f t="shared" si="277"/>
        <v>49438</v>
      </c>
    </row>
    <row r="4516" spans="30:30" ht="14" thickBot="1" x14ac:dyDescent="0.2">
      <c r="AD4516" s="98">
        <f t="shared" si="277"/>
        <v>49439</v>
      </c>
    </row>
    <row r="4517" spans="30:30" ht="14" thickBot="1" x14ac:dyDescent="0.2">
      <c r="AD4517" s="98">
        <f t="shared" si="277"/>
        <v>49440</v>
      </c>
    </row>
    <row r="4518" spans="30:30" ht="14" thickBot="1" x14ac:dyDescent="0.2">
      <c r="AD4518" s="98">
        <f t="shared" si="277"/>
        <v>49441</v>
      </c>
    </row>
    <row r="4519" spans="30:30" ht="14" thickBot="1" x14ac:dyDescent="0.2">
      <c r="AD4519" s="98">
        <f t="shared" si="277"/>
        <v>49442</v>
      </c>
    </row>
    <row r="4520" spans="30:30" ht="14" thickBot="1" x14ac:dyDescent="0.2">
      <c r="AD4520" s="98">
        <f t="shared" si="277"/>
        <v>49443</v>
      </c>
    </row>
    <row r="4521" spans="30:30" ht="14" thickBot="1" x14ac:dyDescent="0.2">
      <c r="AD4521" s="98">
        <f t="shared" si="277"/>
        <v>49444</v>
      </c>
    </row>
    <row r="4522" spans="30:30" ht="14" thickBot="1" x14ac:dyDescent="0.2">
      <c r="AD4522" s="98">
        <f t="shared" si="277"/>
        <v>49445</v>
      </c>
    </row>
    <row r="4523" spans="30:30" ht="14" thickBot="1" x14ac:dyDescent="0.2">
      <c r="AD4523" s="98">
        <f t="shared" si="277"/>
        <v>49446</v>
      </c>
    </row>
    <row r="4524" spans="30:30" ht="14" thickBot="1" x14ac:dyDescent="0.2">
      <c r="AD4524" s="98">
        <f t="shared" si="277"/>
        <v>49447</v>
      </c>
    </row>
    <row r="4525" spans="30:30" ht="14" thickBot="1" x14ac:dyDescent="0.2">
      <c r="AD4525" s="98">
        <f t="shared" si="277"/>
        <v>49448</v>
      </c>
    </row>
    <row r="4526" spans="30:30" ht="14" thickBot="1" x14ac:dyDescent="0.2">
      <c r="AD4526" s="98">
        <f t="shared" si="277"/>
        <v>49449</v>
      </c>
    </row>
    <row r="4527" spans="30:30" ht="14" thickBot="1" x14ac:dyDescent="0.2">
      <c r="AD4527" s="98">
        <f t="shared" si="277"/>
        <v>49450</v>
      </c>
    </row>
    <row r="4528" spans="30:30" ht="14" thickBot="1" x14ac:dyDescent="0.2">
      <c r="AD4528" s="98">
        <f t="shared" si="277"/>
        <v>49451</v>
      </c>
    </row>
    <row r="4529" spans="30:30" ht="14" thickBot="1" x14ac:dyDescent="0.2">
      <c r="AD4529" s="98">
        <f t="shared" si="277"/>
        <v>49452</v>
      </c>
    </row>
    <row r="4530" spans="30:30" ht="14" thickBot="1" x14ac:dyDescent="0.2">
      <c r="AD4530" s="98">
        <f t="shared" si="277"/>
        <v>49453</v>
      </c>
    </row>
    <row r="4531" spans="30:30" ht="14" thickBot="1" x14ac:dyDescent="0.2">
      <c r="AD4531" s="98">
        <f t="shared" si="277"/>
        <v>49454</v>
      </c>
    </row>
    <row r="4532" spans="30:30" ht="14" thickBot="1" x14ac:dyDescent="0.2">
      <c r="AD4532" s="98">
        <f t="shared" si="277"/>
        <v>49455</v>
      </c>
    </row>
    <row r="4533" spans="30:30" ht="14" thickBot="1" x14ac:dyDescent="0.2">
      <c r="AD4533" s="98">
        <f t="shared" si="277"/>
        <v>49456</v>
      </c>
    </row>
    <row r="4534" spans="30:30" ht="14" thickBot="1" x14ac:dyDescent="0.2">
      <c r="AD4534" s="98">
        <f t="shared" si="277"/>
        <v>49457</v>
      </c>
    </row>
    <row r="4535" spans="30:30" ht="14" thickBot="1" x14ac:dyDescent="0.2">
      <c r="AD4535" s="98">
        <f t="shared" si="277"/>
        <v>49458</v>
      </c>
    </row>
    <row r="4536" spans="30:30" ht="14" thickBot="1" x14ac:dyDescent="0.2">
      <c r="AD4536" s="98">
        <f t="shared" si="277"/>
        <v>49459</v>
      </c>
    </row>
    <row r="4537" spans="30:30" ht="14" thickBot="1" x14ac:dyDescent="0.2">
      <c r="AD4537" s="98">
        <f t="shared" si="277"/>
        <v>49460</v>
      </c>
    </row>
    <row r="4538" spans="30:30" ht="14" thickBot="1" x14ac:dyDescent="0.2">
      <c r="AD4538" s="98">
        <f t="shared" si="277"/>
        <v>49461</v>
      </c>
    </row>
    <row r="4539" spans="30:30" ht="14" thickBot="1" x14ac:dyDescent="0.2">
      <c r="AD4539" s="98">
        <f t="shared" si="277"/>
        <v>49462</v>
      </c>
    </row>
    <row r="4540" spans="30:30" ht="14" thickBot="1" x14ac:dyDescent="0.2">
      <c r="AD4540" s="98">
        <f t="shared" si="277"/>
        <v>49463</v>
      </c>
    </row>
    <row r="4541" spans="30:30" ht="14" thickBot="1" x14ac:dyDescent="0.2">
      <c r="AD4541" s="98">
        <f t="shared" si="277"/>
        <v>49464</v>
      </c>
    </row>
    <row r="4542" spans="30:30" ht="14" thickBot="1" x14ac:dyDescent="0.2">
      <c r="AD4542" s="98">
        <f t="shared" si="277"/>
        <v>49465</v>
      </c>
    </row>
    <row r="4543" spans="30:30" ht="14" thickBot="1" x14ac:dyDescent="0.2">
      <c r="AD4543" s="98">
        <f t="shared" si="277"/>
        <v>49466</v>
      </c>
    </row>
    <row r="4544" spans="30:30" ht="14" thickBot="1" x14ac:dyDescent="0.2">
      <c r="AD4544" s="98">
        <f t="shared" si="277"/>
        <v>49467</v>
      </c>
    </row>
    <row r="4545" spans="30:30" ht="14" thickBot="1" x14ac:dyDescent="0.2">
      <c r="AD4545" s="98">
        <f t="shared" si="277"/>
        <v>49468</v>
      </c>
    </row>
    <row r="4546" spans="30:30" ht="14" thickBot="1" x14ac:dyDescent="0.2">
      <c r="AD4546" s="98">
        <f t="shared" si="277"/>
        <v>49469</v>
      </c>
    </row>
    <row r="4547" spans="30:30" ht="14" thickBot="1" x14ac:dyDescent="0.2">
      <c r="AD4547" s="98">
        <f t="shared" si="277"/>
        <v>49470</v>
      </c>
    </row>
    <row r="4548" spans="30:30" ht="14" thickBot="1" x14ac:dyDescent="0.2">
      <c r="AD4548" s="98">
        <f t="shared" si="277"/>
        <v>49471</v>
      </c>
    </row>
    <row r="4549" spans="30:30" ht="14" thickBot="1" x14ac:dyDescent="0.2">
      <c r="AD4549" s="98">
        <f t="shared" si="277"/>
        <v>49472</v>
      </c>
    </row>
    <row r="4550" spans="30:30" ht="14" thickBot="1" x14ac:dyDescent="0.2">
      <c r="AD4550" s="98">
        <f t="shared" si="277"/>
        <v>49473</v>
      </c>
    </row>
    <row r="4551" spans="30:30" ht="14" thickBot="1" x14ac:dyDescent="0.2">
      <c r="AD4551" s="98">
        <f t="shared" si="277"/>
        <v>49474</v>
      </c>
    </row>
    <row r="4552" spans="30:30" ht="14" thickBot="1" x14ac:dyDescent="0.2">
      <c r="AD4552" s="98">
        <f t="shared" si="277"/>
        <v>49475</v>
      </c>
    </row>
    <row r="4553" spans="30:30" ht="14" thickBot="1" x14ac:dyDescent="0.2">
      <c r="AD4553" s="98">
        <f t="shared" ref="AD4553:AD4616" si="278">AD4552+1</f>
        <v>49476</v>
      </c>
    </row>
    <row r="4554" spans="30:30" ht="14" thickBot="1" x14ac:dyDescent="0.2">
      <c r="AD4554" s="98">
        <f t="shared" si="278"/>
        <v>49477</v>
      </c>
    </row>
    <row r="4555" spans="30:30" ht="14" thickBot="1" x14ac:dyDescent="0.2">
      <c r="AD4555" s="98">
        <f t="shared" si="278"/>
        <v>49478</v>
      </c>
    </row>
    <row r="4556" spans="30:30" ht="14" thickBot="1" x14ac:dyDescent="0.2">
      <c r="AD4556" s="98">
        <f t="shared" si="278"/>
        <v>49479</v>
      </c>
    </row>
    <row r="4557" spans="30:30" ht="14" thickBot="1" x14ac:dyDescent="0.2">
      <c r="AD4557" s="98">
        <f t="shared" si="278"/>
        <v>49480</v>
      </c>
    </row>
    <row r="4558" spans="30:30" ht="14" thickBot="1" x14ac:dyDescent="0.2">
      <c r="AD4558" s="98">
        <f t="shared" si="278"/>
        <v>49481</v>
      </c>
    </row>
    <row r="4559" spans="30:30" ht="14" thickBot="1" x14ac:dyDescent="0.2">
      <c r="AD4559" s="98">
        <f t="shared" si="278"/>
        <v>49482</v>
      </c>
    </row>
    <row r="4560" spans="30:30" ht="14" thickBot="1" x14ac:dyDescent="0.2">
      <c r="AD4560" s="98">
        <f t="shared" si="278"/>
        <v>49483</v>
      </c>
    </row>
    <row r="4561" spans="30:30" ht="14" thickBot="1" x14ac:dyDescent="0.2">
      <c r="AD4561" s="98">
        <f t="shared" si="278"/>
        <v>49484</v>
      </c>
    </row>
    <row r="4562" spans="30:30" ht="14" thickBot="1" x14ac:dyDescent="0.2">
      <c r="AD4562" s="98">
        <f t="shared" si="278"/>
        <v>49485</v>
      </c>
    </row>
    <row r="4563" spans="30:30" ht="14" thickBot="1" x14ac:dyDescent="0.2">
      <c r="AD4563" s="98">
        <f t="shared" si="278"/>
        <v>49486</v>
      </c>
    </row>
    <row r="4564" spans="30:30" ht="14" thickBot="1" x14ac:dyDescent="0.2">
      <c r="AD4564" s="98">
        <f t="shared" si="278"/>
        <v>49487</v>
      </c>
    </row>
    <row r="4565" spans="30:30" ht="14" thickBot="1" x14ac:dyDescent="0.2">
      <c r="AD4565" s="98">
        <f t="shared" si="278"/>
        <v>49488</v>
      </c>
    </row>
    <row r="4566" spans="30:30" ht="14" thickBot="1" x14ac:dyDescent="0.2">
      <c r="AD4566" s="98">
        <f t="shared" si="278"/>
        <v>49489</v>
      </c>
    </row>
    <row r="4567" spans="30:30" ht="14" thickBot="1" x14ac:dyDescent="0.2">
      <c r="AD4567" s="98">
        <f t="shared" si="278"/>
        <v>49490</v>
      </c>
    </row>
    <row r="4568" spans="30:30" ht="14" thickBot="1" x14ac:dyDescent="0.2">
      <c r="AD4568" s="98">
        <f t="shared" si="278"/>
        <v>49491</v>
      </c>
    </row>
    <row r="4569" spans="30:30" ht="14" thickBot="1" x14ac:dyDescent="0.2">
      <c r="AD4569" s="98">
        <f t="shared" si="278"/>
        <v>49492</v>
      </c>
    </row>
    <row r="4570" spans="30:30" ht="14" thickBot="1" x14ac:dyDescent="0.2">
      <c r="AD4570" s="98">
        <f t="shared" si="278"/>
        <v>49493</v>
      </c>
    </row>
    <row r="4571" spans="30:30" ht="14" thickBot="1" x14ac:dyDescent="0.2">
      <c r="AD4571" s="98">
        <f t="shared" si="278"/>
        <v>49494</v>
      </c>
    </row>
    <row r="4572" spans="30:30" ht="14" thickBot="1" x14ac:dyDescent="0.2">
      <c r="AD4572" s="98">
        <f t="shared" si="278"/>
        <v>49495</v>
      </c>
    </row>
    <row r="4573" spans="30:30" ht="14" thickBot="1" x14ac:dyDescent="0.2">
      <c r="AD4573" s="98">
        <f t="shared" si="278"/>
        <v>49496</v>
      </c>
    </row>
    <row r="4574" spans="30:30" ht="14" thickBot="1" x14ac:dyDescent="0.2">
      <c r="AD4574" s="98">
        <f t="shared" si="278"/>
        <v>49497</v>
      </c>
    </row>
    <row r="4575" spans="30:30" ht="14" thickBot="1" x14ac:dyDescent="0.2">
      <c r="AD4575" s="98">
        <f t="shared" si="278"/>
        <v>49498</v>
      </c>
    </row>
    <row r="4576" spans="30:30" ht="14" thickBot="1" x14ac:dyDescent="0.2">
      <c r="AD4576" s="98">
        <f t="shared" si="278"/>
        <v>49499</v>
      </c>
    </row>
    <row r="4577" spans="30:30" ht="14" thickBot="1" x14ac:dyDescent="0.2">
      <c r="AD4577" s="98">
        <f t="shared" si="278"/>
        <v>49500</v>
      </c>
    </row>
    <row r="4578" spans="30:30" ht="14" thickBot="1" x14ac:dyDescent="0.2">
      <c r="AD4578" s="98">
        <f t="shared" si="278"/>
        <v>49501</v>
      </c>
    </row>
    <row r="4579" spans="30:30" ht="14" thickBot="1" x14ac:dyDescent="0.2">
      <c r="AD4579" s="98">
        <f t="shared" si="278"/>
        <v>49502</v>
      </c>
    </row>
    <row r="4580" spans="30:30" ht="14" thickBot="1" x14ac:dyDescent="0.2">
      <c r="AD4580" s="98">
        <f t="shared" si="278"/>
        <v>49503</v>
      </c>
    </row>
    <row r="4581" spans="30:30" ht="14" thickBot="1" x14ac:dyDescent="0.2">
      <c r="AD4581" s="98">
        <f t="shared" si="278"/>
        <v>49504</v>
      </c>
    </row>
    <row r="4582" spans="30:30" ht="14" thickBot="1" x14ac:dyDescent="0.2">
      <c r="AD4582" s="98">
        <f t="shared" si="278"/>
        <v>49505</v>
      </c>
    </row>
    <row r="4583" spans="30:30" ht="14" thickBot="1" x14ac:dyDescent="0.2">
      <c r="AD4583" s="98">
        <f t="shared" si="278"/>
        <v>49506</v>
      </c>
    </row>
    <row r="4584" spans="30:30" ht="14" thickBot="1" x14ac:dyDescent="0.2">
      <c r="AD4584" s="98">
        <f t="shared" si="278"/>
        <v>49507</v>
      </c>
    </row>
    <row r="4585" spans="30:30" ht="14" thickBot="1" x14ac:dyDescent="0.2">
      <c r="AD4585" s="98">
        <f t="shared" si="278"/>
        <v>49508</v>
      </c>
    </row>
    <row r="4586" spans="30:30" ht="14" thickBot="1" x14ac:dyDescent="0.2">
      <c r="AD4586" s="98">
        <f t="shared" si="278"/>
        <v>49509</v>
      </c>
    </row>
    <row r="4587" spans="30:30" ht="14" thickBot="1" x14ac:dyDescent="0.2">
      <c r="AD4587" s="98">
        <f t="shared" si="278"/>
        <v>49510</v>
      </c>
    </row>
    <row r="4588" spans="30:30" ht="14" thickBot="1" x14ac:dyDescent="0.2">
      <c r="AD4588" s="98">
        <f t="shared" si="278"/>
        <v>49511</v>
      </c>
    </row>
    <row r="4589" spans="30:30" ht="14" thickBot="1" x14ac:dyDescent="0.2">
      <c r="AD4589" s="98">
        <f t="shared" si="278"/>
        <v>49512</v>
      </c>
    </row>
    <row r="4590" spans="30:30" ht="14" thickBot="1" x14ac:dyDescent="0.2">
      <c r="AD4590" s="98">
        <f t="shared" si="278"/>
        <v>49513</v>
      </c>
    </row>
    <row r="4591" spans="30:30" ht="14" thickBot="1" x14ac:dyDescent="0.2">
      <c r="AD4591" s="98">
        <f t="shared" si="278"/>
        <v>49514</v>
      </c>
    </row>
    <row r="4592" spans="30:30" ht="14" thickBot="1" x14ac:dyDescent="0.2">
      <c r="AD4592" s="98">
        <f t="shared" si="278"/>
        <v>49515</v>
      </c>
    </row>
    <row r="4593" spans="30:30" ht="14" thickBot="1" x14ac:dyDescent="0.2">
      <c r="AD4593" s="98">
        <f t="shared" si="278"/>
        <v>49516</v>
      </c>
    </row>
    <row r="4594" spans="30:30" ht="14" thickBot="1" x14ac:dyDescent="0.2">
      <c r="AD4594" s="98">
        <f t="shared" si="278"/>
        <v>49517</v>
      </c>
    </row>
    <row r="4595" spans="30:30" ht="14" thickBot="1" x14ac:dyDescent="0.2">
      <c r="AD4595" s="98">
        <f t="shared" si="278"/>
        <v>49518</v>
      </c>
    </row>
    <row r="4596" spans="30:30" ht="14" thickBot="1" x14ac:dyDescent="0.2">
      <c r="AD4596" s="98">
        <f t="shared" si="278"/>
        <v>49519</v>
      </c>
    </row>
    <row r="4597" spans="30:30" ht="14" thickBot="1" x14ac:dyDescent="0.2">
      <c r="AD4597" s="98">
        <f t="shared" si="278"/>
        <v>49520</v>
      </c>
    </row>
    <row r="4598" spans="30:30" ht="14" thickBot="1" x14ac:dyDescent="0.2">
      <c r="AD4598" s="98">
        <f t="shared" si="278"/>
        <v>49521</v>
      </c>
    </row>
    <row r="4599" spans="30:30" ht="14" thickBot="1" x14ac:dyDescent="0.2">
      <c r="AD4599" s="98">
        <f t="shared" si="278"/>
        <v>49522</v>
      </c>
    </row>
    <row r="4600" spans="30:30" ht="14" thickBot="1" x14ac:dyDescent="0.2">
      <c r="AD4600" s="98">
        <f t="shared" si="278"/>
        <v>49523</v>
      </c>
    </row>
    <row r="4601" spans="30:30" ht="14" thickBot="1" x14ac:dyDescent="0.2">
      <c r="AD4601" s="98">
        <f t="shared" si="278"/>
        <v>49524</v>
      </c>
    </row>
    <row r="4602" spans="30:30" ht="14" thickBot="1" x14ac:dyDescent="0.2">
      <c r="AD4602" s="98">
        <f t="shared" si="278"/>
        <v>49525</v>
      </c>
    </row>
    <row r="4603" spans="30:30" ht="14" thickBot="1" x14ac:dyDescent="0.2">
      <c r="AD4603" s="98">
        <f t="shared" si="278"/>
        <v>49526</v>
      </c>
    </row>
    <row r="4604" spans="30:30" ht="14" thickBot="1" x14ac:dyDescent="0.2">
      <c r="AD4604" s="98">
        <f t="shared" si="278"/>
        <v>49527</v>
      </c>
    </row>
    <row r="4605" spans="30:30" ht="14" thickBot="1" x14ac:dyDescent="0.2">
      <c r="AD4605" s="98">
        <f t="shared" si="278"/>
        <v>49528</v>
      </c>
    </row>
    <row r="4606" spans="30:30" ht="14" thickBot="1" x14ac:dyDescent="0.2">
      <c r="AD4606" s="98">
        <f t="shared" si="278"/>
        <v>49529</v>
      </c>
    </row>
    <row r="4607" spans="30:30" ht="14" thickBot="1" x14ac:dyDescent="0.2">
      <c r="AD4607" s="98">
        <f t="shared" si="278"/>
        <v>49530</v>
      </c>
    </row>
    <row r="4608" spans="30:30" ht="14" thickBot="1" x14ac:dyDescent="0.2">
      <c r="AD4608" s="98">
        <f t="shared" si="278"/>
        <v>49531</v>
      </c>
    </row>
    <row r="4609" spans="30:30" ht="14" thickBot="1" x14ac:dyDescent="0.2">
      <c r="AD4609" s="98">
        <f t="shared" si="278"/>
        <v>49532</v>
      </c>
    </row>
    <row r="4610" spans="30:30" ht="14" thickBot="1" x14ac:dyDescent="0.2">
      <c r="AD4610" s="98">
        <f t="shared" si="278"/>
        <v>49533</v>
      </c>
    </row>
    <row r="4611" spans="30:30" ht="14" thickBot="1" x14ac:dyDescent="0.2">
      <c r="AD4611" s="98">
        <f t="shared" si="278"/>
        <v>49534</v>
      </c>
    </row>
    <row r="4612" spans="30:30" ht="14" thickBot="1" x14ac:dyDescent="0.2">
      <c r="AD4612" s="98">
        <f t="shared" si="278"/>
        <v>49535</v>
      </c>
    </row>
    <row r="4613" spans="30:30" ht="14" thickBot="1" x14ac:dyDescent="0.2">
      <c r="AD4613" s="98">
        <f t="shared" si="278"/>
        <v>49536</v>
      </c>
    </row>
    <row r="4614" spans="30:30" ht="14" thickBot="1" x14ac:dyDescent="0.2">
      <c r="AD4614" s="98">
        <f t="shared" si="278"/>
        <v>49537</v>
      </c>
    </row>
    <row r="4615" spans="30:30" ht="14" thickBot="1" x14ac:dyDescent="0.2">
      <c r="AD4615" s="98">
        <f t="shared" si="278"/>
        <v>49538</v>
      </c>
    </row>
    <row r="4616" spans="30:30" ht="14" thickBot="1" x14ac:dyDescent="0.2">
      <c r="AD4616" s="98">
        <f t="shared" si="278"/>
        <v>49539</v>
      </c>
    </row>
    <row r="4617" spans="30:30" ht="14" thickBot="1" x14ac:dyDescent="0.2">
      <c r="AD4617" s="98">
        <f t="shared" ref="AD4617:AD4680" si="279">AD4616+1</f>
        <v>49540</v>
      </c>
    </row>
    <row r="4618" spans="30:30" ht="14" thickBot="1" x14ac:dyDescent="0.2">
      <c r="AD4618" s="98">
        <f t="shared" si="279"/>
        <v>49541</v>
      </c>
    </row>
    <row r="4619" spans="30:30" ht="14" thickBot="1" x14ac:dyDescent="0.2">
      <c r="AD4619" s="98">
        <f t="shared" si="279"/>
        <v>49542</v>
      </c>
    </row>
    <row r="4620" spans="30:30" ht="14" thickBot="1" x14ac:dyDescent="0.2">
      <c r="AD4620" s="98">
        <f t="shared" si="279"/>
        <v>49543</v>
      </c>
    </row>
    <row r="4621" spans="30:30" ht="14" thickBot="1" x14ac:dyDescent="0.2">
      <c r="AD4621" s="98">
        <f t="shared" si="279"/>
        <v>49544</v>
      </c>
    </row>
    <row r="4622" spans="30:30" ht="14" thickBot="1" x14ac:dyDescent="0.2">
      <c r="AD4622" s="98">
        <f t="shared" si="279"/>
        <v>49545</v>
      </c>
    </row>
    <row r="4623" spans="30:30" ht="14" thickBot="1" x14ac:dyDescent="0.2">
      <c r="AD4623" s="98">
        <f t="shared" si="279"/>
        <v>49546</v>
      </c>
    </row>
    <row r="4624" spans="30:30" ht="14" thickBot="1" x14ac:dyDescent="0.2">
      <c r="AD4624" s="98">
        <f t="shared" si="279"/>
        <v>49547</v>
      </c>
    </row>
    <row r="4625" spans="30:30" ht="14" thickBot="1" x14ac:dyDescent="0.2">
      <c r="AD4625" s="98">
        <f t="shared" si="279"/>
        <v>49548</v>
      </c>
    </row>
    <row r="4626" spans="30:30" ht="14" thickBot="1" x14ac:dyDescent="0.2">
      <c r="AD4626" s="98">
        <f t="shared" si="279"/>
        <v>49549</v>
      </c>
    </row>
    <row r="4627" spans="30:30" ht="14" thickBot="1" x14ac:dyDescent="0.2">
      <c r="AD4627" s="98">
        <f t="shared" si="279"/>
        <v>49550</v>
      </c>
    </row>
    <row r="4628" spans="30:30" ht="14" thickBot="1" x14ac:dyDescent="0.2">
      <c r="AD4628" s="98">
        <f t="shared" si="279"/>
        <v>49551</v>
      </c>
    </row>
    <row r="4629" spans="30:30" ht="14" thickBot="1" x14ac:dyDescent="0.2">
      <c r="AD4629" s="98">
        <f t="shared" si="279"/>
        <v>49552</v>
      </c>
    </row>
    <row r="4630" spans="30:30" ht="14" thickBot="1" x14ac:dyDescent="0.2">
      <c r="AD4630" s="98">
        <f t="shared" si="279"/>
        <v>49553</v>
      </c>
    </row>
    <row r="4631" spans="30:30" ht="14" thickBot="1" x14ac:dyDescent="0.2">
      <c r="AD4631" s="98">
        <f t="shared" si="279"/>
        <v>49554</v>
      </c>
    </row>
    <row r="4632" spans="30:30" ht="14" thickBot="1" x14ac:dyDescent="0.2">
      <c r="AD4632" s="98">
        <f t="shared" si="279"/>
        <v>49555</v>
      </c>
    </row>
    <row r="4633" spans="30:30" ht="14" thickBot="1" x14ac:dyDescent="0.2">
      <c r="AD4633" s="98">
        <f t="shared" si="279"/>
        <v>49556</v>
      </c>
    </row>
    <row r="4634" spans="30:30" ht="14" thickBot="1" x14ac:dyDescent="0.2">
      <c r="AD4634" s="98">
        <f t="shared" si="279"/>
        <v>49557</v>
      </c>
    </row>
    <row r="4635" spans="30:30" ht="14" thickBot="1" x14ac:dyDescent="0.2">
      <c r="AD4635" s="98">
        <f t="shared" si="279"/>
        <v>49558</v>
      </c>
    </row>
    <row r="4636" spans="30:30" ht="14" thickBot="1" x14ac:dyDescent="0.2">
      <c r="AD4636" s="98">
        <f t="shared" si="279"/>
        <v>49559</v>
      </c>
    </row>
    <row r="4637" spans="30:30" ht="14" thickBot="1" x14ac:dyDescent="0.2">
      <c r="AD4637" s="98">
        <f t="shared" si="279"/>
        <v>49560</v>
      </c>
    </row>
    <row r="4638" spans="30:30" ht="14" thickBot="1" x14ac:dyDescent="0.2">
      <c r="AD4638" s="98">
        <f t="shared" si="279"/>
        <v>49561</v>
      </c>
    </row>
    <row r="4639" spans="30:30" ht="14" thickBot="1" x14ac:dyDescent="0.2">
      <c r="AD4639" s="98">
        <f t="shared" si="279"/>
        <v>49562</v>
      </c>
    </row>
    <row r="4640" spans="30:30" ht="14" thickBot="1" x14ac:dyDescent="0.2">
      <c r="AD4640" s="98">
        <f t="shared" si="279"/>
        <v>49563</v>
      </c>
    </row>
    <row r="4641" spans="30:30" ht="14" thickBot="1" x14ac:dyDescent="0.2">
      <c r="AD4641" s="98">
        <f t="shared" si="279"/>
        <v>49564</v>
      </c>
    </row>
    <row r="4642" spans="30:30" ht="14" thickBot="1" x14ac:dyDescent="0.2">
      <c r="AD4642" s="98">
        <f t="shared" si="279"/>
        <v>49565</v>
      </c>
    </row>
    <row r="4643" spans="30:30" ht="14" thickBot="1" x14ac:dyDescent="0.2">
      <c r="AD4643" s="98">
        <f t="shared" si="279"/>
        <v>49566</v>
      </c>
    </row>
    <row r="4644" spans="30:30" ht="14" thickBot="1" x14ac:dyDescent="0.2">
      <c r="AD4644" s="98">
        <f t="shared" si="279"/>
        <v>49567</v>
      </c>
    </row>
    <row r="4645" spans="30:30" ht="14" thickBot="1" x14ac:dyDescent="0.2">
      <c r="AD4645" s="98">
        <f t="shared" si="279"/>
        <v>49568</v>
      </c>
    </row>
    <row r="4646" spans="30:30" ht="14" thickBot="1" x14ac:dyDescent="0.2">
      <c r="AD4646" s="98">
        <f t="shared" si="279"/>
        <v>49569</v>
      </c>
    </row>
    <row r="4647" spans="30:30" ht="14" thickBot="1" x14ac:dyDescent="0.2">
      <c r="AD4647" s="98">
        <f t="shared" si="279"/>
        <v>49570</v>
      </c>
    </row>
    <row r="4648" spans="30:30" ht="14" thickBot="1" x14ac:dyDescent="0.2">
      <c r="AD4648" s="98">
        <f t="shared" si="279"/>
        <v>49571</v>
      </c>
    </row>
    <row r="4649" spans="30:30" ht="14" thickBot="1" x14ac:dyDescent="0.2">
      <c r="AD4649" s="98">
        <f t="shared" si="279"/>
        <v>49572</v>
      </c>
    </row>
    <row r="4650" spans="30:30" ht="14" thickBot="1" x14ac:dyDescent="0.2">
      <c r="AD4650" s="98">
        <f t="shared" si="279"/>
        <v>49573</v>
      </c>
    </row>
    <row r="4651" spans="30:30" ht="14" thickBot="1" x14ac:dyDescent="0.2">
      <c r="AD4651" s="98">
        <f t="shared" si="279"/>
        <v>49574</v>
      </c>
    </row>
    <row r="4652" spans="30:30" ht="14" thickBot="1" x14ac:dyDescent="0.2">
      <c r="AD4652" s="98">
        <f t="shared" si="279"/>
        <v>49575</v>
      </c>
    </row>
    <row r="4653" spans="30:30" ht="14" thickBot="1" x14ac:dyDescent="0.2">
      <c r="AD4653" s="98">
        <f t="shared" si="279"/>
        <v>49576</v>
      </c>
    </row>
    <row r="4654" spans="30:30" ht="14" thickBot="1" x14ac:dyDescent="0.2">
      <c r="AD4654" s="98">
        <f t="shared" si="279"/>
        <v>49577</v>
      </c>
    </row>
    <row r="4655" spans="30:30" ht="14" thickBot="1" x14ac:dyDescent="0.2">
      <c r="AD4655" s="98">
        <f t="shared" si="279"/>
        <v>49578</v>
      </c>
    </row>
    <row r="4656" spans="30:30" ht="14" thickBot="1" x14ac:dyDescent="0.2">
      <c r="AD4656" s="98">
        <f t="shared" si="279"/>
        <v>49579</v>
      </c>
    </row>
    <row r="4657" spans="30:30" ht="14" thickBot="1" x14ac:dyDescent="0.2">
      <c r="AD4657" s="98">
        <f t="shared" si="279"/>
        <v>49580</v>
      </c>
    </row>
    <row r="4658" spans="30:30" ht="14" thickBot="1" x14ac:dyDescent="0.2">
      <c r="AD4658" s="98">
        <f t="shared" si="279"/>
        <v>49581</v>
      </c>
    </row>
    <row r="4659" spans="30:30" ht="14" thickBot="1" x14ac:dyDescent="0.2">
      <c r="AD4659" s="98">
        <f t="shared" si="279"/>
        <v>49582</v>
      </c>
    </row>
    <row r="4660" spans="30:30" ht="14" thickBot="1" x14ac:dyDescent="0.2">
      <c r="AD4660" s="98">
        <f t="shared" si="279"/>
        <v>49583</v>
      </c>
    </row>
    <row r="4661" spans="30:30" ht="14" thickBot="1" x14ac:dyDescent="0.2">
      <c r="AD4661" s="98">
        <f t="shared" si="279"/>
        <v>49584</v>
      </c>
    </row>
    <row r="4662" spans="30:30" ht="14" thickBot="1" x14ac:dyDescent="0.2">
      <c r="AD4662" s="98">
        <f t="shared" si="279"/>
        <v>49585</v>
      </c>
    </row>
    <row r="4663" spans="30:30" ht="14" thickBot="1" x14ac:dyDescent="0.2">
      <c r="AD4663" s="98">
        <f t="shared" si="279"/>
        <v>49586</v>
      </c>
    </row>
    <row r="4664" spans="30:30" ht="14" thickBot="1" x14ac:dyDescent="0.2">
      <c r="AD4664" s="98">
        <f t="shared" si="279"/>
        <v>49587</v>
      </c>
    </row>
    <row r="4665" spans="30:30" ht="14" thickBot="1" x14ac:dyDescent="0.2">
      <c r="AD4665" s="98">
        <f t="shared" si="279"/>
        <v>49588</v>
      </c>
    </row>
    <row r="4666" spans="30:30" ht="14" thickBot="1" x14ac:dyDescent="0.2">
      <c r="AD4666" s="98">
        <f t="shared" si="279"/>
        <v>49589</v>
      </c>
    </row>
    <row r="4667" spans="30:30" ht="14" thickBot="1" x14ac:dyDescent="0.2">
      <c r="AD4667" s="98">
        <f t="shared" si="279"/>
        <v>49590</v>
      </c>
    </row>
    <row r="4668" spans="30:30" ht="14" thickBot="1" x14ac:dyDescent="0.2">
      <c r="AD4668" s="98">
        <f t="shared" si="279"/>
        <v>49591</v>
      </c>
    </row>
    <row r="4669" spans="30:30" ht="14" thickBot="1" x14ac:dyDescent="0.2">
      <c r="AD4669" s="98">
        <f t="shared" si="279"/>
        <v>49592</v>
      </c>
    </row>
    <row r="4670" spans="30:30" ht="14" thickBot="1" x14ac:dyDescent="0.2">
      <c r="AD4670" s="98">
        <f t="shared" si="279"/>
        <v>49593</v>
      </c>
    </row>
    <row r="4671" spans="30:30" ht="14" thickBot="1" x14ac:dyDescent="0.2">
      <c r="AD4671" s="98">
        <f t="shared" si="279"/>
        <v>49594</v>
      </c>
    </row>
    <row r="4672" spans="30:30" ht="14" thickBot="1" x14ac:dyDescent="0.2">
      <c r="AD4672" s="98">
        <f t="shared" si="279"/>
        <v>49595</v>
      </c>
    </row>
    <row r="4673" spans="30:30" ht="14" thickBot="1" x14ac:dyDescent="0.2">
      <c r="AD4673" s="98">
        <f t="shared" si="279"/>
        <v>49596</v>
      </c>
    </row>
    <row r="4674" spans="30:30" ht="14" thickBot="1" x14ac:dyDescent="0.2">
      <c r="AD4674" s="98">
        <f t="shared" si="279"/>
        <v>49597</v>
      </c>
    </row>
    <row r="4675" spans="30:30" ht="14" thickBot="1" x14ac:dyDescent="0.2">
      <c r="AD4675" s="98">
        <f t="shared" si="279"/>
        <v>49598</v>
      </c>
    </row>
    <row r="4676" spans="30:30" ht="14" thickBot="1" x14ac:dyDescent="0.2">
      <c r="AD4676" s="98">
        <f t="shared" si="279"/>
        <v>49599</v>
      </c>
    </row>
    <row r="4677" spans="30:30" ht="14" thickBot="1" x14ac:dyDescent="0.2">
      <c r="AD4677" s="98">
        <f t="shared" si="279"/>
        <v>49600</v>
      </c>
    </row>
    <row r="4678" spans="30:30" ht="14" thickBot="1" x14ac:dyDescent="0.2">
      <c r="AD4678" s="98">
        <f t="shared" si="279"/>
        <v>49601</v>
      </c>
    </row>
    <row r="4679" spans="30:30" ht="14" thickBot="1" x14ac:dyDescent="0.2">
      <c r="AD4679" s="98">
        <f t="shared" si="279"/>
        <v>49602</v>
      </c>
    </row>
    <row r="4680" spans="30:30" ht="14" thickBot="1" x14ac:dyDescent="0.2">
      <c r="AD4680" s="98">
        <f t="shared" si="279"/>
        <v>49603</v>
      </c>
    </row>
    <row r="4681" spans="30:30" ht="14" thickBot="1" x14ac:dyDescent="0.2">
      <c r="AD4681" s="98">
        <f t="shared" ref="AD4681:AD4744" si="280">AD4680+1</f>
        <v>49604</v>
      </c>
    </row>
    <row r="4682" spans="30:30" ht="14" thickBot="1" x14ac:dyDescent="0.2">
      <c r="AD4682" s="98">
        <f t="shared" si="280"/>
        <v>49605</v>
      </c>
    </row>
    <row r="4683" spans="30:30" ht="14" thickBot="1" x14ac:dyDescent="0.2">
      <c r="AD4683" s="98">
        <f t="shared" si="280"/>
        <v>49606</v>
      </c>
    </row>
    <row r="4684" spans="30:30" ht="14" thickBot="1" x14ac:dyDescent="0.2">
      <c r="AD4684" s="98">
        <f t="shared" si="280"/>
        <v>49607</v>
      </c>
    </row>
    <row r="4685" spans="30:30" ht="14" thickBot="1" x14ac:dyDescent="0.2">
      <c r="AD4685" s="98">
        <f t="shared" si="280"/>
        <v>49608</v>
      </c>
    </row>
    <row r="4686" spans="30:30" ht="14" thickBot="1" x14ac:dyDescent="0.2">
      <c r="AD4686" s="98">
        <f t="shared" si="280"/>
        <v>49609</v>
      </c>
    </row>
    <row r="4687" spans="30:30" ht="14" thickBot="1" x14ac:dyDescent="0.2">
      <c r="AD4687" s="98">
        <f t="shared" si="280"/>
        <v>49610</v>
      </c>
    </row>
    <row r="4688" spans="30:30" ht="14" thickBot="1" x14ac:dyDescent="0.2">
      <c r="AD4688" s="98">
        <f t="shared" si="280"/>
        <v>49611</v>
      </c>
    </row>
    <row r="4689" spans="30:30" ht="14" thickBot="1" x14ac:dyDescent="0.2">
      <c r="AD4689" s="98">
        <f t="shared" si="280"/>
        <v>49612</v>
      </c>
    </row>
    <row r="4690" spans="30:30" ht="14" thickBot="1" x14ac:dyDescent="0.2">
      <c r="AD4690" s="98">
        <f t="shared" si="280"/>
        <v>49613</v>
      </c>
    </row>
    <row r="4691" spans="30:30" ht="14" thickBot="1" x14ac:dyDescent="0.2">
      <c r="AD4691" s="98">
        <f t="shared" si="280"/>
        <v>49614</v>
      </c>
    </row>
    <row r="4692" spans="30:30" ht="14" thickBot="1" x14ac:dyDescent="0.2">
      <c r="AD4692" s="98">
        <f t="shared" si="280"/>
        <v>49615</v>
      </c>
    </row>
    <row r="4693" spans="30:30" ht="14" thickBot="1" x14ac:dyDescent="0.2">
      <c r="AD4693" s="98">
        <f t="shared" si="280"/>
        <v>49616</v>
      </c>
    </row>
    <row r="4694" spans="30:30" ht="14" thickBot="1" x14ac:dyDescent="0.2">
      <c r="AD4694" s="98">
        <f t="shared" si="280"/>
        <v>49617</v>
      </c>
    </row>
    <row r="4695" spans="30:30" ht="14" thickBot="1" x14ac:dyDescent="0.2">
      <c r="AD4695" s="98">
        <f t="shared" si="280"/>
        <v>49618</v>
      </c>
    </row>
    <row r="4696" spans="30:30" ht="14" thickBot="1" x14ac:dyDescent="0.2">
      <c r="AD4696" s="98">
        <f t="shared" si="280"/>
        <v>49619</v>
      </c>
    </row>
    <row r="4697" spans="30:30" ht="14" thickBot="1" x14ac:dyDescent="0.2">
      <c r="AD4697" s="98">
        <f t="shared" si="280"/>
        <v>49620</v>
      </c>
    </row>
    <row r="4698" spans="30:30" ht="14" thickBot="1" x14ac:dyDescent="0.2">
      <c r="AD4698" s="98">
        <f t="shared" si="280"/>
        <v>49621</v>
      </c>
    </row>
    <row r="4699" spans="30:30" ht="14" thickBot="1" x14ac:dyDescent="0.2">
      <c r="AD4699" s="98">
        <f t="shared" si="280"/>
        <v>49622</v>
      </c>
    </row>
    <row r="4700" spans="30:30" ht="14" thickBot="1" x14ac:dyDescent="0.2">
      <c r="AD4700" s="98">
        <f t="shared" si="280"/>
        <v>49623</v>
      </c>
    </row>
    <row r="4701" spans="30:30" ht="14" thickBot="1" x14ac:dyDescent="0.2">
      <c r="AD4701" s="98">
        <f t="shared" si="280"/>
        <v>49624</v>
      </c>
    </row>
    <row r="4702" spans="30:30" ht="14" thickBot="1" x14ac:dyDescent="0.2">
      <c r="AD4702" s="98">
        <f t="shared" si="280"/>
        <v>49625</v>
      </c>
    </row>
    <row r="4703" spans="30:30" ht="14" thickBot="1" x14ac:dyDescent="0.2">
      <c r="AD4703" s="98">
        <f t="shared" si="280"/>
        <v>49626</v>
      </c>
    </row>
    <row r="4704" spans="30:30" ht="14" thickBot="1" x14ac:dyDescent="0.2">
      <c r="AD4704" s="98">
        <f t="shared" si="280"/>
        <v>49627</v>
      </c>
    </row>
    <row r="4705" spans="30:30" ht="14" thickBot="1" x14ac:dyDescent="0.2">
      <c r="AD4705" s="98">
        <f t="shared" si="280"/>
        <v>49628</v>
      </c>
    </row>
    <row r="4706" spans="30:30" ht="14" thickBot="1" x14ac:dyDescent="0.2">
      <c r="AD4706" s="98">
        <f t="shared" si="280"/>
        <v>49629</v>
      </c>
    </row>
    <row r="4707" spans="30:30" ht="14" thickBot="1" x14ac:dyDescent="0.2">
      <c r="AD4707" s="98">
        <f t="shared" si="280"/>
        <v>49630</v>
      </c>
    </row>
    <row r="4708" spans="30:30" ht="14" thickBot="1" x14ac:dyDescent="0.2">
      <c r="AD4708" s="98">
        <f t="shared" si="280"/>
        <v>49631</v>
      </c>
    </row>
    <row r="4709" spans="30:30" ht="14" thickBot="1" x14ac:dyDescent="0.2">
      <c r="AD4709" s="98">
        <f t="shared" si="280"/>
        <v>49632</v>
      </c>
    </row>
    <row r="4710" spans="30:30" ht="14" thickBot="1" x14ac:dyDescent="0.2">
      <c r="AD4710" s="98">
        <f t="shared" si="280"/>
        <v>49633</v>
      </c>
    </row>
    <row r="4711" spans="30:30" ht="14" thickBot="1" x14ac:dyDescent="0.2">
      <c r="AD4711" s="98">
        <f t="shared" si="280"/>
        <v>49634</v>
      </c>
    </row>
    <row r="4712" spans="30:30" ht="14" thickBot="1" x14ac:dyDescent="0.2">
      <c r="AD4712" s="98">
        <f t="shared" si="280"/>
        <v>49635</v>
      </c>
    </row>
    <row r="4713" spans="30:30" ht="14" thickBot="1" x14ac:dyDescent="0.2">
      <c r="AD4713" s="98">
        <f t="shared" si="280"/>
        <v>49636</v>
      </c>
    </row>
    <row r="4714" spans="30:30" ht="14" thickBot="1" x14ac:dyDescent="0.2">
      <c r="AD4714" s="98">
        <f t="shared" si="280"/>
        <v>49637</v>
      </c>
    </row>
    <row r="4715" spans="30:30" ht="14" thickBot="1" x14ac:dyDescent="0.2">
      <c r="AD4715" s="98">
        <f t="shared" si="280"/>
        <v>49638</v>
      </c>
    </row>
    <row r="4716" spans="30:30" ht="14" thickBot="1" x14ac:dyDescent="0.2">
      <c r="AD4716" s="98">
        <f t="shared" si="280"/>
        <v>49639</v>
      </c>
    </row>
    <row r="4717" spans="30:30" ht="14" thickBot="1" x14ac:dyDescent="0.2">
      <c r="AD4717" s="98">
        <f t="shared" si="280"/>
        <v>49640</v>
      </c>
    </row>
    <row r="4718" spans="30:30" ht="14" thickBot="1" x14ac:dyDescent="0.2">
      <c r="AD4718" s="98">
        <f t="shared" si="280"/>
        <v>49641</v>
      </c>
    </row>
    <row r="4719" spans="30:30" ht="14" thickBot="1" x14ac:dyDescent="0.2">
      <c r="AD4719" s="98">
        <f t="shared" si="280"/>
        <v>49642</v>
      </c>
    </row>
    <row r="4720" spans="30:30" ht="14" thickBot="1" x14ac:dyDescent="0.2">
      <c r="AD4720" s="98">
        <f t="shared" si="280"/>
        <v>49643</v>
      </c>
    </row>
    <row r="4721" spans="30:30" ht="14" thickBot="1" x14ac:dyDescent="0.2">
      <c r="AD4721" s="98">
        <f t="shared" si="280"/>
        <v>49644</v>
      </c>
    </row>
    <row r="4722" spans="30:30" ht="14" thickBot="1" x14ac:dyDescent="0.2">
      <c r="AD4722" s="98">
        <f t="shared" si="280"/>
        <v>49645</v>
      </c>
    </row>
    <row r="4723" spans="30:30" ht="14" thickBot="1" x14ac:dyDescent="0.2">
      <c r="AD4723" s="98">
        <f t="shared" si="280"/>
        <v>49646</v>
      </c>
    </row>
    <row r="4724" spans="30:30" ht="14" thickBot="1" x14ac:dyDescent="0.2">
      <c r="AD4724" s="98">
        <f t="shared" si="280"/>
        <v>49647</v>
      </c>
    </row>
    <row r="4725" spans="30:30" ht="14" thickBot="1" x14ac:dyDescent="0.2">
      <c r="AD4725" s="98">
        <f t="shared" si="280"/>
        <v>49648</v>
      </c>
    </row>
    <row r="4726" spans="30:30" ht="14" thickBot="1" x14ac:dyDescent="0.2">
      <c r="AD4726" s="98">
        <f t="shared" si="280"/>
        <v>49649</v>
      </c>
    </row>
    <row r="4727" spans="30:30" ht="14" thickBot="1" x14ac:dyDescent="0.2">
      <c r="AD4727" s="98">
        <f t="shared" si="280"/>
        <v>49650</v>
      </c>
    </row>
    <row r="4728" spans="30:30" ht="14" thickBot="1" x14ac:dyDescent="0.2">
      <c r="AD4728" s="98">
        <f t="shared" si="280"/>
        <v>49651</v>
      </c>
    </row>
    <row r="4729" spans="30:30" ht="14" thickBot="1" x14ac:dyDescent="0.2">
      <c r="AD4729" s="98">
        <f t="shared" si="280"/>
        <v>49652</v>
      </c>
    </row>
    <row r="4730" spans="30:30" ht="14" thickBot="1" x14ac:dyDescent="0.2">
      <c r="AD4730" s="98">
        <f t="shared" si="280"/>
        <v>49653</v>
      </c>
    </row>
    <row r="4731" spans="30:30" ht="14" thickBot="1" x14ac:dyDescent="0.2">
      <c r="AD4731" s="98">
        <f t="shared" si="280"/>
        <v>49654</v>
      </c>
    </row>
    <row r="4732" spans="30:30" ht="14" thickBot="1" x14ac:dyDescent="0.2">
      <c r="AD4732" s="98">
        <f t="shared" si="280"/>
        <v>49655</v>
      </c>
    </row>
    <row r="4733" spans="30:30" ht="14" thickBot="1" x14ac:dyDescent="0.2">
      <c r="AD4733" s="98">
        <f t="shared" si="280"/>
        <v>49656</v>
      </c>
    </row>
    <row r="4734" spans="30:30" ht="14" thickBot="1" x14ac:dyDescent="0.2">
      <c r="AD4734" s="98">
        <f t="shared" si="280"/>
        <v>49657</v>
      </c>
    </row>
    <row r="4735" spans="30:30" ht="14" thickBot="1" x14ac:dyDescent="0.2">
      <c r="AD4735" s="98">
        <f t="shared" si="280"/>
        <v>49658</v>
      </c>
    </row>
    <row r="4736" spans="30:30" ht="14" thickBot="1" x14ac:dyDescent="0.2">
      <c r="AD4736" s="98">
        <f t="shared" si="280"/>
        <v>49659</v>
      </c>
    </row>
    <row r="4737" spans="30:30" ht="14" thickBot="1" x14ac:dyDescent="0.2">
      <c r="AD4737" s="98">
        <f t="shared" si="280"/>
        <v>49660</v>
      </c>
    </row>
    <row r="4738" spans="30:30" ht="14" thickBot="1" x14ac:dyDescent="0.2">
      <c r="AD4738" s="98">
        <f t="shared" si="280"/>
        <v>49661</v>
      </c>
    </row>
    <row r="4739" spans="30:30" ht="14" thickBot="1" x14ac:dyDescent="0.2">
      <c r="AD4739" s="98">
        <f t="shared" si="280"/>
        <v>49662</v>
      </c>
    </row>
    <row r="4740" spans="30:30" ht="14" thickBot="1" x14ac:dyDescent="0.2">
      <c r="AD4740" s="98">
        <f t="shared" si="280"/>
        <v>49663</v>
      </c>
    </row>
    <row r="4741" spans="30:30" ht="14" thickBot="1" x14ac:dyDescent="0.2">
      <c r="AD4741" s="98">
        <f t="shared" si="280"/>
        <v>49664</v>
      </c>
    </row>
    <row r="4742" spans="30:30" ht="14" thickBot="1" x14ac:dyDescent="0.2">
      <c r="AD4742" s="98">
        <f t="shared" si="280"/>
        <v>49665</v>
      </c>
    </row>
    <row r="4743" spans="30:30" ht="14" thickBot="1" x14ac:dyDescent="0.2">
      <c r="AD4743" s="98">
        <f t="shared" si="280"/>
        <v>49666</v>
      </c>
    </row>
    <row r="4744" spans="30:30" ht="14" thickBot="1" x14ac:dyDescent="0.2">
      <c r="AD4744" s="98">
        <f t="shared" si="280"/>
        <v>49667</v>
      </c>
    </row>
    <row r="4745" spans="30:30" ht="14" thickBot="1" x14ac:dyDescent="0.2">
      <c r="AD4745" s="98">
        <f t="shared" ref="AD4745:AD4808" si="281">AD4744+1</f>
        <v>49668</v>
      </c>
    </row>
    <row r="4746" spans="30:30" ht="14" thickBot="1" x14ac:dyDescent="0.2">
      <c r="AD4746" s="98">
        <f t="shared" si="281"/>
        <v>49669</v>
      </c>
    </row>
    <row r="4747" spans="30:30" ht="14" thickBot="1" x14ac:dyDescent="0.2">
      <c r="AD4747" s="98">
        <f t="shared" si="281"/>
        <v>49670</v>
      </c>
    </row>
    <row r="4748" spans="30:30" ht="14" thickBot="1" x14ac:dyDescent="0.2">
      <c r="AD4748" s="98">
        <f t="shared" si="281"/>
        <v>49671</v>
      </c>
    </row>
    <row r="4749" spans="30:30" ht="14" thickBot="1" x14ac:dyDescent="0.2">
      <c r="AD4749" s="98">
        <f t="shared" si="281"/>
        <v>49672</v>
      </c>
    </row>
    <row r="4750" spans="30:30" ht="14" thickBot="1" x14ac:dyDescent="0.2">
      <c r="AD4750" s="98">
        <f t="shared" si="281"/>
        <v>49673</v>
      </c>
    </row>
    <row r="4751" spans="30:30" ht="14" thickBot="1" x14ac:dyDescent="0.2">
      <c r="AD4751" s="98">
        <f t="shared" si="281"/>
        <v>49674</v>
      </c>
    </row>
    <row r="4752" spans="30:30" ht="14" thickBot="1" x14ac:dyDescent="0.2">
      <c r="AD4752" s="98">
        <f t="shared" si="281"/>
        <v>49675</v>
      </c>
    </row>
    <row r="4753" spans="30:30" ht="14" thickBot="1" x14ac:dyDescent="0.2">
      <c r="AD4753" s="98">
        <f t="shared" si="281"/>
        <v>49676</v>
      </c>
    </row>
    <row r="4754" spans="30:30" ht="14" thickBot="1" x14ac:dyDescent="0.2">
      <c r="AD4754" s="98">
        <f t="shared" si="281"/>
        <v>49677</v>
      </c>
    </row>
    <row r="4755" spans="30:30" ht="14" thickBot="1" x14ac:dyDescent="0.2">
      <c r="AD4755" s="98">
        <f t="shared" si="281"/>
        <v>49678</v>
      </c>
    </row>
    <row r="4756" spans="30:30" ht="14" thickBot="1" x14ac:dyDescent="0.2">
      <c r="AD4756" s="98">
        <f t="shared" si="281"/>
        <v>49679</v>
      </c>
    </row>
    <row r="4757" spans="30:30" ht="14" thickBot="1" x14ac:dyDescent="0.2">
      <c r="AD4757" s="98">
        <f t="shared" si="281"/>
        <v>49680</v>
      </c>
    </row>
    <row r="4758" spans="30:30" ht="14" thickBot="1" x14ac:dyDescent="0.2">
      <c r="AD4758" s="98">
        <f t="shared" si="281"/>
        <v>49681</v>
      </c>
    </row>
    <row r="4759" spans="30:30" ht="14" thickBot="1" x14ac:dyDescent="0.2">
      <c r="AD4759" s="98">
        <f t="shared" si="281"/>
        <v>49682</v>
      </c>
    </row>
    <row r="4760" spans="30:30" ht="14" thickBot="1" x14ac:dyDescent="0.2">
      <c r="AD4760" s="98">
        <f t="shared" si="281"/>
        <v>49683</v>
      </c>
    </row>
    <row r="4761" spans="30:30" ht="14" thickBot="1" x14ac:dyDescent="0.2">
      <c r="AD4761" s="98">
        <f t="shared" si="281"/>
        <v>49684</v>
      </c>
    </row>
    <row r="4762" spans="30:30" ht="14" thickBot="1" x14ac:dyDescent="0.2">
      <c r="AD4762" s="98">
        <f t="shared" si="281"/>
        <v>49685</v>
      </c>
    </row>
    <row r="4763" spans="30:30" ht="14" thickBot="1" x14ac:dyDescent="0.2">
      <c r="AD4763" s="98">
        <f t="shared" si="281"/>
        <v>49686</v>
      </c>
    </row>
    <row r="4764" spans="30:30" ht="14" thickBot="1" x14ac:dyDescent="0.2">
      <c r="AD4764" s="98">
        <f t="shared" si="281"/>
        <v>49687</v>
      </c>
    </row>
    <row r="4765" spans="30:30" ht="14" thickBot="1" x14ac:dyDescent="0.2">
      <c r="AD4765" s="98">
        <f t="shared" si="281"/>
        <v>49688</v>
      </c>
    </row>
    <row r="4766" spans="30:30" ht="14" thickBot="1" x14ac:dyDescent="0.2">
      <c r="AD4766" s="98">
        <f t="shared" si="281"/>
        <v>49689</v>
      </c>
    </row>
    <row r="4767" spans="30:30" ht="14" thickBot="1" x14ac:dyDescent="0.2">
      <c r="AD4767" s="98">
        <f t="shared" si="281"/>
        <v>49690</v>
      </c>
    </row>
    <row r="4768" spans="30:30" ht="14" thickBot="1" x14ac:dyDescent="0.2">
      <c r="AD4768" s="98">
        <f t="shared" si="281"/>
        <v>49691</v>
      </c>
    </row>
    <row r="4769" spans="30:30" ht="14" thickBot="1" x14ac:dyDescent="0.2">
      <c r="AD4769" s="98">
        <f t="shared" si="281"/>
        <v>49692</v>
      </c>
    </row>
    <row r="4770" spans="30:30" ht="14" thickBot="1" x14ac:dyDescent="0.2">
      <c r="AD4770" s="98">
        <f t="shared" si="281"/>
        <v>49693</v>
      </c>
    </row>
    <row r="4771" spans="30:30" ht="14" thickBot="1" x14ac:dyDescent="0.2">
      <c r="AD4771" s="98">
        <f t="shared" si="281"/>
        <v>49694</v>
      </c>
    </row>
    <row r="4772" spans="30:30" ht="14" thickBot="1" x14ac:dyDescent="0.2">
      <c r="AD4772" s="98">
        <f t="shared" si="281"/>
        <v>49695</v>
      </c>
    </row>
    <row r="4773" spans="30:30" ht="14" thickBot="1" x14ac:dyDescent="0.2">
      <c r="AD4773" s="98">
        <f t="shared" si="281"/>
        <v>49696</v>
      </c>
    </row>
    <row r="4774" spans="30:30" ht="14" thickBot="1" x14ac:dyDescent="0.2">
      <c r="AD4774" s="98">
        <f t="shared" si="281"/>
        <v>49697</v>
      </c>
    </row>
    <row r="4775" spans="30:30" ht="14" thickBot="1" x14ac:dyDescent="0.2">
      <c r="AD4775" s="98">
        <f t="shared" si="281"/>
        <v>49698</v>
      </c>
    </row>
    <row r="4776" spans="30:30" ht="14" thickBot="1" x14ac:dyDescent="0.2">
      <c r="AD4776" s="98">
        <f t="shared" si="281"/>
        <v>49699</v>
      </c>
    </row>
    <row r="4777" spans="30:30" ht="14" thickBot="1" x14ac:dyDescent="0.2">
      <c r="AD4777" s="98">
        <f t="shared" si="281"/>
        <v>49700</v>
      </c>
    </row>
    <row r="4778" spans="30:30" ht="14" thickBot="1" x14ac:dyDescent="0.2">
      <c r="AD4778" s="98">
        <f t="shared" si="281"/>
        <v>49701</v>
      </c>
    </row>
    <row r="4779" spans="30:30" ht="14" thickBot="1" x14ac:dyDescent="0.2">
      <c r="AD4779" s="98">
        <f t="shared" si="281"/>
        <v>49702</v>
      </c>
    </row>
    <row r="4780" spans="30:30" ht="14" thickBot="1" x14ac:dyDescent="0.2">
      <c r="AD4780" s="98">
        <f t="shared" si="281"/>
        <v>49703</v>
      </c>
    </row>
    <row r="4781" spans="30:30" ht="14" thickBot="1" x14ac:dyDescent="0.2">
      <c r="AD4781" s="98">
        <f t="shared" si="281"/>
        <v>49704</v>
      </c>
    </row>
    <row r="4782" spans="30:30" ht="14" thickBot="1" x14ac:dyDescent="0.2">
      <c r="AD4782" s="98">
        <f t="shared" si="281"/>
        <v>49705</v>
      </c>
    </row>
    <row r="4783" spans="30:30" ht="14" thickBot="1" x14ac:dyDescent="0.2">
      <c r="AD4783" s="98">
        <f t="shared" si="281"/>
        <v>49706</v>
      </c>
    </row>
    <row r="4784" spans="30:30" ht="14" thickBot="1" x14ac:dyDescent="0.2">
      <c r="AD4784" s="98">
        <f t="shared" si="281"/>
        <v>49707</v>
      </c>
    </row>
    <row r="4785" spans="30:30" ht="14" thickBot="1" x14ac:dyDescent="0.2">
      <c r="AD4785" s="98">
        <f t="shared" si="281"/>
        <v>49708</v>
      </c>
    </row>
    <row r="4786" spans="30:30" ht="14" thickBot="1" x14ac:dyDescent="0.2">
      <c r="AD4786" s="98">
        <f t="shared" si="281"/>
        <v>49709</v>
      </c>
    </row>
    <row r="4787" spans="30:30" ht="14" thickBot="1" x14ac:dyDescent="0.2">
      <c r="AD4787" s="98">
        <f t="shared" si="281"/>
        <v>49710</v>
      </c>
    </row>
    <row r="4788" spans="30:30" ht="14" thickBot="1" x14ac:dyDescent="0.2">
      <c r="AD4788" s="98">
        <f t="shared" si="281"/>
        <v>49711</v>
      </c>
    </row>
    <row r="4789" spans="30:30" ht="14" thickBot="1" x14ac:dyDescent="0.2">
      <c r="AD4789" s="98">
        <f t="shared" si="281"/>
        <v>49712</v>
      </c>
    </row>
    <row r="4790" spans="30:30" ht="14" thickBot="1" x14ac:dyDescent="0.2">
      <c r="AD4790" s="98">
        <f t="shared" si="281"/>
        <v>49713</v>
      </c>
    </row>
    <row r="4791" spans="30:30" ht="14" thickBot="1" x14ac:dyDescent="0.2">
      <c r="AD4791" s="98">
        <f t="shared" si="281"/>
        <v>49714</v>
      </c>
    </row>
    <row r="4792" spans="30:30" ht="14" thickBot="1" x14ac:dyDescent="0.2">
      <c r="AD4792" s="98">
        <f t="shared" si="281"/>
        <v>49715</v>
      </c>
    </row>
    <row r="4793" spans="30:30" ht="14" thickBot="1" x14ac:dyDescent="0.2">
      <c r="AD4793" s="98">
        <f t="shared" si="281"/>
        <v>49716</v>
      </c>
    </row>
    <row r="4794" spans="30:30" ht="14" thickBot="1" x14ac:dyDescent="0.2">
      <c r="AD4794" s="98">
        <f t="shared" si="281"/>
        <v>49717</v>
      </c>
    </row>
    <row r="4795" spans="30:30" ht="14" thickBot="1" x14ac:dyDescent="0.2">
      <c r="AD4795" s="98">
        <f t="shared" si="281"/>
        <v>49718</v>
      </c>
    </row>
    <row r="4796" spans="30:30" ht="14" thickBot="1" x14ac:dyDescent="0.2">
      <c r="AD4796" s="98">
        <f t="shared" si="281"/>
        <v>49719</v>
      </c>
    </row>
    <row r="4797" spans="30:30" ht="14" thickBot="1" x14ac:dyDescent="0.2">
      <c r="AD4797" s="98">
        <f t="shared" si="281"/>
        <v>49720</v>
      </c>
    </row>
    <row r="4798" spans="30:30" ht="14" thickBot="1" x14ac:dyDescent="0.2">
      <c r="AD4798" s="98">
        <f t="shared" si="281"/>
        <v>49721</v>
      </c>
    </row>
    <row r="4799" spans="30:30" ht="14" thickBot="1" x14ac:dyDescent="0.2">
      <c r="AD4799" s="98">
        <f t="shared" si="281"/>
        <v>49722</v>
      </c>
    </row>
    <row r="4800" spans="30:30" ht="14" thickBot="1" x14ac:dyDescent="0.2">
      <c r="AD4800" s="98">
        <f t="shared" si="281"/>
        <v>49723</v>
      </c>
    </row>
    <row r="4801" spans="30:30" ht="14" thickBot="1" x14ac:dyDescent="0.2">
      <c r="AD4801" s="98">
        <f t="shared" si="281"/>
        <v>49724</v>
      </c>
    </row>
    <row r="4802" spans="30:30" ht="14" thickBot="1" x14ac:dyDescent="0.2">
      <c r="AD4802" s="98">
        <f t="shared" si="281"/>
        <v>49725</v>
      </c>
    </row>
    <row r="4803" spans="30:30" ht="14" thickBot="1" x14ac:dyDescent="0.2">
      <c r="AD4803" s="98">
        <f t="shared" si="281"/>
        <v>49726</v>
      </c>
    </row>
    <row r="4804" spans="30:30" ht="14" thickBot="1" x14ac:dyDescent="0.2">
      <c r="AD4804" s="98">
        <f t="shared" si="281"/>
        <v>49727</v>
      </c>
    </row>
    <row r="4805" spans="30:30" ht="14" thickBot="1" x14ac:dyDescent="0.2">
      <c r="AD4805" s="98">
        <f t="shared" si="281"/>
        <v>49728</v>
      </c>
    </row>
    <row r="4806" spans="30:30" ht="14" thickBot="1" x14ac:dyDescent="0.2">
      <c r="AD4806" s="98">
        <f t="shared" si="281"/>
        <v>49729</v>
      </c>
    </row>
    <row r="4807" spans="30:30" ht="14" thickBot="1" x14ac:dyDescent="0.2">
      <c r="AD4807" s="98">
        <f t="shared" si="281"/>
        <v>49730</v>
      </c>
    </row>
    <row r="4808" spans="30:30" ht="14" thickBot="1" x14ac:dyDescent="0.2">
      <c r="AD4808" s="98">
        <f t="shared" si="281"/>
        <v>49731</v>
      </c>
    </row>
    <row r="4809" spans="30:30" ht="14" thickBot="1" x14ac:dyDescent="0.2">
      <c r="AD4809" s="98">
        <f t="shared" ref="AD4809:AD4872" si="282">AD4808+1</f>
        <v>49732</v>
      </c>
    </row>
    <row r="4810" spans="30:30" ht="14" thickBot="1" x14ac:dyDescent="0.2">
      <c r="AD4810" s="98">
        <f t="shared" si="282"/>
        <v>49733</v>
      </c>
    </row>
    <row r="4811" spans="30:30" ht="14" thickBot="1" x14ac:dyDescent="0.2">
      <c r="AD4811" s="98">
        <f t="shared" si="282"/>
        <v>49734</v>
      </c>
    </row>
    <row r="4812" spans="30:30" ht="14" thickBot="1" x14ac:dyDescent="0.2">
      <c r="AD4812" s="98">
        <f t="shared" si="282"/>
        <v>49735</v>
      </c>
    </row>
    <row r="4813" spans="30:30" ht="14" thickBot="1" x14ac:dyDescent="0.2">
      <c r="AD4813" s="98">
        <f t="shared" si="282"/>
        <v>49736</v>
      </c>
    </row>
    <row r="4814" spans="30:30" ht="14" thickBot="1" x14ac:dyDescent="0.2">
      <c r="AD4814" s="98">
        <f t="shared" si="282"/>
        <v>49737</v>
      </c>
    </row>
    <row r="4815" spans="30:30" ht="14" thickBot="1" x14ac:dyDescent="0.2">
      <c r="AD4815" s="98">
        <f t="shared" si="282"/>
        <v>49738</v>
      </c>
    </row>
    <row r="4816" spans="30:30" ht="14" thickBot="1" x14ac:dyDescent="0.2">
      <c r="AD4816" s="98">
        <f t="shared" si="282"/>
        <v>49739</v>
      </c>
    </row>
    <row r="4817" spans="30:30" ht="14" thickBot="1" x14ac:dyDescent="0.2">
      <c r="AD4817" s="98">
        <f t="shared" si="282"/>
        <v>49740</v>
      </c>
    </row>
    <row r="4818" spans="30:30" ht="14" thickBot="1" x14ac:dyDescent="0.2">
      <c r="AD4818" s="98">
        <f t="shared" si="282"/>
        <v>49741</v>
      </c>
    </row>
    <row r="4819" spans="30:30" ht="14" thickBot="1" x14ac:dyDescent="0.2">
      <c r="AD4819" s="98">
        <f t="shared" si="282"/>
        <v>49742</v>
      </c>
    </row>
    <row r="4820" spans="30:30" ht="14" thickBot="1" x14ac:dyDescent="0.2">
      <c r="AD4820" s="98">
        <f t="shared" si="282"/>
        <v>49743</v>
      </c>
    </row>
    <row r="4821" spans="30:30" ht="14" thickBot="1" x14ac:dyDescent="0.2">
      <c r="AD4821" s="98">
        <f t="shared" si="282"/>
        <v>49744</v>
      </c>
    </row>
    <row r="4822" spans="30:30" ht="14" thickBot="1" x14ac:dyDescent="0.2">
      <c r="AD4822" s="98">
        <f t="shared" si="282"/>
        <v>49745</v>
      </c>
    </row>
    <row r="4823" spans="30:30" ht="14" thickBot="1" x14ac:dyDescent="0.2">
      <c r="AD4823" s="98">
        <f t="shared" si="282"/>
        <v>49746</v>
      </c>
    </row>
    <row r="4824" spans="30:30" ht="14" thickBot="1" x14ac:dyDescent="0.2">
      <c r="AD4824" s="98">
        <f t="shared" si="282"/>
        <v>49747</v>
      </c>
    </row>
    <row r="4825" spans="30:30" ht="14" thickBot="1" x14ac:dyDescent="0.2">
      <c r="AD4825" s="98">
        <f t="shared" si="282"/>
        <v>49748</v>
      </c>
    </row>
    <row r="4826" spans="30:30" ht="14" thickBot="1" x14ac:dyDescent="0.2">
      <c r="AD4826" s="98">
        <f t="shared" si="282"/>
        <v>49749</v>
      </c>
    </row>
    <row r="4827" spans="30:30" ht="14" thickBot="1" x14ac:dyDescent="0.2">
      <c r="AD4827" s="98">
        <f t="shared" si="282"/>
        <v>49750</v>
      </c>
    </row>
    <row r="4828" spans="30:30" ht="14" thickBot="1" x14ac:dyDescent="0.2">
      <c r="AD4828" s="98">
        <f t="shared" si="282"/>
        <v>49751</v>
      </c>
    </row>
    <row r="4829" spans="30:30" ht="14" thickBot="1" x14ac:dyDescent="0.2">
      <c r="AD4829" s="98">
        <f t="shared" si="282"/>
        <v>49752</v>
      </c>
    </row>
    <row r="4830" spans="30:30" ht="14" thickBot="1" x14ac:dyDescent="0.2">
      <c r="AD4830" s="98">
        <f t="shared" si="282"/>
        <v>49753</v>
      </c>
    </row>
    <row r="4831" spans="30:30" ht="14" thickBot="1" x14ac:dyDescent="0.2">
      <c r="AD4831" s="98">
        <f t="shared" si="282"/>
        <v>49754</v>
      </c>
    </row>
    <row r="4832" spans="30:30" ht="14" thickBot="1" x14ac:dyDescent="0.2">
      <c r="AD4832" s="98">
        <f t="shared" si="282"/>
        <v>49755</v>
      </c>
    </row>
    <row r="4833" spans="30:30" ht="14" thickBot="1" x14ac:dyDescent="0.2">
      <c r="AD4833" s="98">
        <f t="shared" si="282"/>
        <v>49756</v>
      </c>
    </row>
    <row r="4834" spans="30:30" ht="14" thickBot="1" x14ac:dyDescent="0.2">
      <c r="AD4834" s="98">
        <f t="shared" si="282"/>
        <v>49757</v>
      </c>
    </row>
    <row r="4835" spans="30:30" ht="14" thickBot="1" x14ac:dyDescent="0.2">
      <c r="AD4835" s="98">
        <f t="shared" si="282"/>
        <v>49758</v>
      </c>
    </row>
    <row r="4836" spans="30:30" ht="14" thickBot="1" x14ac:dyDescent="0.2">
      <c r="AD4836" s="98">
        <f t="shared" si="282"/>
        <v>49759</v>
      </c>
    </row>
    <row r="4837" spans="30:30" ht="14" thickBot="1" x14ac:dyDescent="0.2">
      <c r="AD4837" s="98">
        <f t="shared" si="282"/>
        <v>49760</v>
      </c>
    </row>
    <row r="4838" spans="30:30" ht="14" thickBot="1" x14ac:dyDescent="0.2">
      <c r="AD4838" s="98">
        <f t="shared" si="282"/>
        <v>49761</v>
      </c>
    </row>
    <row r="4839" spans="30:30" ht="14" thickBot="1" x14ac:dyDescent="0.2">
      <c r="AD4839" s="98">
        <f t="shared" si="282"/>
        <v>49762</v>
      </c>
    </row>
    <row r="4840" spans="30:30" ht="14" thickBot="1" x14ac:dyDescent="0.2">
      <c r="AD4840" s="98">
        <f t="shared" si="282"/>
        <v>49763</v>
      </c>
    </row>
    <row r="4841" spans="30:30" ht="14" thickBot="1" x14ac:dyDescent="0.2">
      <c r="AD4841" s="98">
        <f t="shared" si="282"/>
        <v>49764</v>
      </c>
    </row>
    <row r="4842" spans="30:30" ht="14" thickBot="1" x14ac:dyDescent="0.2">
      <c r="AD4842" s="98">
        <f t="shared" si="282"/>
        <v>49765</v>
      </c>
    </row>
    <row r="4843" spans="30:30" ht="14" thickBot="1" x14ac:dyDescent="0.2">
      <c r="AD4843" s="98">
        <f t="shared" si="282"/>
        <v>49766</v>
      </c>
    </row>
    <row r="4844" spans="30:30" ht="14" thickBot="1" x14ac:dyDescent="0.2">
      <c r="AD4844" s="98">
        <f t="shared" si="282"/>
        <v>49767</v>
      </c>
    </row>
    <row r="4845" spans="30:30" ht="14" thickBot="1" x14ac:dyDescent="0.2">
      <c r="AD4845" s="98">
        <f t="shared" si="282"/>
        <v>49768</v>
      </c>
    </row>
    <row r="4846" spans="30:30" ht="14" thickBot="1" x14ac:dyDescent="0.2">
      <c r="AD4846" s="98">
        <f t="shared" si="282"/>
        <v>49769</v>
      </c>
    </row>
    <row r="4847" spans="30:30" ht="14" thickBot="1" x14ac:dyDescent="0.2">
      <c r="AD4847" s="98">
        <f t="shared" si="282"/>
        <v>49770</v>
      </c>
    </row>
    <row r="4848" spans="30:30" ht="14" thickBot="1" x14ac:dyDescent="0.2">
      <c r="AD4848" s="98">
        <f t="shared" si="282"/>
        <v>49771</v>
      </c>
    </row>
    <row r="4849" spans="30:30" ht="14" thickBot="1" x14ac:dyDescent="0.2">
      <c r="AD4849" s="98">
        <f t="shared" si="282"/>
        <v>49772</v>
      </c>
    </row>
    <row r="4850" spans="30:30" ht="14" thickBot="1" x14ac:dyDescent="0.2">
      <c r="AD4850" s="98">
        <f t="shared" si="282"/>
        <v>49773</v>
      </c>
    </row>
    <row r="4851" spans="30:30" ht="14" thickBot="1" x14ac:dyDescent="0.2">
      <c r="AD4851" s="98">
        <f t="shared" si="282"/>
        <v>49774</v>
      </c>
    </row>
    <row r="4852" spans="30:30" ht="14" thickBot="1" x14ac:dyDescent="0.2">
      <c r="AD4852" s="98">
        <f t="shared" si="282"/>
        <v>49775</v>
      </c>
    </row>
    <row r="4853" spans="30:30" ht="14" thickBot="1" x14ac:dyDescent="0.2">
      <c r="AD4853" s="98">
        <f t="shared" si="282"/>
        <v>49776</v>
      </c>
    </row>
    <row r="4854" spans="30:30" ht="14" thickBot="1" x14ac:dyDescent="0.2">
      <c r="AD4854" s="98">
        <f t="shared" si="282"/>
        <v>49777</v>
      </c>
    </row>
    <row r="4855" spans="30:30" ht="14" thickBot="1" x14ac:dyDescent="0.2">
      <c r="AD4855" s="98">
        <f t="shared" si="282"/>
        <v>49778</v>
      </c>
    </row>
    <row r="4856" spans="30:30" ht="14" thickBot="1" x14ac:dyDescent="0.2">
      <c r="AD4856" s="98">
        <f t="shared" si="282"/>
        <v>49779</v>
      </c>
    </row>
    <row r="4857" spans="30:30" ht="14" thickBot="1" x14ac:dyDescent="0.2">
      <c r="AD4857" s="98">
        <f t="shared" si="282"/>
        <v>49780</v>
      </c>
    </row>
    <row r="4858" spans="30:30" ht="14" thickBot="1" x14ac:dyDescent="0.2">
      <c r="AD4858" s="98">
        <f t="shared" si="282"/>
        <v>49781</v>
      </c>
    </row>
    <row r="4859" spans="30:30" ht="14" thickBot="1" x14ac:dyDescent="0.2">
      <c r="AD4859" s="98">
        <f t="shared" si="282"/>
        <v>49782</v>
      </c>
    </row>
    <row r="4860" spans="30:30" ht="14" thickBot="1" x14ac:dyDescent="0.2">
      <c r="AD4860" s="98">
        <f t="shared" si="282"/>
        <v>49783</v>
      </c>
    </row>
    <row r="4861" spans="30:30" ht="14" thickBot="1" x14ac:dyDescent="0.2">
      <c r="AD4861" s="98">
        <f t="shared" si="282"/>
        <v>49784</v>
      </c>
    </row>
    <row r="4862" spans="30:30" ht="14" thickBot="1" x14ac:dyDescent="0.2">
      <c r="AD4862" s="98">
        <f t="shared" si="282"/>
        <v>49785</v>
      </c>
    </row>
    <row r="4863" spans="30:30" ht="14" thickBot="1" x14ac:dyDescent="0.2">
      <c r="AD4863" s="98">
        <f t="shared" si="282"/>
        <v>49786</v>
      </c>
    </row>
    <row r="4864" spans="30:30" ht="14" thickBot="1" x14ac:dyDescent="0.2">
      <c r="AD4864" s="98">
        <f t="shared" si="282"/>
        <v>49787</v>
      </c>
    </row>
    <row r="4865" spans="30:30" ht="14" thickBot="1" x14ac:dyDescent="0.2">
      <c r="AD4865" s="98">
        <f t="shared" si="282"/>
        <v>49788</v>
      </c>
    </row>
    <row r="4866" spans="30:30" ht="14" thickBot="1" x14ac:dyDescent="0.2">
      <c r="AD4866" s="98">
        <f t="shared" si="282"/>
        <v>49789</v>
      </c>
    </row>
    <row r="4867" spans="30:30" ht="14" thickBot="1" x14ac:dyDescent="0.2">
      <c r="AD4867" s="98">
        <f t="shared" si="282"/>
        <v>49790</v>
      </c>
    </row>
    <row r="4868" spans="30:30" ht="14" thickBot="1" x14ac:dyDescent="0.2">
      <c r="AD4868" s="98">
        <f t="shared" si="282"/>
        <v>49791</v>
      </c>
    </row>
    <row r="4869" spans="30:30" ht="14" thickBot="1" x14ac:dyDescent="0.2">
      <c r="AD4869" s="98">
        <f t="shared" si="282"/>
        <v>49792</v>
      </c>
    </row>
    <row r="4870" spans="30:30" ht="14" thickBot="1" x14ac:dyDescent="0.2">
      <c r="AD4870" s="98">
        <f t="shared" si="282"/>
        <v>49793</v>
      </c>
    </row>
    <row r="4871" spans="30:30" ht="14" thickBot="1" x14ac:dyDescent="0.2">
      <c r="AD4871" s="98">
        <f t="shared" si="282"/>
        <v>49794</v>
      </c>
    </row>
    <row r="4872" spans="30:30" ht="14" thickBot="1" x14ac:dyDescent="0.2">
      <c r="AD4872" s="98">
        <f t="shared" si="282"/>
        <v>49795</v>
      </c>
    </row>
    <row r="4873" spans="30:30" ht="14" thickBot="1" x14ac:dyDescent="0.2">
      <c r="AD4873" s="98">
        <f t="shared" ref="AD4873:AD4936" si="283">AD4872+1</f>
        <v>49796</v>
      </c>
    </row>
    <row r="4874" spans="30:30" ht="14" thickBot="1" x14ac:dyDescent="0.2">
      <c r="AD4874" s="98">
        <f t="shared" si="283"/>
        <v>49797</v>
      </c>
    </row>
    <row r="4875" spans="30:30" ht="14" thickBot="1" x14ac:dyDescent="0.2">
      <c r="AD4875" s="98">
        <f t="shared" si="283"/>
        <v>49798</v>
      </c>
    </row>
    <row r="4876" spans="30:30" ht="14" thickBot="1" x14ac:dyDescent="0.2">
      <c r="AD4876" s="98">
        <f t="shared" si="283"/>
        <v>49799</v>
      </c>
    </row>
    <row r="4877" spans="30:30" ht="14" thickBot="1" x14ac:dyDescent="0.2">
      <c r="AD4877" s="98">
        <f t="shared" si="283"/>
        <v>49800</v>
      </c>
    </row>
    <row r="4878" spans="30:30" ht="14" thickBot="1" x14ac:dyDescent="0.2">
      <c r="AD4878" s="98">
        <f t="shared" si="283"/>
        <v>49801</v>
      </c>
    </row>
    <row r="4879" spans="30:30" ht="14" thickBot="1" x14ac:dyDescent="0.2">
      <c r="AD4879" s="98">
        <f t="shared" si="283"/>
        <v>49802</v>
      </c>
    </row>
    <row r="4880" spans="30:30" ht="14" thickBot="1" x14ac:dyDescent="0.2">
      <c r="AD4880" s="98">
        <f t="shared" si="283"/>
        <v>49803</v>
      </c>
    </row>
    <row r="4881" spans="30:30" ht="14" thickBot="1" x14ac:dyDescent="0.2">
      <c r="AD4881" s="98">
        <f t="shared" si="283"/>
        <v>49804</v>
      </c>
    </row>
    <row r="4882" spans="30:30" ht="14" thickBot="1" x14ac:dyDescent="0.2">
      <c r="AD4882" s="98">
        <f t="shared" si="283"/>
        <v>49805</v>
      </c>
    </row>
    <row r="4883" spans="30:30" ht="14" thickBot="1" x14ac:dyDescent="0.2">
      <c r="AD4883" s="98">
        <f t="shared" si="283"/>
        <v>49806</v>
      </c>
    </row>
    <row r="4884" spans="30:30" ht="14" thickBot="1" x14ac:dyDescent="0.2">
      <c r="AD4884" s="98">
        <f t="shared" si="283"/>
        <v>49807</v>
      </c>
    </row>
    <row r="4885" spans="30:30" ht="14" thickBot="1" x14ac:dyDescent="0.2">
      <c r="AD4885" s="98">
        <f t="shared" si="283"/>
        <v>49808</v>
      </c>
    </row>
    <row r="4886" spans="30:30" ht="14" thickBot="1" x14ac:dyDescent="0.2">
      <c r="AD4886" s="98">
        <f t="shared" si="283"/>
        <v>49809</v>
      </c>
    </row>
    <row r="4887" spans="30:30" ht="14" thickBot="1" x14ac:dyDescent="0.2">
      <c r="AD4887" s="98">
        <f t="shared" si="283"/>
        <v>49810</v>
      </c>
    </row>
    <row r="4888" spans="30:30" ht="14" thickBot="1" x14ac:dyDescent="0.2">
      <c r="AD4888" s="98">
        <f t="shared" si="283"/>
        <v>49811</v>
      </c>
    </row>
    <row r="4889" spans="30:30" ht="14" thickBot="1" x14ac:dyDescent="0.2">
      <c r="AD4889" s="98">
        <f t="shared" si="283"/>
        <v>49812</v>
      </c>
    </row>
    <row r="4890" spans="30:30" ht="14" thickBot="1" x14ac:dyDescent="0.2">
      <c r="AD4890" s="98">
        <f t="shared" si="283"/>
        <v>49813</v>
      </c>
    </row>
    <row r="4891" spans="30:30" ht="14" thickBot="1" x14ac:dyDescent="0.2">
      <c r="AD4891" s="98">
        <f t="shared" si="283"/>
        <v>49814</v>
      </c>
    </row>
    <row r="4892" spans="30:30" ht="14" thickBot="1" x14ac:dyDescent="0.2">
      <c r="AD4892" s="98">
        <f t="shared" si="283"/>
        <v>49815</v>
      </c>
    </row>
    <row r="4893" spans="30:30" ht="14" thickBot="1" x14ac:dyDescent="0.2">
      <c r="AD4893" s="98">
        <f t="shared" si="283"/>
        <v>49816</v>
      </c>
    </row>
    <row r="4894" spans="30:30" ht="14" thickBot="1" x14ac:dyDescent="0.2">
      <c r="AD4894" s="98">
        <f t="shared" si="283"/>
        <v>49817</v>
      </c>
    </row>
    <row r="4895" spans="30:30" ht="14" thickBot="1" x14ac:dyDescent="0.2">
      <c r="AD4895" s="98">
        <f t="shared" si="283"/>
        <v>49818</v>
      </c>
    </row>
    <row r="4896" spans="30:30" ht="14" thickBot="1" x14ac:dyDescent="0.2">
      <c r="AD4896" s="98">
        <f t="shared" si="283"/>
        <v>49819</v>
      </c>
    </row>
    <row r="4897" spans="30:30" ht="14" thickBot="1" x14ac:dyDescent="0.2">
      <c r="AD4897" s="98">
        <f t="shared" si="283"/>
        <v>49820</v>
      </c>
    </row>
    <row r="4898" spans="30:30" ht="14" thickBot="1" x14ac:dyDescent="0.2">
      <c r="AD4898" s="98">
        <f t="shared" si="283"/>
        <v>49821</v>
      </c>
    </row>
    <row r="4899" spans="30:30" ht="14" thickBot="1" x14ac:dyDescent="0.2">
      <c r="AD4899" s="98">
        <f t="shared" si="283"/>
        <v>49822</v>
      </c>
    </row>
    <row r="4900" spans="30:30" ht="14" thickBot="1" x14ac:dyDescent="0.2">
      <c r="AD4900" s="98">
        <f t="shared" si="283"/>
        <v>49823</v>
      </c>
    </row>
    <row r="4901" spans="30:30" ht="14" thickBot="1" x14ac:dyDescent="0.2">
      <c r="AD4901" s="98">
        <f t="shared" si="283"/>
        <v>49824</v>
      </c>
    </row>
    <row r="4902" spans="30:30" ht="14" thickBot="1" x14ac:dyDescent="0.2">
      <c r="AD4902" s="98">
        <f t="shared" si="283"/>
        <v>49825</v>
      </c>
    </row>
    <row r="4903" spans="30:30" ht="14" thickBot="1" x14ac:dyDescent="0.2">
      <c r="AD4903" s="98">
        <f t="shared" si="283"/>
        <v>49826</v>
      </c>
    </row>
    <row r="4904" spans="30:30" ht="14" thickBot="1" x14ac:dyDescent="0.2">
      <c r="AD4904" s="98">
        <f t="shared" si="283"/>
        <v>49827</v>
      </c>
    </row>
    <row r="4905" spans="30:30" ht="14" thickBot="1" x14ac:dyDescent="0.2">
      <c r="AD4905" s="98">
        <f t="shared" si="283"/>
        <v>49828</v>
      </c>
    </row>
    <row r="4906" spans="30:30" ht="14" thickBot="1" x14ac:dyDescent="0.2">
      <c r="AD4906" s="98">
        <f t="shared" si="283"/>
        <v>49829</v>
      </c>
    </row>
    <row r="4907" spans="30:30" ht="14" thickBot="1" x14ac:dyDescent="0.2">
      <c r="AD4907" s="98">
        <f t="shared" si="283"/>
        <v>49830</v>
      </c>
    </row>
    <row r="4908" spans="30:30" ht="14" thickBot="1" x14ac:dyDescent="0.2">
      <c r="AD4908" s="98">
        <f t="shared" si="283"/>
        <v>49831</v>
      </c>
    </row>
    <row r="4909" spans="30:30" ht="14" thickBot="1" x14ac:dyDescent="0.2">
      <c r="AD4909" s="98">
        <f t="shared" si="283"/>
        <v>49832</v>
      </c>
    </row>
    <row r="4910" spans="30:30" ht="14" thickBot="1" x14ac:dyDescent="0.2">
      <c r="AD4910" s="98">
        <f t="shared" si="283"/>
        <v>49833</v>
      </c>
    </row>
    <row r="4911" spans="30:30" ht="14" thickBot="1" x14ac:dyDescent="0.2">
      <c r="AD4911" s="98">
        <f t="shared" si="283"/>
        <v>49834</v>
      </c>
    </row>
    <row r="4912" spans="30:30" ht="14" thickBot="1" x14ac:dyDescent="0.2">
      <c r="AD4912" s="98">
        <f t="shared" si="283"/>
        <v>49835</v>
      </c>
    </row>
    <row r="4913" spans="30:30" ht="14" thickBot="1" x14ac:dyDescent="0.2">
      <c r="AD4913" s="98">
        <f t="shared" si="283"/>
        <v>49836</v>
      </c>
    </row>
    <row r="4914" spans="30:30" ht="14" thickBot="1" x14ac:dyDescent="0.2">
      <c r="AD4914" s="98">
        <f t="shared" si="283"/>
        <v>49837</v>
      </c>
    </row>
    <row r="4915" spans="30:30" ht="14" thickBot="1" x14ac:dyDescent="0.2">
      <c r="AD4915" s="98">
        <f t="shared" si="283"/>
        <v>49838</v>
      </c>
    </row>
    <row r="4916" spans="30:30" ht="14" thickBot="1" x14ac:dyDescent="0.2">
      <c r="AD4916" s="98">
        <f t="shared" si="283"/>
        <v>49839</v>
      </c>
    </row>
    <row r="4917" spans="30:30" ht="14" thickBot="1" x14ac:dyDescent="0.2">
      <c r="AD4917" s="98">
        <f t="shared" si="283"/>
        <v>49840</v>
      </c>
    </row>
    <row r="4918" spans="30:30" ht="14" thickBot="1" x14ac:dyDescent="0.2">
      <c r="AD4918" s="98">
        <f t="shared" si="283"/>
        <v>49841</v>
      </c>
    </row>
    <row r="4919" spans="30:30" ht="14" thickBot="1" x14ac:dyDescent="0.2">
      <c r="AD4919" s="98">
        <f t="shared" si="283"/>
        <v>49842</v>
      </c>
    </row>
    <row r="4920" spans="30:30" ht="14" thickBot="1" x14ac:dyDescent="0.2">
      <c r="AD4920" s="98">
        <f t="shared" si="283"/>
        <v>49843</v>
      </c>
    </row>
    <row r="4921" spans="30:30" ht="14" thickBot="1" x14ac:dyDescent="0.2">
      <c r="AD4921" s="98">
        <f t="shared" si="283"/>
        <v>49844</v>
      </c>
    </row>
    <row r="4922" spans="30:30" ht="14" thickBot="1" x14ac:dyDescent="0.2">
      <c r="AD4922" s="98">
        <f t="shared" si="283"/>
        <v>49845</v>
      </c>
    </row>
    <row r="4923" spans="30:30" ht="14" thickBot="1" x14ac:dyDescent="0.2">
      <c r="AD4923" s="98">
        <f t="shared" si="283"/>
        <v>49846</v>
      </c>
    </row>
    <row r="4924" spans="30:30" ht="14" thickBot="1" x14ac:dyDescent="0.2">
      <c r="AD4924" s="98">
        <f t="shared" si="283"/>
        <v>49847</v>
      </c>
    </row>
    <row r="4925" spans="30:30" ht="14" thickBot="1" x14ac:dyDescent="0.2">
      <c r="AD4925" s="98">
        <f t="shared" si="283"/>
        <v>49848</v>
      </c>
    </row>
    <row r="4926" spans="30:30" ht="14" thickBot="1" x14ac:dyDescent="0.2">
      <c r="AD4926" s="98">
        <f t="shared" si="283"/>
        <v>49849</v>
      </c>
    </row>
    <row r="4927" spans="30:30" ht="14" thickBot="1" x14ac:dyDescent="0.2">
      <c r="AD4927" s="98">
        <f t="shared" si="283"/>
        <v>49850</v>
      </c>
    </row>
    <row r="4928" spans="30:30" ht="14" thickBot="1" x14ac:dyDescent="0.2">
      <c r="AD4928" s="98">
        <f t="shared" si="283"/>
        <v>49851</v>
      </c>
    </row>
    <row r="4929" spans="30:30" ht="14" thickBot="1" x14ac:dyDescent="0.2">
      <c r="AD4929" s="98">
        <f t="shared" si="283"/>
        <v>49852</v>
      </c>
    </row>
    <row r="4930" spans="30:30" ht="14" thickBot="1" x14ac:dyDescent="0.2">
      <c r="AD4930" s="98">
        <f t="shared" si="283"/>
        <v>49853</v>
      </c>
    </row>
    <row r="4931" spans="30:30" ht="14" thickBot="1" x14ac:dyDescent="0.2">
      <c r="AD4931" s="98">
        <f t="shared" si="283"/>
        <v>49854</v>
      </c>
    </row>
    <row r="4932" spans="30:30" ht="14" thickBot="1" x14ac:dyDescent="0.2">
      <c r="AD4932" s="98">
        <f t="shared" si="283"/>
        <v>49855</v>
      </c>
    </row>
    <row r="4933" spans="30:30" ht="14" thickBot="1" x14ac:dyDescent="0.2">
      <c r="AD4933" s="98">
        <f t="shared" si="283"/>
        <v>49856</v>
      </c>
    </row>
    <row r="4934" spans="30:30" ht="14" thickBot="1" x14ac:dyDescent="0.2">
      <c r="AD4934" s="98">
        <f t="shared" si="283"/>
        <v>49857</v>
      </c>
    </row>
    <row r="4935" spans="30:30" ht="14" thickBot="1" x14ac:dyDescent="0.2">
      <c r="AD4935" s="98">
        <f t="shared" si="283"/>
        <v>49858</v>
      </c>
    </row>
    <row r="4936" spans="30:30" ht="14" thickBot="1" x14ac:dyDescent="0.2">
      <c r="AD4936" s="98">
        <f t="shared" si="283"/>
        <v>49859</v>
      </c>
    </row>
    <row r="4937" spans="30:30" ht="14" thickBot="1" x14ac:dyDescent="0.2">
      <c r="AD4937" s="98">
        <f t="shared" ref="AD4937:AD5000" si="284">AD4936+1</f>
        <v>49860</v>
      </c>
    </row>
    <row r="4938" spans="30:30" ht="14" thickBot="1" x14ac:dyDescent="0.2">
      <c r="AD4938" s="98">
        <f t="shared" si="284"/>
        <v>49861</v>
      </c>
    </row>
    <row r="4939" spans="30:30" ht="14" thickBot="1" x14ac:dyDescent="0.2">
      <c r="AD4939" s="98">
        <f t="shared" si="284"/>
        <v>49862</v>
      </c>
    </row>
    <row r="4940" spans="30:30" ht="14" thickBot="1" x14ac:dyDescent="0.2">
      <c r="AD4940" s="98">
        <f t="shared" si="284"/>
        <v>49863</v>
      </c>
    </row>
    <row r="4941" spans="30:30" ht="14" thickBot="1" x14ac:dyDescent="0.2">
      <c r="AD4941" s="98">
        <f t="shared" si="284"/>
        <v>49864</v>
      </c>
    </row>
    <row r="4942" spans="30:30" ht="14" thickBot="1" x14ac:dyDescent="0.2">
      <c r="AD4942" s="98">
        <f t="shared" si="284"/>
        <v>49865</v>
      </c>
    </row>
    <row r="4943" spans="30:30" ht="14" thickBot="1" x14ac:dyDescent="0.2">
      <c r="AD4943" s="98">
        <f t="shared" si="284"/>
        <v>49866</v>
      </c>
    </row>
    <row r="4944" spans="30:30" ht="14" thickBot="1" x14ac:dyDescent="0.2">
      <c r="AD4944" s="98">
        <f t="shared" si="284"/>
        <v>49867</v>
      </c>
    </row>
    <row r="4945" spans="30:30" ht="14" thickBot="1" x14ac:dyDescent="0.2">
      <c r="AD4945" s="98">
        <f t="shared" si="284"/>
        <v>49868</v>
      </c>
    </row>
    <row r="4946" spans="30:30" ht="14" thickBot="1" x14ac:dyDescent="0.2">
      <c r="AD4946" s="98">
        <f t="shared" si="284"/>
        <v>49869</v>
      </c>
    </row>
    <row r="4947" spans="30:30" ht="14" thickBot="1" x14ac:dyDescent="0.2">
      <c r="AD4947" s="98">
        <f t="shared" si="284"/>
        <v>49870</v>
      </c>
    </row>
    <row r="4948" spans="30:30" ht="14" thickBot="1" x14ac:dyDescent="0.2">
      <c r="AD4948" s="98">
        <f t="shared" si="284"/>
        <v>49871</v>
      </c>
    </row>
    <row r="4949" spans="30:30" ht="14" thickBot="1" x14ac:dyDescent="0.2">
      <c r="AD4949" s="98">
        <f t="shared" si="284"/>
        <v>49872</v>
      </c>
    </row>
    <row r="4950" spans="30:30" ht="14" thickBot="1" x14ac:dyDescent="0.2">
      <c r="AD4950" s="98">
        <f t="shared" si="284"/>
        <v>49873</v>
      </c>
    </row>
    <row r="4951" spans="30:30" ht="14" thickBot="1" x14ac:dyDescent="0.2">
      <c r="AD4951" s="98">
        <f t="shared" si="284"/>
        <v>49874</v>
      </c>
    </row>
    <row r="4952" spans="30:30" ht="14" thickBot="1" x14ac:dyDescent="0.2">
      <c r="AD4952" s="98">
        <f t="shared" si="284"/>
        <v>49875</v>
      </c>
    </row>
    <row r="4953" spans="30:30" ht="14" thickBot="1" x14ac:dyDescent="0.2">
      <c r="AD4953" s="98">
        <f t="shared" si="284"/>
        <v>49876</v>
      </c>
    </row>
    <row r="4954" spans="30:30" ht="14" thickBot="1" x14ac:dyDescent="0.2">
      <c r="AD4954" s="98">
        <f t="shared" si="284"/>
        <v>49877</v>
      </c>
    </row>
    <row r="4955" spans="30:30" ht="14" thickBot="1" x14ac:dyDescent="0.2">
      <c r="AD4955" s="98">
        <f t="shared" si="284"/>
        <v>49878</v>
      </c>
    </row>
    <row r="4956" spans="30:30" ht="14" thickBot="1" x14ac:dyDescent="0.2">
      <c r="AD4956" s="98">
        <f t="shared" si="284"/>
        <v>49879</v>
      </c>
    </row>
    <row r="4957" spans="30:30" ht="14" thickBot="1" x14ac:dyDescent="0.2">
      <c r="AD4957" s="98">
        <f t="shared" si="284"/>
        <v>49880</v>
      </c>
    </row>
    <row r="4958" spans="30:30" ht="14" thickBot="1" x14ac:dyDescent="0.2">
      <c r="AD4958" s="98">
        <f t="shared" si="284"/>
        <v>49881</v>
      </c>
    </row>
    <row r="4959" spans="30:30" ht="14" thickBot="1" x14ac:dyDescent="0.2">
      <c r="AD4959" s="98">
        <f t="shared" si="284"/>
        <v>49882</v>
      </c>
    </row>
    <row r="4960" spans="30:30" ht="14" thickBot="1" x14ac:dyDescent="0.2">
      <c r="AD4960" s="98">
        <f t="shared" si="284"/>
        <v>49883</v>
      </c>
    </row>
    <row r="4961" spans="30:30" ht="14" thickBot="1" x14ac:dyDescent="0.2">
      <c r="AD4961" s="98">
        <f t="shared" si="284"/>
        <v>49884</v>
      </c>
    </row>
    <row r="4962" spans="30:30" ht="14" thickBot="1" x14ac:dyDescent="0.2">
      <c r="AD4962" s="98">
        <f t="shared" si="284"/>
        <v>49885</v>
      </c>
    </row>
    <row r="4963" spans="30:30" ht="14" thickBot="1" x14ac:dyDescent="0.2">
      <c r="AD4963" s="98">
        <f t="shared" si="284"/>
        <v>49886</v>
      </c>
    </row>
    <row r="4964" spans="30:30" ht="14" thickBot="1" x14ac:dyDescent="0.2">
      <c r="AD4964" s="98">
        <f t="shared" si="284"/>
        <v>49887</v>
      </c>
    </row>
    <row r="4965" spans="30:30" ht="14" thickBot="1" x14ac:dyDescent="0.2">
      <c r="AD4965" s="98">
        <f t="shared" si="284"/>
        <v>49888</v>
      </c>
    </row>
    <row r="4966" spans="30:30" ht="14" thickBot="1" x14ac:dyDescent="0.2">
      <c r="AD4966" s="98">
        <f t="shared" si="284"/>
        <v>49889</v>
      </c>
    </row>
    <row r="4967" spans="30:30" ht="14" thickBot="1" x14ac:dyDescent="0.2">
      <c r="AD4967" s="98">
        <f t="shared" si="284"/>
        <v>49890</v>
      </c>
    </row>
    <row r="4968" spans="30:30" ht="14" thickBot="1" x14ac:dyDescent="0.2">
      <c r="AD4968" s="98">
        <f t="shared" si="284"/>
        <v>49891</v>
      </c>
    </row>
    <row r="4969" spans="30:30" ht="14" thickBot="1" x14ac:dyDescent="0.2">
      <c r="AD4969" s="98">
        <f t="shared" si="284"/>
        <v>49892</v>
      </c>
    </row>
    <row r="4970" spans="30:30" ht="14" thickBot="1" x14ac:dyDescent="0.2">
      <c r="AD4970" s="98">
        <f t="shared" si="284"/>
        <v>49893</v>
      </c>
    </row>
    <row r="4971" spans="30:30" ht="14" thickBot="1" x14ac:dyDescent="0.2">
      <c r="AD4971" s="98">
        <f t="shared" si="284"/>
        <v>49894</v>
      </c>
    </row>
    <row r="4972" spans="30:30" ht="14" thickBot="1" x14ac:dyDescent="0.2">
      <c r="AD4972" s="98">
        <f t="shared" si="284"/>
        <v>49895</v>
      </c>
    </row>
    <row r="4973" spans="30:30" ht="14" thickBot="1" x14ac:dyDescent="0.2">
      <c r="AD4973" s="98">
        <f t="shared" si="284"/>
        <v>49896</v>
      </c>
    </row>
    <row r="4974" spans="30:30" ht="14" thickBot="1" x14ac:dyDescent="0.2">
      <c r="AD4974" s="98">
        <f t="shared" si="284"/>
        <v>49897</v>
      </c>
    </row>
    <row r="4975" spans="30:30" ht="14" thickBot="1" x14ac:dyDescent="0.2">
      <c r="AD4975" s="98">
        <f t="shared" si="284"/>
        <v>49898</v>
      </c>
    </row>
    <row r="4976" spans="30:30" ht="14" thickBot="1" x14ac:dyDescent="0.2">
      <c r="AD4976" s="98">
        <f t="shared" si="284"/>
        <v>49899</v>
      </c>
    </row>
    <row r="4977" spans="30:30" ht="14" thickBot="1" x14ac:dyDescent="0.2">
      <c r="AD4977" s="98">
        <f t="shared" si="284"/>
        <v>49900</v>
      </c>
    </row>
    <row r="4978" spans="30:30" ht="14" thickBot="1" x14ac:dyDescent="0.2">
      <c r="AD4978" s="98">
        <f t="shared" si="284"/>
        <v>49901</v>
      </c>
    </row>
    <row r="4979" spans="30:30" ht="14" thickBot="1" x14ac:dyDescent="0.2">
      <c r="AD4979" s="98">
        <f t="shared" si="284"/>
        <v>49902</v>
      </c>
    </row>
    <row r="4980" spans="30:30" ht="14" thickBot="1" x14ac:dyDescent="0.2">
      <c r="AD4980" s="98">
        <f t="shared" si="284"/>
        <v>49903</v>
      </c>
    </row>
    <row r="4981" spans="30:30" ht="14" thickBot="1" x14ac:dyDescent="0.2">
      <c r="AD4981" s="98">
        <f t="shared" si="284"/>
        <v>49904</v>
      </c>
    </row>
    <row r="4982" spans="30:30" ht="14" thickBot="1" x14ac:dyDescent="0.2">
      <c r="AD4982" s="98">
        <f t="shared" si="284"/>
        <v>49905</v>
      </c>
    </row>
    <row r="4983" spans="30:30" ht="14" thickBot="1" x14ac:dyDescent="0.2">
      <c r="AD4983" s="98">
        <f t="shared" si="284"/>
        <v>49906</v>
      </c>
    </row>
    <row r="4984" spans="30:30" ht="14" thickBot="1" x14ac:dyDescent="0.2">
      <c r="AD4984" s="98">
        <f t="shared" si="284"/>
        <v>49907</v>
      </c>
    </row>
    <row r="4985" spans="30:30" ht="14" thickBot="1" x14ac:dyDescent="0.2">
      <c r="AD4985" s="98">
        <f t="shared" si="284"/>
        <v>49908</v>
      </c>
    </row>
    <row r="4986" spans="30:30" ht="14" thickBot="1" x14ac:dyDescent="0.2">
      <c r="AD4986" s="98">
        <f t="shared" si="284"/>
        <v>49909</v>
      </c>
    </row>
    <row r="4987" spans="30:30" ht="14" thickBot="1" x14ac:dyDescent="0.2">
      <c r="AD4987" s="98">
        <f t="shared" si="284"/>
        <v>49910</v>
      </c>
    </row>
    <row r="4988" spans="30:30" ht="14" thickBot="1" x14ac:dyDescent="0.2">
      <c r="AD4988" s="98">
        <f t="shared" si="284"/>
        <v>49911</v>
      </c>
    </row>
    <row r="4989" spans="30:30" ht="14" thickBot="1" x14ac:dyDescent="0.2">
      <c r="AD4989" s="98">
        <f t="shared" si="284"/>
        <v>49912</v>
      </c>
    </row>
    <row r="4990" spans="30:30" ht="14" thickBot="1" x14ac:dyDescent="0.2">
      <c r="AD4990" s="98">
        <f t="shared" si="284"/>
        <v>49913</v>
      </c>
    </row>
    <row r="4991" spans="30:30" ht="14" thickBot="1" x14ac:dyDescent="0.2">
      <c r="AD4991" s="98">
        <f t="shared" si="284"/>
        <v>49914</v>
      </c>
    </row>
    <row r="4992" spans="30:30" ht="14" thickBot="1" x14ac:dyDescent="0.2">
      <c r="AD4992" s="98">
        <f t="shared" si="284"/>
        <v>49915</v>
      </c>
    </row>
    <row r="4993" spans="30:30" ht="14" thickBot="1" x14ac:dyDescent="0.2">
      <c r="AD4993" s="98">
        <f t="shared" si="284"/>
        <v>49916</v>
      </c>
    </row>
    <row r="4994" spans="30:30" ht="14" thickBot="1" x14ac:dyDescent="0.2">
      <c r="AD4994" s="98">
        <f t="shared" si="284"/>
        <v>49917</v>
      </c>
    </row>
    <row r="4995" spans="30:30" ht="14" thickBot="1" x14ac:dyDescent="0.2">
      <c r="AD4995" s="98">
        <f t="shared" si="284"/>
        <v>49918</v>
      </c>
    </row>
    <row r="4996" spans="30:30" ht="14" thickBot="1" x14ac:dyDescent="0.2">
      <c r="AD4996" s="98">
        <f t="shared" si="284"/>
        <v>49919</v>
      </c>
    </row>
    <row r="4997" spans="30:30" ht="14" thickBot="1" x14ac:dyDescent="0.2">
      <c r="AD4997" s="98">
        <f t="shared" si="284"/>
        <v>49920</v>
      </c>
    </row>
    <row r="4998" spans="30:30" ht="14" thickBot="1" x14ac:dyDescent="0.2">
      <c r="AD4998" s="98">
        <f t="shared" si="284"/>
        <v>49921</v>
      </c>
    </row>
    <row r="4999" spans="30:30" ht="14" thickBot="1" x14ac:dyDescent="0.2">
      <c r="AD4999" s="98">
        <f t="shared" si="284"/>
        <v>49922</v>
      </c>
    </row>
    <row r="5000" spans="30:30" ht="14" thickBot="1" x14ac:dyDescent="0.2">
      <c r="AD5000" s="98">
        <f t="shared" si="284"/>
        <v>49923</v>
      </c>
    </row>
    <row r="5001" spans="30:30" ht="14" thickBot="1" x14ac:dyDescent="0.2">
      <c r="AD5001" s="98">
        <f t="shared" ref="AD5001:AD5064" si="285">AD5000+1</f>
        <v>49924</v>
      </c>
    </row>
    <row r="5002" spans="30:30" ht="14" thickBot="1" x14ac:dyDescent="0.2">
      <c r="AD5002" s="98">
        <f t="shared" si="285"/>
        <v>49925</v>
      </c>
    </row>
    <row r="5003" spans="30:30" ht="14" thickBot="1" x14ac:dyDescent="0.2">
      <c r="AD5003" s="98">
        <f t="shared" si="285"/>
        <v>49926</v>
      </c>
    </row>
    <row r="5004" spans="30:30" ht="14" thickBot="1" x14ac:dyDescent="0.2">
      <c r="AD5004" s="98">
        <f t="shared" si="285"/>
        <v>49927</v>
      </c>
    </row>
    <row r="5005" spans="30:30" ht="14" thickBot="1" x14ac:dyDescent="0.2">
      <c r="AD5005" s="98">
        <f t="shared" si="285"/>
        <v>49928</v>
      </c>
    </row>
    <row r="5006" spans="30:30" ht="14" thickBot="1" x14ac:dyDescent="0.2">
      <c r="AD5006" s="98">
        <f t="shared" si="285"/>
        <v>49929</v>
      </c>
    </row>
    <row r="5007" spans="30:30" ht="14" thickBot="1" x14ac:dyDescent="0.2">
      <c r="AD5007" s="98">
        <f t="shared" si="285"/>
        <v>49930</v>
      </c>
    </row>
    <row r="5008" spans="30:30" ht="14" thickBot="1" x14ac:dyDescent="0.2">
      <c r="AD5008" s="98">
        <f t="shared" si="285"/>
        <v>49931</v>
      </c>
    </row>
    <row r="5009" spans="30:30" ht="14" thickBot="1" x14ac:dyDescent="0.2">
      <c r="AD5009" s="98">
        <f t="shared" si="285"/>
        <v>49932</v>
      </c>
    </row>
    <row r="5010" spans="30:30" ht="14" thickBot="1" x14ac:dyDescent="0.2">
      <c r="AD5010" s="98">
        <f t="shared" si="285"/>
        <v>49933</v>
      </c>
    </row>
    <row r="5011" spans="30:30" ht="14" thickBot="1" x14ac:dyDescent="0.2">
      <c r="AD5011" s="98">
        <f t="shared" si="285"/>
        <v>49934</v>
      </c>
    </row>
    <row r="5012" spans="30:30" ht="14" thickBot="1" x14ac:dyDescent="0.2">
      <c r="AD5012" s="98">
        <f t="shared" si="285"/>
        <v>49935</v>
      </c>
    </row>
    <row r="5013" spans="30:30" ht="14" thickBot="1" x14ac:dyDescent="0.2">
      <c r="AD5013" s="98">
        <f t="shared" si="285"/>
        <v>49936</v>
      </c>
    </row>
    <row r="5014" spans="30:30" ht="14" thickBot="1" x14ac:dyDescent="0.2">
      <c r="AD5014" s="98">
        <f t="shared" si="285"/>
        <v>49937</v>
      </c>
    </row>
    <row r="5015" spans="30:30" ht="14" thickBot="1" x14ac:dyDescent="0.2">
      <c r="AD5015" s="98">
        <f t="shared" si="285"/>
        <v>49938</v>
      </c>
    </row>
    <row r="5016" spans="30:30" ht="14" thickBot="1" x14ac:dyDescent="0.2">
      <c r="AD5016" s="98">
        <f t="shared" si="285"/>
        <v>49939</v>
      </c>
    </row>
    <row r="5017" spans="30:30" ht="14" thickBot="1" x14ac:dyDescent="0.2">
      <c r="AD5017" s="98">
        <f t="shared" si="285"/>
        <v>49940</v>
      </c>
    </row>
    <row r="5018" spans="30:30" ht="14" thickBot="1" x14ac:dyDescent="0.2">
      <c r="AD5018" s="98">
        <f t="shared" si="285"/>
        <v>49941</v>
      </c>
    </row>
    <row r="5019" spans="30:30" ht="14" thickBot="1" x14ac:dyDescent="0.2">
      <c r="AD5019" s="98">
        <f t="shared" si="285"/>
        <v>49942</v>
      </c>
    </row>
    <row r="5020" spans="30:30" ht="14" thickBot="1" x14ac:dyDescent="0.2">
      <c r="AD5020" s="98">
        <f t="shared" si="285"/>
        <v>49943</v>
      </c>
    </row>
    <row r="5021" spans="30:30" ht="14" thickBot="1" x14ac:dyDescent="0.2">
      <c r="AD5021" s="98">
        <f t="shared" si="285"/>
        <v>49944</v>
      </c>
    </row>
    <row r="5022" spans="30:30" ht="14" thickBot="1" x14ac:dyDescent="0.2">
      <c r="AD5022" s="98">
        <f t="shared" si="285"/>
        <v>49945</v>
      </c>
    </row>
    <row r="5023" spans="30:30" ht="14" thickBot="1" x14ac:dyDescent="0.2">
      <c r="AD5023" s="98">
        <f t="shared" si="285"/>
        <v>49946</v>
      </c>
    </row>
    <row r="5024" spans="30:30" ht="14" thickBot="1" x14ac:dyDescent="0.2">
      <c r="AD5024" s="98">
        <f t="shared" si="285"/>
        <v>49947</v>
      </c>
    </row>
    <row r="5025" spans="30:30" ht="14" thickBot="1" x14ac:dyDescent="0.2">
      <c r="AD5025" s="98">
        <f t="shared" si="285"/>
        <v>49948</v>
      </c>
    </row>
    <row r="5026" spans="30:30" ht="14" thickBot="1" x14ac:dyDescent="0.2">
      <c r="AD5026" s="98">
        <f t="shared" si="285"/>
        <v>49949</v>
      </c>
    </row>
    <row r="5027" spans="30:30" ht="14" thickBot="1" x14ac:dyDescent="0.2">
      <c r="AD5027" s="98">
        <f t="shared" si="285"/>
        <v>49950</v>
      </c>
    </row>
    <row r="5028" spans="30:30" ht="14" thickBot="1" x14ac:dyDescent="0.2">
      <c r="AD5028" s="98">
        <f t="shared" si="285"/>
        <v>49951</v>
      </c>
    </row>
    <row r="5029" spans="30:30" ht="14" thickBot="1" x14ac:dyDescent="0.2">
      <c r="AD5029" s="98">
        <f t="shared" si="285"/>
        <v>49952</v>
      </c>
    </row>
    <row r="5030" spans="30:30" ht="14" thickBot="1" x14ac:dyDescent="0.2">
      <c r="AD5030" s="98">
        <f t="shared" si="285"/>
        <v>49953</v>
      </c>
    </row>
    <row r="5031" spans="30:30" ht="14" thickBot="1" x14ac:dyDescent="0.2">
      <c r="AD5031" s="98">
        <f t="shared" si="285"/>
        <v>49954</v>
      </c>
    </row>
    <row r="5032" spans="30:30" ht="14" thickBot="1" x14ac:dyDescent="0.2">
      <c r="AD5032" s="98">
        <f t="shared" si="285"/>
        <v>49955</v>
      </c>
    </row>
    <row r="5033" spans="30:30" ht="14" thickBot="1" x14ac:dyDescent="0.2">
      <c r="AD5033" s="98">
        <f t="shared" si="285"/>
        <v>49956</v>
      </c>
    </row>
    <row r="5034" spans="30:30" ht="14" thickBot="1" x14ac:dyDescent="0.2">
      <c r="AD5034" s="98">
        <f t="shared" si="285"/>
        <v>49957</v>
      </c>
    </row>
    <row r="5035" spans="30:30" ht="14" thickBot="1" x14ac:dyDescent="0.2">
      <c r="AD5035" s="98">
        <f t="shared" si="285"/>
        <v>49958</v>
      </c>
    </row>
    <row r="5036" spans="30:30" ht="14" thickBot="1" x14ac:dyDescent="0.2">
      <c r="AD5036" s="98">
        <f t="shared" si="285"/>
        <v>49959</v>
      </c>
    </row>
    <row r="5037" spans="30:30" ht="14" thickBot="1" x14ac:dyDescent="0.2">
      <c r="AD5037" s="98">
        <f t="shared" si="285"/>
        <v>49960</v>
      </c>
    </row>
    <row r="5038" spans="30:30" ht="14" thickBot="1" x14ac:dyDescent="0.2">
      <c r="AD5038" s="98">
        <f t="shared" si="285"/>
        <v>49961</v>
      </c>
    </row>
    <row r="5039" spans="30:30" ht="14" thickBot="1" x14ac:dyDescent="0.2">
      <c r="AD5039" s="98">
        <f t="shared" si="285"/>
        <v>49962</v>
      </c>
    </row>
    <row r="5040" spans="30:30" ht="14" thickBot="1" x14ac:dyDescent="0.2">
      <c r="AD5040" s="98">
        <f t="shared" si="285"/>
        <v>49963</v>
      </c>
    </row>
    <row r="5041" spans="30:30" ht="14" thickBot="1" x14ac:dyDescent="0.2">
      <c r="AD5041" s="98">
        <f t="shared" si="285"/>
        <v>49964</v>
      </c>
    </row>
    <row r="5042" spans="30:30" ht="14" thickBot="1" x14ac:dyDescent="0.2">
      <c r="AD5042" s="98">
        <f t="shared" si="285"/>
        <v>49965</v>
      </c>
    </row>
    <row r="5043" spans="30:30" ht="14" thickBot="1" x14ac:dyDescent="0.2">
      <c r="AD5043" s="98">
        <f t="shared" si="285"/>
        <v>49966</v>
      </c>
    </row>
    <row r="5044" spans="30:30" ht="14" thickBot="1" x14ac:dyDescent="0.2">
      <c r="AD5044" s="98">
        <f t="shared" si="285"/>
        <v>49967</v>
      </c>
    </row>
    <row r="5045" spans="30:30" ht="14" thickBot="1" x14ac:dyDescent="0.2">
      <c r="AD5045" s="98">
        <f t="shared" si="285"/>
        <v>49968</v>
      </c>
    </row>
    <row r="5046" spans="30:30" ht="14" thickBot="1" x14ac:dyDescent="0.2">
      <c r="AD5046" s="98">
        <f t="shared" si="285"/>
        <v>49969</v>
      </c>
    </row>
    <row r="5047" spans="30:30" ht="14" thickBot="1" x14ac:dyDescent="0.2">
      <c r="AD5047" s="98">
        <f t="shared" si="285"/>
        <v>49970</v>
      </c>
    </row>
    <row r="5048" spans="30:30" ht="14" thickBot="1" x14ac:dyDescent="0.2">
      <c r="AD5048" s="98">
        <f t="shared" si="285"/>
        <v>49971</v>
      </c>
    </row>
    <row r="5049" spans="30:30" ht="14" thickBot="1" x14ac:dyDescent="0.2">
      <c r="AD5049" s="98">
        <f t="shared" si="285"/>
        <v>49972</v>
      </c>
    </row>
    <row r="5050" spans="30:30" ht="14" thickBot="1" x14ac:dyDescent="0.2">
      <c r="AD5050" s="98">
        <f t="shared" si="285"/>
        <v>49973</v>
      </c>
    </row>
    <row r="5051" spans="30:30" ht="14" thickBot="1" x14ac:dyDescent="0.2">
      <c r="AD5051" s="98">
        <f t="shared" si="285"/>
        <v>49974</v>
      </c>
    </row>
    <row r="5052" spans="30:30" ht="14" thickBot="1" x14ac:dyDescent="0.2">
      <c r="AD5052" s="98">
        <f t="shared" si="285"/>
        <v>49975</v>
      </c>
    </row>
    <row r="5053" spans="30:30" ht="14" thickBot="1" x14ac:dyDescent="0.2">
      <c r="AD5053" s="98">
        <f t="shared" si="285"/>
        <v>49976</v>
      </c>
    </row>
    <row r="5054" spans="30:30" ht="14" thickBot="1" x14ac:dyDescent="0.2">
      <c r="AD5054" s="98">
        <f t="shared" si="285"/>
        <v>49977</v>
      </c>
    </row>
    <row r="5055" spans="30:30" ht="14" thickBot="1" x14ac:dyDescent="0.2">
      <c r="AD5055" s="98">
        <f t="shared" si="285"/>
        <v>49978</v>
      </c>
    </row>
    <row r="5056" spans="30:30" ht="14" thickBot="1" x14ac:dyDescent="0.2">
      <c r="AD5056" s="98">
        <f t="shared" si="285"/>
        <v>49979</v>
      </c>
    </row>
    <row r="5057" spans="30:30" ht="14" thickBot="1" x14ac:dyDescent="0.2">
      <c r="AD5057" s="98">
        <f t="shared" si="285"/>
        <v>49980</v>
      </c>
    </row>
    <row r="5058" spans="30:30" ht="14" thickBot="1" x14ac:dyDescent="0.2">
      <c r="AD5058" s="98">
        <f t="shared" si="285"/>
        <v>49981</v>
      </c>
    </row>
    <row r="5059" spans="30:30" ht="14" thickBot="1" x14ac:dyDescent="0.2">
      <c r="AD5059" s="98">
        <f t="shared" si="285"/>
        <v>49982</v>
      </c>
    </row>
    <row r="5060" spans="30:30" ht="14" thickBot="1" x14ac:dyDescent="0.2">
      <c r="AD5060" s="98">
        <f t="shared" si="285"/>
        <v>49983</v>
      </c>
    </row>
    <row r="5061" spans="30:30" ht="14" thickBot="1" x14ac:dyDescent="0.2">
      <c r="AD5061" s="98">
        <f t="shared" si="285"/>
        <v>49984</v>
      </c>
    </row>
    <row r="5062" spans="30:30" ht="14" thickBot="1" x14ac:dyDescent="0.2">
      <c r="AD5062" s="98">
        <f t="shared" si="285"/>
        <v>49985</v>
      </c>
    </row>
    <row r="5063" spans="30:30" ht="14" thickBot="1" x14ac:dyDescent="0.2">
      <c r="AD5063" s="98">
        <f t="shared" si="285"/>
        <v>49986</v>
      </c>
    </row>
    <row r="5064" spans="30:30" ht="14" thickBot="1" x14ac:dyDescent="0.2">
      <c r="AD5064" s="98">
        <f t="shared" si="285"/>
        <v>49987</v>
      </c>
    </row>
    <row r="5065" spans="30:30" ht="14" thickBot="1" x14ac:dyDescent="0.2">
      <c r="AD5065" s="98">
        <f t="shared" ref="AD5065:AD5128" si="286">AD5064+1</f>
        <v>49988</v>
      </c>
    </row>
    <row r="5066" spans="30:30" ht="14" thickBot="1" x14ac:dyDescent="0.2">
      <c r="AD5066" s="98">
        <f t="shared" si="286"/>
        <v>49989</v>
      </c>
    </row>
    <row r="5067" spans="30:30" ht="14" thickBot="1" x14ac:dyDescent="0.2">
      <c r="AD5067" s="98">
        <f t="shared" si="286"/>
        <v>49990</v>
      </c>
    </row>
    <row r="5068" spans="30:30" ht="14" thickBot="1" x14ac:dyDescent="0.2">
      <c r="AD5068" s="98">
        <f t="shared" si="286"/>
        <v>49991</v>
      </c>
    </row>
    <row r="5069" spans="30:30" ht="14" thickBot="1" x14ac:dyDescent="0.2">
      <c r="AD5069" s="98">
        <f t="shared" si="286"/>
        <v>49992</v>
      </c>
    </row>
    <row r="5070" spans="30:30" ht="14" thickBot="1" x14ac:dyDescent="0.2">
      <c r="AD5070" s="98">
        <f t="shared" si="286"/>
        <v>49993</v>
      </c>
    </row>
    <row r="5071" spans="30:30" ht="14" thickBot="1" x14ac:dyDescent="0.2">
      <c r="AD5071" s="98">
        <f t="shared" si="286"/>
        <v>49994</v>
      </c>
    </row>
    <row r="5072" spans="30:30" ht="14" thickBot="1" x14ac:dyDescent="0.2">
      <c r="AD5072" s="98">
        <f t="shared" si="286"/>
        <v>49995</v>
      </c>
    </row>
    <row r="5073" spans="30:30" ht="14" thickBot="1" x14ac:dyDescent="0.2">
      <c r="AD5073" s="98">
        <f t="shared" si="286"/>
        <v>49996</v>
      </c>
    </row>
    <row r="5074" spans="30:30" ht="14" thickBot="1" x14ac:dyDescent="0.2">
      <c r="AD5074" s="98">
        <f t="shared" si="286"/>
        <v>49997</v>
      </c>
    </row>
    <row r="5075" spans="30:30" ht="14" thickBot="1" x14ac:dyDescent="0.2">
      <c r="AD5075" s="98">
        <f t="shared" si="286"/>
        <v>49998</v>
      </c>
    </row>
    <row r="5076" spans="30:30" ht="14" thickBot="1" x14ac:dyDescent="0.2">
      <c r="AD5076" s="98">
        <f t="shared" si="286"/>
        <v>49999</v>
      </c>
    </row>
    <row r="5077" spans="30:30" ht="14" thickBot="1" x14ac:dyDescent="0.2">
      <c r="AD5077" s="98">
        <f t="shared" si="286"/>
        <v>50000</v>
      </c>
    </row>
    <row r="5078" spans="30:30" ht="14" thickBot="1" x14ac:dyDescent="0.2">
      <c r="AD5078" s="98">
        <f t="shared" si="286"/>
        <v>50001</v>
      </c>
    </row>
    <row r="5079" spans="30:30" ht="14" thickBot="1" x14ac:dyDescent="0.2">
      <c r="AD5079" s="98">
        <f t="shared" si="286"/>
        <v>50002</v>
      </c>
    </row>
    <row r="5080" spans="30:30" ht="14" thickBot="1" x14ac:dyDescent="0.2">
      <c r="AD5080" s="98">
        <f t="shared" si="286"/>
        <v>50003</v>
      </c>
    </row>
    <row r="5081" spans="30:30" ht="14" thickBot="1" x14ac:dyDescent="0.2">
      <c r="AD5081" s="98">
        <f t="shared" si="286"/>
        <v>50004</v>
      </c>
    </row>
    <row r="5082" spans="30:30" ht="14" thickBot="1" x14ac:dyDescent="0.2">
      <c r="AD5082" s="98">
        <f t="shared" si="286"/>
        <v>50005</v>
      </c>
    </row>
    <row r="5083" spans="30:30" ht="14" thickBot="1" x14ac:dyDescent="0.2">
      <c r="AD5083" s="98">
        <f t="shared" si="286"/>
        <v>50006</v>
      </c>
    </row>
    <row r="5084" spans="30:30" ht="14" thickBot="1" x14ac:dyDescent="0.2">
      <c r="AD5084" s="98">
        <f t="shared" si="286"/>
        <v>50007</v>
      </c>
    </row>
    <row r="5085" spans="30:30" ht="14" thickBot="1" x14ac:dyDescent="0.2">
      <c r="AD5085" s="98">
        <f t="shared" si="286"/>
        <v>50008</v>
      </c>
    </row>
    <row r="5086" spans="30:30" ht="14" thickBot="1" x14ac:dyDescent="0.2">
      <c r="AD5086" s="98">
        <f t="shared" si="286"/>
        <v>50009</v>
      </c>
    </row>
    <row r="5087" spans="30:30" ht="14" thickBot="1" x14ac:dyDescent="0.2">
      <c r="AD5087" s="98">
        <f t="shared" si="286"/>
        <v>50010</v>
      </c>
    </row>
    <row r="5088" spans="30:30" ht="14" thickBot="1" x14ac:dyDescent="0.2">
      <c r="AD5088" s="98">
        <f t="shared" si="286"/>
        <v>50011</v>
      </c>
    </row>
    <row r="5089" spans="30:30" ht="14" thickBot="1" x14ac:dyDescent="0.2">
      <c r="AD5089" s="98">
        <f t="shared" si="286"/>
        <v>50012</v>
      </c>
    </row>
    <row r="5090" spans="30:30" ht="14" thickBot="1" x14ac:dyDescent="0.2">
      <c r="AD5090" s="98">
        <f t="shared" si="286"/>
        <v>50013</v>
      </c>
    </row>
    <row r="5091" spans="30:30" ht="14" thickBot="1" x14ac:dyDescent="0.2">
      <c r="AD5091" s="98">
        <f t="shared" si="286"/>
        <v>50014</v>
      </c>
    </row>
    <row r="5092" spans="30:30" ht="14" thickBot="1" x14ac:dyDescent="0.2">
      <c r="AD5092" s="98">
        <f t="shared" si="286"/>
        <v>50015</v>
      </c>
    </row>
    <row r="5093" spans="30:30" ht="14" thickBot="1" x14ac:dyDescent="0.2">
      <c r="AD5093" s="98">
        <f t="shared" si="286"/>
        <v>50016</v>
      </c>
    </row>
    <row r="5094" spans="30:30" ht="14" thickBot="1" x14ac:dyDescent="0.2">
      <c r="AD5094" s="98">
        <f t="shared" si="286"/>
        <v>50017</v>
      </c>
    </row>
    <row r="5095" spans="30:30" ht="14" thickBot="1" x14ac:dyDescent="0.2">
      <c r="AD5095" s="98">
        <f t="shared" si="286"/>
        <v>50018</v>
      </c>
    </row>
    <row r="5096" spans="30:30" ht="14" thickBot="1" x14ac:dyDescent="0.2">
      <c r="AD5096" s="98">
        <f t="shared" si="286"/>
        <v>50019</v>
      </c>
    </row>
    <row r="5097" spans="30:30" ht="14" thickBot="1" x14ac:dyDescent="0.2">
      <c r="AD5097" s="98">
        <f t="shared" si="286"/>
        <v>50020</v>
      </c>
    </row>
    <row r="5098" spans="30:30" ht="14" thickBot="1" x14ac:dyDescent="0.2">
      <c r="AD5098" s="98">
        <f t="shared" si="286"/>
        <v>50021</v>
      </c>
    </row>
    <row r="5099" spans="30:30" ht="14" thickBot="1" x14ac:dyDescent="0.2">
      <c r="AD5099" s="98">
        <f t="shared" si="286"/>
        <v>50022</v>
      </c>
    </row>
    <row r="5100" spans="30:30" ht="14" thickBot="1" x14ac:dyDescent="0.2">
      <c r="AD5100" s="98">
        <f t="shared" si="286"/>
        <v>50023</v>
      </c>
    </row>
    <row r="5101" spans="30:30" ht="14" thickBot="1" x14ac:dyDescent="0.2">
      <c r="AD5101" s="98">
        <f t="shared" si="286"/>
        <v>50024</v>
      </c>
    </row>
    <row r="5102" spans="30:30" ht="14" thickBot="1" x14ac:dyDescent="0.2">
      <c r="AD5102" s="98">
        <f t="shared" si="286"/>
        <v>50025</v>
      </c>
    </row>
    <row r="5103" spans="30:30" ht="14" thickBot="1" x14ac:dyDescent="0.2">
      <c r="AD5103" s="98">
        <f t="shared" si="286"/>
        <v>50026</v>
      </c>
    </row>
    <row r="5104" spans="30:30" ht="14" thickBot="1" x14ac:dyDescent="0.2">
      <c r="AD5104" s="98">
        <f t="shared" si="286"/>
        <v>50027</v>
      </c>
    </row>
    <row r="5105" spans="30:30" ht="14" thickBot="1" x14ac:dyDescent="0.2">
      <c r="AD5105" s="98">
        <f t="shared" si="286"/>
        <v>50028</v>
      </c>
    </row>
    <row r="5106" spans="30:30" ht="14" thickBot="1" x14ac:dyDescent="0.2">
      <c r="AD5106" s="98">
        <f t="shared" si="286"/>
        <v>50029</v>
      </c>
    </row>
    <row r="5107" spans="30:30" ht="14" thickBot="1" x14ac:dyDescent="0.2">
      <c r="AD5107" s="98">
        <f t="shared" si="286"/>
        <v>50030</v>
      </c>
    </row>
    <row r="5108" spans="30:30" ht="14" thickBot="1" x14ac:dyDescent="0.2">
      <c r="AD5108" s="98">
        <f t="shared" si="286"/>
        <v>50031</v>
      </c>
    </row>
    <row r="5109" spans="30:30" ht="14" thickBot="1" x14ac:dyDescent="0.2">
      <c r="AD5109" s="98">
        <f t="shared" si="286"/>
        <v>50032</v>
      </c>
    </row>
    <row r="5110" spans="30:30" ht="14" thickBot="1" x14ac:dyDescent="0.2">
      <c r="AD5110" s="98">
        <f t="shared" si="286"/>
        <v>50033</v>
      </c>
    </row>
    <row r="5111" spans="30:30" ht="14" thickBot="1" x14ac:dyDescent="0.2">
      <c r="AD5111" s="98">
        <f t="shared" si="286"/>
        <v>50034</v>
      </c>
    </row>
    <row r="5112" spans="30:30" ht="14" thickBot="1" x14ac:dyDescent="0.2">
      <c r="AD5112" s="98">
        <f t="shared" si="286"/>
        <v>50035</v>
      </c>
    </row>
    <row r="5113" spans="30:30" ht="14" thickBot="1" x14ac:dyDescent="0.2">
      <c r="AD5113" s="98">
        <f t="shared" si="286"/>
        <v>50036</v>
      </c>
    </row>
    <row r="5114" spans="30:30" ht="14" thickBot="1" x14ac:dyDescent="0.2">
      <c r="AD5114" s="98">
        <f t="shared" si="286"/>
        <v>50037</v>
      </c>
    </row>
    <row r="5115" spans="30:30" ht="14" thickBot="1" x14ac:dyDescent="0.2">
      <c r="AD5115" s="98">
        <f t="shared" si="286"/>
        <v>50038</v>
      </c>
    </row>
    <row r="5116" spans="30:30" ht="14" thickBot="1" x14ac:dyDescent="0.2">
      <c r="AD5116" s="98">
        <f t="shared" si="286"/>
        <v>50039</v>
      </c>
    </row>
    <row r="5117" spans="30:30" ht="14" thickBot="1" x14ac:dyDescent="0.2">
      <c r="AD5117" s="98">
        <f t="shared" si="286"/>
        <v>50040</v>
      </c>
    </row>
    <row r="5118" spans="30:30" ht="14" thickBot="1" x14ac:dyDescent="0.2">
      <c r="AD5118" s="98">
        <f t="shared" si="286"/>
        <v>50041</v>
      </c>
    </row>
    <row r="5119" spans="30:30" ht="14" thickBot="1" x14ac:dyDescent="0.2">
      <c r="AD5119" s="98">
        <f t="shared" si="286"/>
        <v>50042</v>
      </c>
    </row>
    <row r="5120" spans="30:30" ht="14" thickBot="1" x14ac:dyDescent="0.2">
      <c r="AD5120" s="98">
        <f t="shared" si="286"/>
        <v>50043</v>
      </c>
    </row>
    <row r="5121" spans="30:30" ht="14" thickBot="1" x14ac:dyDescent="0.2">
      <c r="AD5121" s="98">
        <f t="shared" si="286"/>
        <v>50044</v>
      </c>
    </row>
    <row r="5122" spans="30:30" ht="14" thickBot="1" x14ac:dyDescent="0.2">
      <c r="AD5122" s="98">
        <f t="shared" si="286"/>
        <v>50045</v>
      </c>
    </row>
    <row r="5123" spans="30:30" ht="14" thickBot="1" x14ac:dyDescent="0.2">
      <c r="AD5123" s="98">
        <f t="shared" si="286"/>
        <v>50046</v>
      </c>
    </row>
    <row r="5124" spans="30:30" ht="14" thickBot="1" x14ac:dyDescent="0.2">
      <c r="AD5124" s="98">
        <f t="shared" si="286"/>
        <v>50047</v>
      </c>
    </row>
    <row r="5125" spans="30:30" ht="14" thickBot="1" x14ac:dyDescent="0.2">
      <c r="AD5125" s="98">
        <f t="shared" si="286"/>
        <v>50048</v>
      </c>
    </row>
    <row r="5126" spans="30:30" ht="14" thickBot="1" x14ac:dyDescent="0.2">
      <c r="AD5126" s="98">
        <f t="shared" si="286"/>
        <v>50049</v>
      </c>
    </row>
    <row r="5127" spans="30:30" ht="14" thickBot="1" x14ac:dyDescent="0.2">
      <c r="AD5127" s="98">
        <f t="shared" si="286"/>
        <v>50050</v>
      </c>
    </row>
    <row r="5128" spans="30:30" ht="14" thickBot="1" x14ac:dyDescent="0.2">
      <c r="AD5128" s="98">
        <f t="shared" si="286"/>
        <v>50051</v>
      </c>
    </row>
    <row r="5129" spans="30:30" ht="14" thickBot="1" x14ac:dyDescent="0.2">
      <c r="AD5129" s="98">
        <f t="shared" ref="AD5129:AD5192" si="287">AD5128+1</f>
        <v>50052</v>
      </c>
    </row>
    <row r="5130" spans="30:30" ht="14" thickBot="1" x14ac:dyDescent="0.2">
      <c r="AD5130" s="98">
        <f t="shared" si="287"/>
        <v>50053</v>
      </c>
    </row>
    <row r="5131" spans="30:30" ht="14" thickBot="1" x14ac:dyDescent="0.2">
      <c r="AD5131" s="98">
        <f t="shared" si="287"/>
        <v>50054</v>
      </c>
    </row>
    <row r="5132" spans="30:30" ht="14" thickBot="1" x14ac:dyDescent="0.2">
      <c r="AD5132" s="98">
        <f t="shared" si="287"/>
        <v>50055</v>
      </c>
    </row>
    <row r="5133" spans="30:30" ht="14" thickBot="1" x14ac:dyDescent="0.2">
      <c r="AD5133" s="98">
        <f t="shared" si="287"/>
        <v>50056</v>
      </c>
    </row>
    <row r="5134" spans="30:30" ht="14" thickBot="1" x14ac:dyDescent="0.2">
      <c r="AD5134" s="98">
        <f t="shared" si="287"/>
        <v>50057</v>
      </c>
    </row>
    <row r="5135" spans="30:30" ht="14" thickBot="1" x14ac:dyDescent="0.2">
      <c r="AD5135" s="98">
        <f t="shared" si="287"/>
        <v>50058</v>
      </c>
    </row>
    <row r="5136" spans="30:30" ht="14" thickBot="1" x14ac:dyDescent="0.2">
      <c r="AD5136" s="98">
        <f t="shared" si="287"/>
        <v>50059</v>
      </c>
    </row>
    <row r="5137" spans="30:30" ht="14" thickBot="1" x14ac:dyDescent="0.2">
      <c r="AD5137" s="98">
        <f t="shared" si="287"/>
        <v>50060</v>
      </c>
    </row>
    <row r="5138" spans="30:30" ht="14" thickBot="1" x14ac:dyDescent="0.2">
      <c r="AD5138" s="98">
        <f t="shared" si="287"/>
        <v>50061</v>
      </c>
    </row>
    <row r="5139" spans="30:30" ht="14" thickBot="1" x14ac:dyDescent="0.2">
      <c r="AD5139" s="98">
        <f t="shared" si="287"/>
        <v>50062</v>
      </c>
    </row>
    <row r="5140" spans="30:30" ht="14" thickBot="1" x14ac:dyDescent="0.2">
      <c r="AD5140" s="98">
        <f t="shared" si="287"/>
        <v>50063</v>
      </c>
    </row>
    <row r="5141" spans="30:30" ht="14" thickBot="1" x14ac:dyDescent="0.2">
      <c r="AD5141" s="98">
        <f t="shared" si="287"/>
        <v>50064</v>
      </c>
    </row>
    <row r="5142" spans="30:30" ht="14" thickBot="1" x14ac:dyDescent="0.2">
      <c r="AD5142" s="98">
        <f t="shared" si="287"/>
        <v>50065</v>
      </c>
    </row>
    <row r="5143" spans="30:30" ht="14" thickBot="1" x14ac:dyDescent="0.2">
      <c r="AD5143" s="98">
        <f t="shared" si="287"/>
        <v>50066</v>
      </c>
    </row>
    <row r="5144" spans="30:30" ht="14" thickBot="1" x14ac:dyDescent="0.2">
      <c r="AD5144" s="98">
        <f t="shared" si="287"/>
        <v>50067</v>
      </c>
    </row>
    <row r="5145" spans="30:30" ht="14" thickBot="1" x14ac:dyDescent="0.2">
      <c r="AD5145" s="98">
        <f t="shared" si="287"/>
        <v>50068</v>
      </c>
    </row>
    <row r="5146" spans="30:30" ht="14" thickBot="1" x14ac:dyDescent="0.2">
      <c r="AD5146" s="98">
        <f t="shared" si="287"/>
        <v>50069</v>
      </c>
    </row>
    <row r="5147" spans="30:30" ht="14" thickBot="1" x14ac:dyDescent="0.2">
      <c r="AD5147" s="98">
        <f t="shared" si="287"/>
        <v>50070</v>
      </c>
    </row>
    <row r="5148" spans="30:30" ht="14" thickBot="1" x14ac:dyDescent="0.2">
      <c r="AD5148" s="98">
        <f t="shared" si="287"/>
        <v>50071</v>
      </c>
    </row>
    <row r="5149" spans="30:30" ht="14" thickBot="1" x14ac:dyDescent="0.2">
      <c r="AD5149" s="98">
        <f t="shared" si="287"/>
        <v>50072</v>
      </c>
    </row>
    <row r="5150" spans="30:30" ht="14" thickBot="1" x14ac:dyDescent="0.2">
      <c r="AD5150" s="98">
        <f t="shared" si="287"/>
        <v>50073</v>
      </c>
    </row>
    <row r="5151" spans="30:30" ht="14" thickBot="1" x14ac:dyDescent="0.2">
      <c r="AD5151" s="98">
        <f t="shared" si="287"/>
        <v>50074</v>
      </c>
    </row>
    <row r="5152" spans="30:30" ht="14" thickBot="1" x14ac:dyDescent="0.2">
      <c r="AD5152" s="98">
        <f t="shared" si="287"/>
        <v>50075</v>
      </c>
    </row>
    <row r="5153" spans="30:30" ht="14" thickBot="1" x14ac:dyDescent="0.2">
      <c r="AD5153" s="98">
        <f t="shared" si="287"/>
        <v>50076</v>
      </c>
    </row>
    <row r="5154" spans="30:30" ht="14" thickBot="1" x14ac:dyDescent="0.2">
      <c r="AD5154" s="98">
        <f t="shared" si="287"/>
        <v>50077</v>
      </c>
    </row>
    <row r="5155" spans="30:30" ht="14" thickBot="1" x14ac:dyDescent="0.2">
      <c r="AD5155" s="98">
        <f t="shared" si="287"/>
        <v>50078</v>
      </c>
    </row>
    <row r="5156" spans="30:30" ht="14" thickBot="1" x14ac:dyDescent="0.2">
      <c r="AD5156" s="98">
        <f t="shared" si="287"/>
        <v>50079</v>
      </c>
    </row>
    <row r="5157" spans="30:30" ht="14" thickBot="1" x14ac:dyDescent="0.2">
      <c r="AD5157" s="98">
        <f t="shared" si="287"/>
        <v>50080</v>
      </c>
    </row>
    <row r="5158" spans="30:30" ht="14" thickBot="1" x14ac:dyDescent="0.2">
      <c r="AD5158" s="98">
        <f t="shared" si="287"/>
        <v>50081</v>
      </c>
    </row>
    <row r="5159" spans="30:30" ht="14" thickBot="1" x14ac:dyDescent="0.2">
      <c r="AD5159" s="98">
        <f t="shared" si="287"/>
        <v>50082</v>
      </c>
    </row>
    <row r="5160" spans="30:30" ht="14" thickBot="1" x14ac:dyDescent="0.2">
      <c r="AD5160" s="98">
        <f t="shared" si="287"/>
        <v>50083</v>
      </c>
    </row>
    <row r="5161" spans="30:30" ht="14" thickBot="1" x14ac:dyDescent="0.2">
      <c r="AD5161" s="98">
        <f t="shared" si="287"/>
        <v>50084</v>
      </c>
    </row>
    <row r="5162" spans="30:30" ht="14" thickBot="1" x14ac:dyDescent="0.2">
      <c r="AD5162" s="98">
        <f t="shared" si="287"/>
        <v>50085</v>
      </c>
    </row>
    <row r="5163" spans="30:30" ht="14" thickBot="1" x14ac:dyDescent="0.2">
      <c r="AD5163" s="98">
        <f t="shared" si="287"/>
        <v>50086</v>
      </c>
    </row>
    <row r="5164" spans="30:30" ht="14" thickBot="1" x14ac:dyDescent="0.2">
      <c r="AD5164" s="98">
        <f t="shared" si="287"/>
        <v>50087</v>
      </c>
    </row>
    <row r="5165" spans="30:30" ht="14" thickBot="1" x14ac:dyDescent="0.2">
      <c r="AD5165" s="98">
        <f t="shared" si="287"/>
        <v>50088</v>
      </c>
    </row>
    <row r="5166" spans="30:30" ht="14" thickBot="1" x14ac:dyDescent="0.2">
      <c r="AD5166" s="98">
        <f t="shared" si="287"/>
        <v>50089</v>
      </c>
    </row>
    <row r="5167" spans="30:30" ht="14" thickBot="1" x14ac:dyDescent="0.2">
      <c r="AD5167" s="98">
        <f t="shared" si="287"/>
        <v>50090</v>
      </c>
    </row>
    <row r="5168" spans="30:30" ht="14" thickBot="1" x14ac:dyDescent="0.2">
      <c r="AD5168" s="98">
        <f t="shared" si="287"/>
        <v>50091</v>
      </c>
    </row>
    <row r="5169" spans="30:30" ht="14" thickBot="1" x14ac:dyDescent="0.2">
      <c r="AD5169" s="98">
        <f t="shared" si="287"/>
        <v>50092</v>
      </c>
    </row>
    <row r="5170" spans="30:30" ht="14" thickBot="1" x14ac:dyDescent="0.2">
      <c r="AD5170" s="98">
        <f t="shared" si="287"/>
        <v>50093</v>
      </c>
    </row>
    <row r="5171" spans="30:30" ht="14" thickBot="1" x14ac:dyDescent="0.2">
      <c r="AD5171" s="98">
        <f t="shared" si="287"/>
        <v>50094</v>
      </c>
    </row>
    <row r="5172" spans="30:30" ht="14" thickBot="1" x14ac:dyDescent="0.2">
      <c r="AD5172" s="98">
        <f t="shared" si="287"/>
        <v>50095</v>
      </c>
    </row>
    <row r="5173" spans="30:30" ht="14" thickBot="1" x14ac:dyDescent="0.2">
      <c r="AD5173" s="98">
        <f t="shared" si="287"/>
        <v>50096</v>
      </c>
    </row>
    <row r="5174" spans="30:30" ht="14" thickBot="1" x14ac:dyDescent="0.2">
      <c r="AD5174" s="98">
        <f t="shared" si="287"/>
        <v>50097</v>
      </c>
    </row>
    <row r="5175" spans="30:30" ht="14" thickBot="1" x14ac:dyDescent="0.2">
      <c r="AD5175" s="98">
        <f t="shared" si="287"/>
        <v>50098</v>
      </c>
    </row>
    <row r="5176" spans="30:30" ht="14" thickBot="1" x14ac:dyDescent="0.2">
      <c r="AD5176" s="98">
        <f t="shared" si="287"/>
        <v>50099</v>
      </c>
    </row>
    <row r="5177" spans="30:30" ht="14" thickBot="1" x14ac:dyDescent="0.2">
      <c r="AD5177" s="98">
        <f t="shared" si="287"/>
        <v>50100</v>
      </c>
    </row>
    <row r="5178" spans="30:30" ht="14" thickBot="1" x14ac:dyDescent="0.2">
      <c r="AD5178" s="98">
        <f t="shared" si="287"/>
        <v>50101</v>
      </c>
    </row>
    <row r="5179" spans="30:30" ht="14" thickBot="1" x14ac:dyDescent="0.2">
      <c r="AD5179" s="98">
        <f t="shared" si="287"/>
        <v>50102</v>
      </c>
    </row>
    <row r="5180" spans="30:30" ht="14" thickBot="1" x14ac:dyDescent="0.2">
      <c r="AD5180" s="98">
        <f t="shared" si="287"/>
        <v>50103</v>
      </c>
    </row>
    <row r="5181" spans="30:30" ht="14" thickBot="1" x14ac:dyDescent="0.2">
      <c r="AD5181" s="98">
        <f t="shared" si="287"/>
        <v>50104</v>
      </c>
    </row>
    <row r="5182" spans="30:30" ht="14" thickBot="1" x14ac:dyDescent="0.2">
      <c r="AD5182" s="98">
        <f t="shared" si="287"/>
        <v>50105</v>
      </c>
    </row>
    <row r="5183" spans="30:30" ht="14" thickBot="1" x14ac:dyDescent="0.2">
      <c r="AD5183" s="98">
        <f t="shared" si="287"/>
        <v>50106</v>
      </c>
    </row>
    <row r="5184" spans="30:30" ht="14" thickBot="1" x14ac:dyDescent="0.2">
      <c r="AD5184" s="98">
        <f t="shared" si="287"/>
        <v>50107</v>
      </c>
    </row>
    <row r="5185" spans="30:30" ht="14" thickBot="1" x14ac:dyDescent="0.2">
      <c r="AD5185" s="98">
        <f t="shared" si="287"/>
        <v>50108</v>
      </c>
    </row>
    <row r="5186" spans="30:30" ht="14" thickBot="1" x14ac:dyDescent="0.2">
      <c r="AD5186" s="98">
        <f t="shared" si="287"/>
        <v>50109</v>
      </c>
    </row>
    <row r="5187" spans="30:30" ht="14" thickBot="1" x14ac:dyDescent="0.2">
      <c r="AD5187" s="98">
        <f t="shared" si="287"/>
        <v>50110</v>
      </c>
    </row>
    <row r="5188" spans="30:30" ht="14" thickBot="1" x14ac:dyDescent="0.2">
      <c r="AD5188" s="98">
        <f t="shared" si="287"/>
        <v>50111</v>
      </c>
    </row>
    <row r="5189" spans="30:30" ht="14" thickBot="1" x14ac:dyDescent="0.2">
      <c r="AD5189" s="98">
        <f t="shared" si="287"/>
        <v>50112</v>
      </c>
    </row>
    <row r="5190" spans="30:30" ht="14" thickBot="1" x14ac:dyDescent="0.2">
      <c r="AD5190" s="98">
        <f t="shared" si="287"/>
        <v>50113</v>
      </c>
    </row>
    <row r="5191" spans="30:30" ht="14" thickBot="1" x14ac:dyDescent="0.2">
      <c r="AD5191" s="98">
        <f t="shared" si="287"/>
        <v>50114</v>
      </c>
    </row>
    <row r="5192" spans="30:30" ht="14" thickBot="1" x14ac:dyDescent="0.2">
      <c r="AD5192" s="98">
        <f t="shared" si="287"/>
        <v>50115</v>
      </c>
    </row>
    <row r="5193" spans="30:30" ht="14" thickBot="1" x14ac:dyDescent="0.2">
      <c r="AD5193" s="98">
        <f t="shared" ref="AD5193:AD5256" si="288">AD5192+1</f>
        <v>50116</v>
      </c>
    </row>
    <row r="5194" spans="30:30" ht="14" thickBot="1" x14ac:dyDescent="0.2">
      <c r="AD5194" s="98">
        <f t="shared" si="288"/>
        <v>50117</v>
      </c>
    </row>
    <row r="5195" spans="30:30" ht="14" thickBot="1" x14ac:dyDescent="0.2">
      <c r="AD5195" s="98">
        <f t="shared" si="288"/>
        <v>50118</v>
      </c>
    </row>
    <row r="5196" spans="30:30" ht="14" thickBot="1" x14ac:dyDescent="0.2">
      <c r="AD5196" s="98">
        <f t="shared" si="288"/>
        <v>50119</v>
      </c>
    </row>
    <row r="5197" spans="30:30" ht="14" thickBot="1" x14ac:dyDescent="0.2">
      <c r="AD5197" s="98">
        <f t="shared" si="288"/>
        <v>50120</v>
      </c>
    </row>
    <row r="5198" spans="30:30" ht="14" thickBot="1" x14ac:dyDescent="0.2">
      <c r="AD5198" s="98">
        <f t="shared" si="288"/>
        <v>50121</v>
      </c>
    </row>
    <row r="5199" spans="30:30" ht="14" thickBot="1" x14ac:dyDescent="0.2">
      <c r="AD5199" s="98">
        <f t="shared" si="288"/>
        <v>50122</v>
      </c>
    </row>
    <row r="5200" spans="30:30" ht="14" thickBot="1" x14ac:dyDescent="0.2">
      <c r="AD5200" s="98">
        <f t="shared" si="288"/>
        <v>50123</v>
      </c>
    </row>
    <row r="5201" spans="30:30" ht="14" thickBot="1" x14ac:dyDescent="0.2">
      <c r="AD5201" s="98">
        <f t="shared" si="288"/>
        <v>50124</v>
      </c>
    </row>
    <row r="5202" spans="30:30" ht="14" thickBot="1" x14ac:dyDescent="0.2">
      <c r="AD5202" s="98">
        <f t="shared" si="288"/>
        <v>50125</v>
      </c>
    </row>
    <row r="5203" spans="30:30" ht="14" thickBot="1" x14ac:dyDescent="0.2">
      <c r="AD5203" s="98">
        <f t="shared" si="288"/>
        <v>50126</v>
      </c>
    </row>
    <row r="5204" spans="30:30" ht="14" thickBot="1" x14ac:dyDescent="0.2">
      <c r="AD5204" s="98">
        <f t="shared" si="288"/>
        <v>50127</v>
      </c>
    </row>
    <row r="5205" spans="30:30" ht="14" thickBot="1" x14ac:dyDescent="0.2">
      <c r="AD5205" s="98">
        <f t="shared" si="288"/>
        <v>50128</v>
      </c>
    </row>
    <row r="5206" spans="30:30" ht="14" thickBot="1" x14ac:dyDescent="0.2">
      <c r="AD5206" s="98">
        <f t="shared" si="288"/>
        <v>50129</v>
      </c>
    </row>
    <row r="5207" spans="30:30" ht="14" thickBot="1" x14ac:dyDescent="0.2">
      <c r="AD5207" s="98">
        <f t="shared" si="288"/>
        <v>50130</v>
      </c>
    </row>
    <row r="5208" spans="30:30" ht="14" thickBot="1" x14ac:dyDescent="0.2">
      <c r="AD5208" s="98">
        <f t="shared" si="288"/>
        <v>50131</v>
      </c>
    </row>
    <row r="5209" spans="30:30" ht="14" thickBot="1" x14ac:dyDescent="0.2">
      <c r="AD5209" s="98">
        <f t="shared" si="288"/>
        <v>50132</v>
      </c>
    </row>
    <row r="5210" spans="30:30" ht="14" thickBot="1" x14ac:dyDescent="0.2">
      <c r="AD5210" s="98">
        <f t="shared" si="288"/>
        <v>50133</v>
      </c>
    </row>
    <row r="5211" spans="30:30" ht="14" thickBot="1" x14ac:dyDescent="0.2">
      <c r="AD5211" s="98">
        <f t="shared" si="288"/>
        <v>50134</v>
      </c>
    </row>
    <row r="5212" spans="30:30" ht="14" thickBot="1" x14ac:dyDescent="0.2">
      <c r="AD5212" s="98">
        <f t="shared" si="288"/>
        <v>50135</v>
      </c>
    </row>
    <row r="5213" spans="30:30" ht="14" thickBot="1" x14ac:dyDescent="0.2">
      <c r="AD5213" s="98">
        <f t="shared" si="288"/>
        <v>50136</v>
      </c>
    </row>
    <row r="5214" spans="30:30" ht="14" thickBot="1" x14ac:dyDescent="0.2">
      <c r="AD5214" s="98">
        <f t="shared" si="288"/>
        <v>50137</v>
      </c>
    </row>
    <row r="5215" spans="30:30" ht="14" thickBot="1" x14ac:dyDescent="0.2">
      <c r="AD5215" s="98">
        <f t="shared" si="288"/>
        <v>50138</v>
      </c>
    </row>
    <row r="5216" spans="30:30" ht="14" thickBot="1" x14ac:dyDescent="0.2">
      <c r="AD5216" s="98">
        <f t="shared" si="288"/>
        <v>50139</v>
      </c>
    </row>
    <row r="5217" spans="30:30" ht="14" thickBot="1" x14ac:dyDescent="0.2">
      <c r="AD5217" s="98">
        <f t="shared" si="288"/>
        <v>50140</v>
      </c>
    </row>
    <row r="5218" spans="30:30" ht="14" thickBot="1" x14ac:dyDescent="0.2">
      <c r="AD5218" s="98">
        <f t="shared" si="288"/>
        <v>50141</v>
      </c>
    </row>
    <row r="5219" spans="30:30" ht="14" thickBot="1" x14ac:dyDescent="0.2">
      <c r="AD5219" s="98">
        <f t="shared" si="288"/>
        <v>50142</v>
      </c>
    </row>
    <row r="5220" spans="30:30" ht="14" thickBot="1" x14ac:dyDescent="0.2">
      <c r="AD5220" s="98">
        <f t="shared" si="288"/>
        <v>50143</v>
      </c>
    </row>
    <row r="5221" spans="30:30" ht="14" thickBot="1" x14ac:dyDescent="0.2">
      <c r="AD5221" s="98">
        <f t="shared" si="288"/>
        <v>50144</v>
      </c>
    </row>
    <row r="5222" spans="30:30" ht="14" thickBot="1" x14ac:dyDescent="0.2">
      <c r="AD5222" s="98">
        <f t="shared" si="288"/>
        <v>50145</v>
      </c>
    </row>
    <row r="5223" spans="30:30" ht="14" thickBot="1" x14ac:dyDescent="0.2">
      <c r="AD5223" s="98">
        <f t="shared" si="288"/>
        <v>50146</v>
      </c>
    </row>
    <row r="5224" spans="30:30" ht="14" thickBot="1" x14ac:dyDescent="0.2">
      <c r="AD5224" s="98">
        <f t="shared" si="288"/>
        <v>50147</v>
      </c>
    </row>
    <row r="5225" spans="30:30" ht="14" thickBot="1" x14ac:dyDescent="0.2">
      <c r="AD5225" s="98">
        <f t="shared" si="288"/>
        <v>50148</v>
      </c>
    </row>
    <row r="5226" spans="30:30" ht="14" thickBot="1" x14ac:dyDescent="0.2">
      <c r="AD5226" s="98">
        <f t="shared" si="288"/>
        <v>50149</v>
      </c>
    </row>
    <row r="5227" spans="30:30" ht="14" thickBot="1" x14ac:dyDescent="0.2">
      <c r="AD5227" s="98">
        <f t="shared" si="288"/>
        <v>50150</v>
      </c>
    </row>
    <row r="5228" spans="30:30" ht="14" thickBot="1" x14ac:dyDescent="0.2">
      <c r="AD5228" s="98">
        <f t="shared" si="288"/>
        <v>50151</v>
      </c>
    </row>
    <row r="5229" spans="30:30" ht="14" thickBot="1" x14ac:dyDescent="0.2">
      <c r="AD5229" s="98">
        <f t="shared" si="288"/>
        <v>50152</v>
      </c>
    </row>
    <row r="5230" spans="30:30" ht="14" thickBot="1" x14ac:dyDescent="0.2">
      <c r="AD5230" s="98">
        <f t="shared" si="288"/>
        <v>50153</v>
      </c>
    </row>
    <row r="5231" spans="30:30" ht="14" thickBot="1" x14ac:dyDescent="0.2">
      <c r="AD5231" s="98">
        <f t="shared" si="288"/>
        <v>50154</v>
      </c>
    </row>
    <row r="5232" spans="30:30" ht="14" thickBot="1" x14ac:dyDescent="0.2">
      <c r="AD5232" s="98">
        <f t="shared" si="288"/>
        <v>50155</v>
      </c>
    </row>
    <row r="5233" spans="30:30" ht="14" thickBot="1" x14ac:dyDescent="0.2">
      <c r="AD5233" s="98">
        <f t="shared" si="288"/>
        <v>50156</v>
      </c>
    </row>
    <row r="5234" spans="30:30" ht="14" thickBot="1" x14ac:dyDescent="0.2">
      <c r="AD5234" s="98">
        <f t="shared" si="288"/>
        <v>50157</v>
      </c>
    </row>
    <row r="5235" spans="30:30" ht="14" thickBot="1" x14ac:dyDescent="0.2">
      <c r="AD5235" s="98">
        <f t="shared" si="288"/>
        <v>50158</v>
      </c>
    </row>
    <row r="5236" spans="30:30" ht="14" thickBot="1" x14ac:dyDescent="0.2">
      <c r="AD5236" s="98">
        <f t="shared" si="288"/>
        <v>50159</v>
      </c>
    </row>
    <row r="5237" spans="30:30" ht="14" thickBot="1" x14ac:dyDescent="0.2">
      <c r="AD5237" s="98">
        <f t="shared" si="288"/>
        <v>50160</v>
      </c>
    </row>
    <row r="5238" spans="30:30" ht="14" thickBot="1" x14ac:dyDescent="0.2">
      <c r="AD5238" s="98">
        <f t="shared" si="288"/>
        <v>50161</v>
      </c>
    </row>
    <row r="5239" spans="30:30" ht="14" thickBot="1" x14ac:dyDescent="0.2">
      <c r="AD5239" s="98">
        <f t="shared" si="288"/>
        <v>50162</v>
      </c>
    </row>
    <row r="5240" spans="30:30" ht="14" thickBot="1" x14ac:dyDescent="0.2">
      <c r="AD5240" s="98">
        <f t="shared" si="288"/>
        <v>50163</v>
      </c>
    </row>
    <row r="5241" spans="30:30" ht="14" thickBot="1" x14ac:dyDescent="0.2">
      <c r="AD5241" s="98">
        <f t="shared" si="288"/>
        <v>50164</v>
      </c>
    </row>
    <row r="5242" spans="30:30" ht="14" thickBot="1" x14ac:dyDescent="0.2">
      <c r="AD5242" s="98">
        <f t="shared" si="288"/>
        <v>50165</v>
      </c>
    </row>
    <row r="5243" spans="30:30" ht="14" thickBot="1" x14ac:dyDescent="0.2">
      <c r="AD5243" s="98">
        <f t="shared" si="288"/>
        <v>50166</v>
      </c>
    </row>
    <row r="5244" spans="30:30" ht="14" thickBot="1" x14ac:dyDescent="0.2">
      <c r="AD5244" s="98">
        <f t="shared" si="288"/>
        <v>50167</v>
      </c>
    </row>
    <row r="5245" spans="30:30" ht="14" thickBot="1" x14ac:dyDescent="0.2">
      <c r="AD5245" s="98">
        <f t="shared" si="288"/>
        <v>50168</v>
      </c>
    </row>
    <row r="5246" spans="30:30" ht="14" thickBot="1" x14ac:dyDescent="0.2">
      <c r="AD5246" s="98">
        <f t="shared" si="288"/>
        <v>50169</v>
      </c>
    </row>
    <row r="5247" spans="30:30" ht="14" thickBot="1" x14ac:dyDescent="0.2">
      <c r="AD5247" s="98">
        <f t="shared" si="288"/>
        <v>50170</v>
      </c>
    </row>
    <row r="5248" spans="30:30" ht="14" thickBot="1" x14ac:dyDescent="0.2">
      <c r="AD5248" s="98">
        <f t="shared" si="288"/>
        <v>50171</v>
      </c>
    </row>
    <row r="5249" spans="30:30" ht="14" thickBot="1" x14ac:dyDescent="0.2">
      <c r="AD5249" s="98">
        <f t="shared" si="288"/>
        <v>50172</v>
      </c>
    </row>
    <row r="5250" spans="30:30" ht="14" thickBot="1" x14ac:dyDescent="0.2">
      <c r="AD5250" s="98">
        <f t="shared" si="288"/>
        <v>50173</v>
      </c>
    </row>
    <row r="5251" spans="30:30" ht="14" thickBot="1" x14ac:dyDescent="0.2">
      <c r="AD5251" s="98">
        <f t="shared" si="288"/>
        <v>50174</v>
      </c>
    </row>
    <row r="5252" spans="30:30" ht="14" thickBot="1" x14ac:dyDescent="0.2">
      <c r="AD5252" s="98">
        <f t="shared" si="288"/>
        <v>50175</v>
      </c>
    </row>
    <row r="5253" spans="30:30" ht="14" thickBot="1" x14ac:dyDescent="0.2">
      <c r="AD5253" s="98">
        <f t="shared" si="288"/>
        <v>50176</v>
      </c>
    </row>
    <row r="5254" spans="30:30" ht="14" thickBot="1" x14ac:dyDescent="0.2">
      <c r="AD5254" s="98">
        <f t="shared" si="288"/>
        <v>50177</v>
      </c>
    </row>
    <row r="5255" spans="30:30" ht="14" thickBot="1" x14ac:dyDescent="0.2">
      <c r="AD5255" s="98">
        <f t="shared" si="288"/>
        <v>50178</v>
      </c>
    </row>
    <row r="5256" spans="30:30" ht="14" thickBot="1" x14ac:dyDescent="0.2">
      <c r="AD5256" s="98">
        <f t="shared" si="288"/>
        <v>50179</v>
      </c>
    </row>
    <row r="5257" spans="30:30" ht="14" thickBot="1" x14ac:dyDescent="0.2">
      <c r="AD5257" s="98">
        <f t="shared" ref="AD5257:AD5320" si="289">AD5256+1</f>
        <v>50180</v>
      </c>
    </row>
    <row r="5258" spans="30:30" ht="14" thickBot="1" x14ac:dyDescent="0.2">
      <c r="AD5258" s="98">
        <f t="shared" si="289"/>
        <v>50181</v>
      </c>
    </row>
    <row r="5259" spans="30:30" ht="14" thickBot="1" x14ac:dyDescent="0.2">
      <c r="AD5259" s="98">
        <f t="shared" si="289"/>
        <v>50182</v>
      </c>
    </row>
    <row r="5260" spans="30:30" ht="14" thickBot="1" x14ac:dyDescent="0.2">
      <c r="AD5260" s="98">
        <f t="shared" si="289"/>
        <v>50183</v>
      </c>
    </row>
    <row r="5261" spans="30:30" ht="14" thickBot="1" x14ac:dyDescent="0.2">
      <c r="AD5261" s="98">
        <f t="shared" si="289"/>
        <v>50184</v>
      </c>
    </row>
    <row r="5262" spans="30:30" ht="14" thickBot="1" x14ac:dyDescent="0.2">
      <c r="AD5262" s="98">
        <f t="shared" si="289"/>
        <v>50185</v>
      </c>
    </row>
    <row r="5263" spans="30:30" ht="14" thickBot="1" x14ac:dyDescent="0.2">
      <c r="AD5263" s="98">
        <f t="shared" si="289"/>
        <v>50186</v>
      </c>
    </row>
    <row r="5264" spans="30:30" ht="14" thickBot="1" x14ac:dyDescent="0.2">
      <c r="AD5264" s="98">
        <f t="shared" si="289"/>
        <v>50187</v>
      </c>
    </row>
    <row r="5265" spans="30:30" ht="14" thickBot="1" x14ac:dyDescent="0.2">
      <c r="AD5265" s="98">
        <f t="shared" si="289"/>
        <v>50188</v>
      </c>
    </row>
    <row r="5266" spans="30:30" ht="14" thickBot="1" x14ac:dyDescent="0.2">
      <c r="AD5266" s="98">
        <f t="shared" si="289"/>
        <v>50189</v>
      </c>
    </row>
    <row r="5267" spans="30:30" ht="14" thickBot="1" x14ac:dyDescent="0.2">
      <c r="AD5267" s="98">
        <f t="shared" si="289"/>
        <v>50190</v>
      </c>
    </row>
    <row r="5268" spans="30:30" ht="14" thickBot="1" x14ac:dyDescent="0.2">
      <c r="AD5268" s="98">
        <f t="shared" si="289"/>
        <v>50191</v>
      </c>
    </row>
    <row r="5269" spans="30:30" ht="14" thickBot="1" x14ac:dyDescent="0.2">
      <c r="AD5269" s="98">
        <f t="shared" si="289"/>
        <v>50192</v>
      </c>
    </row>
    <row r="5270" spans="30:30" ht="14" thickBot="1" x14ac:dyDescent="0.2">
      <c r="AD5270" s="98">
        <f t="shared" si="289"/>
        <v>50193</v>
      </c>
    </row>
    <row r="5271" spans="30:30" ht="14" thickBot="1" x14ac:dyDescent="0.2">
      <c r="AD5271" s="98">
        <f t="shared" si="289"/>
        <v>50194</v>
      </c>
    </row>
    <row r="5272" spans="30:30" ht="14" thickBot="1" x14ac:dyDescent="0.2">
      <c r="AD5272" s="98">
        <f t="shared" si="289"/>
        <v>50195</v>
      </c>
    </row>
    <row r="5273" spans="30:30" ht="14" thickBot="1" x14ac:dyDescent="0.2">
      <c r="AD5273" s="98">
        <f t="shared" si="289"/>
        <v>50196</v>
      </c>
    </row>
    <row r="5274" spans="30:30" ht="14" thickBot="1" x14ac:dyDescent="0.2">
      <c r="AD5274" s="98">
        <f t="shared" si="289"/>
        <v>50197</v>
      </c>
    </row>
    <row r="5275" spans="30:30" ht="14" thickBot="1" x14ac:dyDescent="0.2">
      <c r="AD5275" s="98">
        <f t="shared" si="289"/>
        <v>50198</v>
      </c>
    </row>
    <row r="5276" spans="30:30" ht="14" thickBot="1" x14ac:dyDescent="0.2">
      <c r="AD5276" s="98">
        <f t="shared" si="289"/>
        <v>50199</v>
      </c>
    </row>
    <row r="5277" spans="30:30" ht="14" thickBot="1" x14ac:dyDescent="0.2">
      <c r="AD5277" s="98">
        <f t="shared" si="289"/>
        <v>50200</v>
      </c>
    </row>
    <row r="5278" spans="30:30" ht="14" thickBot="1" x14ac:dyDescent="0.2">
      <c r="AD5278" s="98">
        <f t="shared" si="289"/>
        <v>50201</v>
      </c>
    </row>
    <row r="5279" spans="30:30" ht="14" thickBot="1" x14ac:dyDescent="0.2">
      <c r="AD5279" s="98">
        <f t="shared" si="289"/>
        <v>50202</v>
      </c>
    </row>
    <row r="5280" spans="30:30" ht="14" thickBot="1" x14ac:dyDescent="0.2">
      <c r="AD5280" s="98">
        <f t="shared" si="289"/>
        <v>50203</v>
      </c>
    </row>
    <row r="5281" spans="30:30" ht="14" thickBot="1" x14ac:dyDescent="0.2">
      <c r="AD5281" s="98">
        <f t="shared" si="289"/>
        <v>50204</v>
      </c>
    </row>
    <row r="5282" spans="30:30" ht="14" thickBot="1" x14ac:dyDescent="0.2">
      <c r="AD5282" s="98">
        <f t="shared" si="289"/>
        <v>50205</v>
      </c>
    </row>
    <row r="5283" spans="30:30" ht="14" thickBot="1" x14ac:dyDescent="0.2">
      <c r="AD5283" s="98">
        <f t="shared" si="289"/>
        <v>50206</v>
      </c>
    </row>
    <row r="5284" spans="30:30" ht="14" thickBot="1" x14ac:dyDescent="0.2">
      <c r="AD5284" s="98">
        <f t="shared" si="289"/>
        <v>50207</v>
      </c>
    </row>
    <row r="5285" spans="30:30" ht="14" thickBot="1" x14ac:dyDescent="0.2">
      <c r="AD5285" s="98">
        <f t="shared" si="289"/>
        <v>50208</v>
      </c>
    </row>
    <row r="5286" spans="30:30" ht="14" thickBot="1" x14ac:dyDescent="0.2">
      <c r="AD5286" s="98">
        <f t="shared" si="289"/>
        <v>50209</v>
      </c>
    </row>
    <row r="5287" spans="30:30" ht="14" thickBot="1" x14ac:dyDescent="0.2">
      <c r="AD5287" s="98">
        <f t="shared" si="289"/>
        <v>50210</v>
      </c>
    </row>
    <row r="5288" spans="30:30" ht="14" thickBot="1" x14ac:dyDescent="0.2">
      <c r="AD5288" s="98">
        <f t="shared" si="289"/>
        <v>50211</v>
      </c>
    </row>
    <row r="5289" spans="30:30" ht="14" thickBot="1" x14ac:dyDescent="0.2">
      <c r="AD5289" s="98">
        <f t="shared" si="289"/>
        <v>50212</v>
      </c>
    </row>
    <row r="5290" spans="30:30" ht="14" thickBot="1" x14ac:dyDescent="0.2">
      <c r="AD5290" s="98">
        <f t="shared" si="289"/>
        <v>50213</v>
      </c>
    </row>
    <row r="5291" spans="30:30" ht="14" thickBot="1" x14ac:dyDescent="0.2">
      <c r="AD5291" s="98">
        <f t="shared" si="289"/>
        <v>50214</v>
      </c>
    </row>
    <row r="5292" spans="30:30" ht="14" thickBot="1" x14ac:dyDescent="0.2">
      <c r="AD5292" s="98">
        <f t="shared" si="289"/>
        <v>50215</v>
      </c>
    </row>
    <row r="5293" spans="30:30" ht="14" thickBot="1" x14ac:dyDescent="0.2">
      <c r="AD5293" s="98">
        <f t="shared" si="289"/>
        <v>50216</v>
      </c>
    </row>
    <row r="5294" spans="30:30" ht="14" thickBot="1" x14ac:dyDescent="0.2">
      <c r="AD5294" s="98">
        <f t="shared" si="289"/>
        <v>50217</v>
      </c>
    </row>
    <row r="5295" spans="30:30" ht="14" thickBot="1" x14ac:dyDescent="0.2">
      <c r="AD5295" s="98">
        <f t="shared" si="289"/>
        <v>50218</v>
      </c>
    </row>
    <row r="5296" spans="30:30" ht="14" thickBot="1" x14ac:dyDescent="0.2">
      <c r="AD5296" s="98">
        <f t="shared" si="289"/>
        <v>50219</v>
      </c>
    </row>
    <row r="5297" spans="30:30" ht="14" thickBot="1" x14ac:dyDescent="0.2">
      <c r="AD5297" s="98">
        <f t="shared" si="289"/>
        <v>50220</v>
      </c>
    </row>
    <row r="5298" spans="30:30" ht="14" thickBot="1" x14ac:dyDescent="0.2">
      <c r="AD5298" s="98">
        <f t="shared" si="289"/>
        <v>50221</v>
      </c>
    </row>
    <row r="5299" spans="30:30" ht="14" thickBot="1" x14ac:dyDescent="0.2">
      <c r="AD5299" s="98">
        <f t="shared" si="289"/>
        <v>50222</v>
      </c>
    </row>
    <row r="5300" spans="30:30" ht="14" thickBot="1" x14ac:dyDescent="0.2">
      <c r="AD5300" s="98">
        <f t="shared" si="289"/>
        <v>50223</v>
      </c>
    </row>
    <row r="5301" spans="30:30" ht="14" thickBot="1" x14ac:dyDescent="0.2">
      <c r="AD5301" s="98">
        <f t="shared" si="289"/>
        <v>50224</v>
      </c>
    </row>
    <row r="5302" spans="30:30" ht="14" thickBot="1" x14ac:dyDescent="0.2">
      <c r="AD5302" s="98">
        <f t="shared" si="289"/>
        <v>50225</v>
      </c>
    </row>
    <row r="5303" spans="30:30" ht="14" thickBot="1" x14ac:dyDescent="0.2">
      <c r="AD5303" s="98">
        <f t="shared" si="289"/>
        <v>50226</v>
      </c>
    </row>
    <row r="5304" spans="30:30" ht="14" thickBot="1" x14ac:dyDescent="0.2">
      <c r="AD5304" s="98">
        <f t="shared" si="289"/>
        <v>50227</v>
      </c>
    </row>
    <row r="5305" spans="30:30" ht="14" thickBot="1" x14ac:dyDescent="0.2">
      <c r="AD5305" s="98">
        <f t="shared" si="289"/>
        <v>50228</v>
      </c>
    </row>
    <row r="5306" spans="30:30" ht="14" thickBot="1" x14ac:dyDescent="0.2">
      <c r="AD5306" s="98">
        <f t="shared" si="289"/>
        <v>50229</v>
      </c>
    </row>
    <row r="5307" spans="30:30" ht="14" thickBot="1" x14ac:dyDescent="0.2">
      <c r="AD5307" s="98">
        <f t="shared" si="289"/>
        <v>50230</v>
      </c>
    </row>
    <row r="5308" spans="30:30" ht="14" thickBot="1" x14ac:dyDescent="0.2">
      <c r="AD5308" s="98">
        <f t="shared" si="289"/>
        <v>50231</v>
      </c>
    </row>
    <row r="5309" spans="30:30" ht="14" thickBot="1" x14ac:dyDescent="0.2">
      <c r="AD5309" s="98">
        <f t="shared" si="289"/>
        <v>50232</v>
      </c>
    </row>
    <row r="5310" spans="30:30" ht="14" thickBot="1" x14ac:dyDescent="0.2">
      <c r="AD5310" s="98">
        <f t="shared" si="289"/>
        <v>50233</v>
      </c>
    </row>
    <row r="5311" spans="30:30" ht="14" thickBot="1" x14ac:dyDescent="0.2">
      <c r="AD5311" s="98">
        <f t="shared" si="289"/>
        <v>50234</v>
      </c>
    </row>
    <row r="5312" spans="30:30" ht="14" thickBot="1" x14ac:dyDescent="0.2">
      <c r="AD5312" s="98">
        <f t="shared" si="289"/>
        <v>50235</v>
      </c>
    </row>
    <row r="5313" spans="30:30" ht="14" thickBot="1" x14ac:dyDescent="0.2">
      <c r="AD5313" s="98">
        <f t="shared" si="289"/>
        <v>50236</v>
      </c>
    </row>
    <row r="5314" spans="30:30" ht="14" thickBot="1" x14ac:dyDescent="0.2">
      <c r="AD5314" s="98">
        <f t="shared" si="289"/>
        <v>50237</v>
      </c>
    </row>
    <row r="5315" spans="30:30" ht="14" thickBot="1" x14ac:dyDescent="0.2">
      <c r="AD5315" s="98">
        <f t="shared" si="289"/>
        <v>50238</v>
      </c>
    </row>
    <row r="5316" spans="30:30" ht="14" thickBot="1" x14ac:dyDescent="0.2">
      <c r="AD5316" s="98">
        <f t="shared" si="289"/>
        <v>50239</v>
      </c>
    </row>
    <row r="5317" spans="30:30" ht="14" thickBot="1" x14ac:dyDescent="0.2">
      <c r="AD5317" s="98">
        <f t="shared" si="289"/>
        <v>50240</v>
      </c>
    </row>
    <row r="5318" spans="30:30" ht="14" thickBot="1" x14ac:dyDescent="0.2">
      <c r="AD5318" s="98">
        <f t="shared" si="289"/>
        <v>50241</v>
      </c>
    </row>
    <row r="5319" spans="30:30" ht="14" thickBot="1" x14ac:dyDescent="0.2">
      <c r="AD5319" s="98">
        <f t="shared" si="289"/>
        <v>50242</v>
      </c>
    </row>
    <row r="5320" spans="30:30" ht="14" thickBot="1" x14ac:dyDescent="0.2">
      <c r="AD5320" s="98">
        <f t="shared" si="289"/>
        <v>50243</v>
      </c>
    </row>
    <row r="5321" spans="30:30" ht="14" thickBot="1" x14ac:dyDescent="0.2">
      <c r="AD5321" s="98">
        <f t="shared" ref="AD5321:AD5384" si="290">AD5320+1</f>
        <v>50244</v>
      </c>
    </row>
    <row r="5322" spans="30:30" ht="14" thickBot="1" x14ac:dyDescent="0.2">
      <c r="AD5322" s="98">
        <f t="shared" si="290"/>
        <v>50245</v>
      </c>
    </row>
    <row r="5323" spans="30:30" ht="14" thickBot="1" x14ac:dyDescent="0.2">
      <c r="AD5323" s="98">
        <f t="shared" si="290"/>
        <v>50246</v>
      </c>
    </row>
    <row r="5324" spans="30:30" ht="14" thickBot="1" x14ac:dyDescent="0.2">
      <c r="AD5324" s="98">
        <f t="shared" si="290"/>
        <v>50247</v>
      </c>
    </row>
    <row r="5325" spans="30:30" ht="14" thickBot="1" x14ac:dyDescent="0.2">
      <c r="AD5325" s="98">
        <f t="shared" si="290"/>
        <v>50248</v>
      </c>
    </row>
    <row r="5326" spans="30:30" ht="14" thickBot="1" x14ac:dyDescent="0.2">
      <c r="AD5326" s="98">
        <f t="shared" si="290"/>
        <v>50249</v>
      </c>
    </row>
    <row r="5327" spans="30:30" ht="14" thickBot="1" x14ac:dyDescent="0.2">
      <c r="AD5327" s="98">
        <f t="shared" si="290"/>
        <v>50250</v>
      </c>
    </row>
    <row r="5328" spans="30:30" ht="14" thickBot="1" x14ac:dyDescent="0.2">
      <c r="AD5328" s="98">
        <f t="shared" si="290"/>
        <v>50251</v>
      </c>
    </row>
    <row r="5329" spans="30:30" ht="14" thickBot="1" x14ac:dyDescent="0.2">
      <c r="AD5329" s="98">
        <f t="shared" si="290"/>
        <v>50252</v>
      </c>
    </row>
    <row r="5330" spans="30:30" ht="14" thickBot="1" x14ac:dyDescent="0.2">
      <c r="AD5330" s="98">
        <f t="shared" si="290"/>
        <v>50253</v>
      </c>
    </row>
    <row r="5331" spans="30:30" ht="14" thickBot="1" x14ac:dyDescent="0.2">
      <c r="AD5331" s="98">
        <f t="shared" si="290"/>
        <v>50254</v>
      </c>
    </row>
    <row r="5332" spans="30:30" ht="14" thickBot="1" x14ac:dyDescent="0.2">
      <c r="AD5332" s="98">
        <f t="shared" si="290"/>
        <v>50255</v>
      </c>
    </row>
    <row r="5333" spans="30:30" ht="14" thickBot="1" x14ac:dyDescent="0.2">
      <c r="AD5333" s="98">
        <f t="shared" si="290"/>
        <v>50256</v>
      </c>
    </row>
    <row r="5334" spans="30:30" ht="14" thickBot="1" x14ac:dyDescent="0.2">
      <c r="AD5334" s="98">
        <f t="shared" si="290"/>
        <v>50257</v>
      </c>
    </row>
    <row r="5335" spans="30:30" ht="14" thickBot="1" x14ac:dyDescent="0.2">
      <c r="AD5335" s="98">
        <f t="shared" si="290"/>
        <v>50258</v>
      </c>
    </row>
    <row r="5336" spans="30:30" ht="14" thickBot="1" x14ac:dyDescent="0.2">
      <c r="AD5336" s="98">
        <f t="shared" si="290"/>
        <v>50259</v>
      </c>
    </row>
    <row r="5337" spans="30:30" ht="14" thickBot="1" x14ac:dyDescent="0.2">
      <c r="AD5337" s="98">
        <f t="shared" si="290"/>
        <v>50260</v>
      </c>
    </row>
    <row r="5338" spans="30:30" ht="14" thickBot="1" x14ac:dyDescent="0.2">
      <c r="AD5338" s="98">
        <f t="shared" si="290"/>
        <v>50261</v>
      </c>
    </row>
    <row r="5339" spans="30:30" ht="14" thickBot="1" x14ac:dyDescent="0.2">
      <c r="AD5339" s="98">
        <f t="shared" si="290"/>
        <v>50262</v>
      </c>
    </row>
    <row r="5340" spans="30:30" ht="14" thickBot="1" x14ac:dyDescent="0.2">
      <c r="AD5340" s="98">
        <f t="shared" si="290"/>
        <v>50263</v>
      </c>
    </row>
    <row r="5341" spans="30:30" ht="14" thickBot="1" x14ac:dyDescent="0.2">
      <c r="AD5341" s="98">
        <f t="shared" si="290"/>
        <v>50264</v>
      </c>
    </row>
    <row r="5342" spans="30:30" ht="14" thickBot="1" x14ac:dyDescent="0.2">
      <c r="AD5342" s="98">
        <f t="shared" si="290"/>
        <v>50265</v>
      </c>
    </row>
    <row r="5343" spans="30:30" ht="14" thickBot="1" x14ac:dyDescent="0.2">
      <c r="AD5343" s="98">
        <f t="shared" si="290"/>
        <v>50266</v>
      </c>
    </row>
    <row r="5344" spans="30:30" ht="14" thickBot="1" x14ac:dyDescent="0.2">
      <c r="AD5344" s="98">
        <f t="shared" si="290"/>
        <v>50267</v>
      </c>
    </row>
    <row r="5345" spans="30:30" ht="14" thickBot="1" x14ac:dyDescent="0.2">
      <c r="AD5345" s="98">
        <f t="shared" si="290"/>
        <v>50268</v>
      </c>
    </row>
    <row r="5346" spans="30:30" ht="14" thickBot="1" x14ac:dyDescent="0.2">
      <c r="AD5346" s="98">
        <f t="shared" si="290"/>
        <v>50269</v>
      </c>
    </row>
    <row r="5347" spans="30:30" ht="14" thickBot="1" x14ac:dyDescent="0.2">
      <c r="AD5347" s="98">
        <f t="shared" si="290"/>
        <v>50270</v>
      </c>
    </row>
    <row r="5348" spans="30:30" ht="14" thickBot="1" x14ac:dyDescent="0.2">
      <c r="AD5348" s="98">
        <f t="shared" si="290"/>
        <v>50271</v>
      </c>
    </row>
    <row r="5349" spans="30:30" ht="14" thickBot="1" x14ac:dyDescent="0.2">
      <c r="AD5349" s="98">
        <f t="shared" si="290"/>
        <v>50272</v>
      </c>
    </row>
    <row r="5350" spans="30:30" ht="14" thickBot="1" x14ac:dyDescent="0.2">
      <c r="AD5350" s="98">
        <f t="shared" si="290"/>
        <v>50273</v>
      </c>
    </row>
    <row r="5351" spans="30:30" ht="14" thickBot="1" x14ac:dyDescent="0.2">
      <c r="AD5351" s="98">
        <f t="shared" si="290"/>
        <v>50274</v>
      </c>
    </row>
    <row r="5352" spans="30:30" ht="14" thickBot="1" x14ac:dyDescent="0.2">
      <c r="AD5352" s="98">
        <f t="shared" si="290"/>
        <v>50275</v>
      </c>
    </row>
    <row r="5353" spans="30:30" ht="14" thickBot="1" x14ac:dyDescent="0.2">
      <c r="AD5353" s="98">
        <f t="shared" si="290"/>
        <v>50276</v>
      </c>
    </row>
    <row r="5354" spans="30:30" ht="14" thickBot="1" x14ac:dyDescent="0.2">
      <c r="AD5354" s="98">
        <f t="shared" si="290"/>
        <v>50277</v>
      </c>
    </row>
    <row r="5355" spans="30:30" ht="14" thickBot="1" x14ac:dyDescent="0.2">
      <c r="AD5355" s="98">
        <f t="shared" si="290"/>
        <v>50278</v>
      </c>
    </row>
    <row r="5356" spans="30:30" ht="14" thickBot="1" x14ac:dyDescent="0.2">
      <c r="AD5356" s="98">
        <f t="shared" si="290"/>
        <v>50279</v>
      </c>
    </row>
    <row r="5357" spans="30:30" ht="14" thickBot="1" x14ac:dyDescent="0.2">
      <c r="AD5357" s="98">
        <f t="shared" si="290"/>
        <v>50280</v>
      </c>
    </row>
    <row r="5358" spans="30:30" ht="14" thickBot="1" x14ac:dyDescent="0.2">
      <c r="AD5358" s="98">
        <f t="shared" si="290"/>
        <v>50281</v>
      </c>
    </row>
    <row r="5359" spans="30:30" ht="14" thickBot="1" x14ac:dyDescent="0.2">
      <c r="AD5359" s="98">
        <f t="shared" si="290"/>
        <v>50282</v>
      </c>
    </row>
    <row r="5360" spans="30:30" ht="14" thickBot="1" x14ac:dyDescent="0.2">
      <c r="AD5360" s="98">
        <f t="shared" si="290"/>
        <v>50283</v>
      </c>
    </row>
    <row r="5361" spans="30:30" ht="14" thickBot="1" x14ac:dyDescent="0.2">
      <c r="AD5361" s="98">
        <f t="shared" si="290"/>
        <v>50284</v>
      </c>
    </row>
    <row r="5362" spans="30:30" ht="14" thickBot="1" x14ac:dyDescent="0.2">
      <c r="AD5362" s="98">
        <f t="shared" si="290"/>
        <v>50285</v>
      </c>
    </row>
    <row r="5363" spans="30:30" ht="14" thickBot="1" x14ac:dyDescent="0.2">
      <c r="AD5363" s="98">
        <f t="shared" si="290"/>
        <v>50286</v>
      </c>
    </row>
    <row r="5364" spans="30:30" ht="14" thickBot="1" x14ac:dyDescent="0.2">
      <c r="AD5364" s="98">
        <f t="shared" si="290"/>
        <v>50287</v>
      </c>
    </row>
    <row r="5365" spans="30:30" ht="14" thickBot="1" x14ac:dyDescent="0.2">
      <c r="AD5365" s="98">
        <f t="shared" si="290"/>
        <v>50288</v>
      </c>
    </row>
    <row r="5366" spans="30:30" ht="14" thickBot="1" x14ac:dyDescent="0.2">
      <c r="AD5366" s="98">
        <f t="shared" si="290"/>
        <v>50289</v>
      </c>
    </row>
    <row r="5367" spans="30:30" ht="14" thickBot="1" x14ac:dyDescent="0.2">
      <c r="AD5367" s="98">
        <f t="shared" si="290"/>
        <v>50290</v>
      </c>
    </row>
    <row r="5368" spans="30:30" ht="14" thickBot="1" x14ac:dyDescent="0.2">
      <c r="AD5368" s="98">
        <f t="shared" si="290"/>
        <v>50291</v>
      </c>
    </row>
    <row r="5369" spans="30:30" ht="14" thickBot="1" x14ac:dyDescent="0.2">
      <c r="AD5369" s="98">
        <f t="shared" si="290"/>
        <v>50292</v>
      </c>
    </row>
    <row r="5370" spans="30:30" ht="14" thickBot="1" x14ac:dyDescent="0.2">
      <c r="AD5370" s="98">
        <f t="shared" si="290"/>
        <v>50293</v>
      </c>
    </row>
    <row r="5371" spans="30:30" ht="14" thickBot="1" x14ac:dyDescent="0.2">
      <c r="AD5371" s="98">
        <f t="shared" si="290"/>
        <v>50294</v>
      </c>
    </row>
    <row r="5372" spans="30:30" ht="14" thickBot="1" x14ac:dyDescent="0.2">
      <c r="AD5372" s="98">
        <f t="shared" si="290"/>
        <v>50295</v>
      </c>
    </row>
    <row r="5373" spans="30:30" ht="14" thickBot="1" x14ac:dyDescent="0.2">
      <c r="AD5373" s="98">
        <f t="shared" si="290"/>
        <v>50296</v>
      </c>
    </row>
    <row r="5374" spans="30:30" ht="14" thickBot="1" x14ac:dyDescent="0.2">
      <c r="AD5374" s="98">
        <f t="shared" si="290"/>
        <v>50297</v>
      </c>
    </row>
    <row r="5375" spans="30:30" ht="14" thickBot="1" x14ac:dyDescent="0.2">
      <c r="AD5375" s="98">
        <f t="shared" si="290"/>
        <v>50298</v>
      </c>
    </row>
    <row r="5376" spans="30:30" ht="14" thickBot="1" x14ac:dyDescent="0.2">
      <c r="AD5376" s="98">
        <f t="shared" si="290"/>
        <v>50299</v>
      </c>
    </row>
    <row r="5377" spans="30:30" ht="14" thickBot="1" x14ac:dyDescent="0.2">
      <c r="AD5377" s="98">
        <f t="shared" si="290"/>
        <v>50300</v>
      </c>
    </row>
    <row r="5378" spans="30:30" ht="14" thickBot="1" x14ac:dyDescent="0.2">
      <c r="AD5378" s="98">
        <f t="shared" si="290"/>
        <v>50301</v>
      </c>
    </row>
    <row r="5379" spans="30:30" ht="14" thickBot="1" x14ac:dyDescent="0.2">
      <c r="AD5379" s="98">
        <f t="shared" si="290"/>
        <v>50302</v>
      </c>
    </row>
    <row r="5380" spans="30:30" ht="14" thickBot="1" x14ac:dyDescent="0.2">
      <c r="AD5380" s="98">
        <f t="shared" si="290"/>
        <v>50303</v>
      </c>
    </row>
    <row r="5381" spans="30:30" ht="14" thickBot="1" x14ac:dyDescent="0.2">
      <c r="AD5381" s="98">
        <f t="shared" si="290"/>
        <v>50304</v>
      </c>
    </row>
    <row r="5382" spans="30:30" ht="14" thickBot="1" x14ac:dyDescent="0.2">
      <c r="AD5382" s="98">
        <f t="shared" si="290"/>
        <v>50305</v>
      </c>
    </row>
    <row r="5383" spans="30:30" ht="14" thickBot="1" x14ac:dyDescent="0.2">
      <c r="AD5383" s="98">
        <f t="shared" si="290"/>
        <v>50306</v>
      </c>
    </row>
    <row r="5384" spans="30:30" ht="14" thickBot="1" x14ac:dyDescent="0.2">
      <c r="AD5384" s="98">
        <f t="shared" si="290"/>
        <v>50307</v>
      </c>
    </row>
    <row r="5385" spans="30:30" ht="14" thickBot="1" x14ac:dyDescent="0.2">
      <c r="AD5385" s="98">
        <f t="shared" ref="AD5385:AD5448" si="291">AD5384+1</f>
        <v>50308</v>
      </c>
    </row>
    <row r="5386" spans="30:30" ht="14" thickBot="1" x14ac:dyDescent="0.2">
      <c r="AD5386" s="98">
        <f t="shared" si="291"/>
        <v>50309</v>
      </c>
    </row>
    <row r="5387" spans="30:30" ht="14" thickBot="1" x14ac:dyDescent="0.2">
      <c r="AD5387" s="98">
        <f t="shared" si="291"/>
        <v>50310</v>
      </c>
    </row>
    <row r="5388" spans="30:30" ht="14" thickBot="1" x14ac:dyDescent="0.2">
      <c r="AD5388" s="98">
        <f t="shared" si="291"/>
        <v>50311</v>
      </c>
    </row>
    <row r="5389" spans="30:30" ht="14" thickBot="1" x14ac:dyDescent="0.2">
      <c r="AD5389" s="98">
        <f t="shared" si="291"/>
        <v>50312</v>
      </c>
    </row>
    <row r="5390" spans="30:30" ht="14" thickBot="1" x14ac:dyDescent="0.2">
      <c r="AD5390" s="98">
        <f t="shared" si="291"/>
        <v>50313</v>
      </c>
    </row>
    <row r="5391" spans="30:30" ht="14" thickBot="1" x14ac:dyDescent="0.2">
      <c r="AD5391" s="98">
        <f t="shared" si="291"/>
        <v>50314</v>
      </c>
    </row>
    <row r="5392" spans="30:30" ht="14" thickBot="1" x14ac:dyDescent="0.2">
      <c r="AD5392" s="98">
        <f t="shared" si="291"/>
        <v>50315</v>
      </c>
    </row>
    <row r="5393" spans="30:30" ht="14" thickBot="1" x14ac:dyDescent="0.2">
      <c r="AD5393" s="98">
        <f t="shared" si="291"/>
        <v>50316</v>
      </c>
    </row>
    <row r="5394" spans="30:30" ht="14" thickBot="1" x14ac:dyDescent="0.2">
      <c r="AD5394" s="98">
        <f t="shared" si="291"/>
        <v>50317</v>
      </c>
    </row>
    <row r="5395" spans="30:30" ht="14" thickBot="1" x14ac:dyDescent="0.2">
      <c r="AD5395" s="98">
        <f t="shared" si="291"/>
        <v>50318</v>
      </c>
    </row>
    <row r="5396" spans="30:30" ht="14" thickBot="1" x14ac:dyDescent="0.2">
      <c r="AD5396" s="98">
        <f t="shared" si="291"/>
        <v>50319</v>
      </c>
    </row>
    <row r="5397" spans="30:30" ht="14" thickBot="1" x14ac:dyDescent="0.2">
      <c r="AD5397" s="98">
        <f t="shared" si="291"/>
        <v>50320</v>
      </c>
    </row>
    <row r="5398" spans="30:30" ht="14" thickBot="1" x14ac:dyDescent="0.2">
      <c r="AD5398" s="98">
        <f t="shared" si="291"/>
        <v>50321</v>
      </c>
    </row>
    <row r="5399" spans="30:30" ht="14" thickBot="1" x14ac:dyDescent="0.2">
      <c r="AD5399" s="98">
        <f t="shared" si="291"/>
        <v>50322</v>
      </c>
    </row>
    <row r="5400" spans="30:30" ht="14" thickBot="1" x14ac:dyDescent="0.2">
      <c r="AD5400" s="98">
        <f t="shared" si="291"/>
        <v>50323</v>
      </c>
    </row>
    <row r="5401" spans="30:30" ht="14" thickBot="1" x14ac:dyDescent="0.2">
      <c r="AD5401" s="98">
        <f t="shared" si="291"/>
        <v>50324</v>
      </c>
    </row>
    <row r="5402" spans="30:30" ht="14" thickBot="1" x14ac:dyDescent="0.2">
      <c r="AD5402" s="98">
        <f t="shared" si="291"/>
        <v>50325</v>
      </c>
    </row>
    <row r="5403" spans="30:30" ht="14" thickBot="1" x14ac:dyDescent="0.2">
      <c r="AD5403" s="98">
        <f t="shared" si="291"/>
        <v>50326</v>
      </c>
    </row>
    <row r="5404" spans="30:30" ht="14" thickBot="1" x14ac:dyDescent="0.2">
      <c r="AD5404" s="98">
        <f t="shared" si="291"/>
        <v>50327</v>
      </c>
    </row>
    <row r="5405" spans="30:30" ht="14" thickBot="1" x14ac:dyDescent="0.2">
      <c r="AD5405" s="98">
        <f t="shared" si="291"/>
        <v>50328</v>
      </c>
    </row>
    <row r="5406" spans="30:30" ht="14" thickBot="1" x14ac:dyDescent="0.2">
      <c r="AD5406" s="98">
        <f t="shared" si="291"/>
        <v>50329</v>
      </c>
    </row>
    <row r="5407" spans="30:30" ht="14" thickBot="1" x14ac:dyDescent="0.2">
      <c r="AD5407" s="98">
        <f t="shared" si="291"/>
        <v>50330</v>
      </c>
    </row>
    <row r="5408" spans="30:30" ht="14" thickBot="1" x14ac:dyDescent="0.2">
      <c r="AD5408" s="98">
        <f t="shared" si="291"/>
        <v>50331</v>
      </c>
    </row>
    <row r="5409" spans="30:30" ht="14" thickBot="1" x14ac:dyDescent="0.2">
      <c r="AD5409" s="98">
        <f t="shared" si="291"/>
        <v>50332</v>
      </c>
    </row>
    <row r="5410" spans="30:30" ht="14" thickBot="1" x14ac:dyDescent="0.2">
      <c r="AD5410" s="98">
        <f t="shared" si="291"/>
        <v>50333</v>
      </c>
    </row>
    <row r="5411" spans="30:30" ht="14" thickBot="1" x14ac:dyDescent="0.2">
      <c r="AD5411" s="98">
        <f t="shared" si="291"/>
        <v>50334</v>
      </c>
    </row>
    <row r="5412" spans="30:30" ht="14" thickBot="1" x14ac:dyDescent="0.2">
      <c r="AD5412" s="98">
        <f t="shared" si="291"/>
        <v>50335</v>
      </c>
    </row>
    <row r="5413" spans="30:30" ht="14" thickBot="1" x14ac:dyDescent="0.2">
      <c r="AD5413" s="98">
        <f t="shared" si="291"/>
        <v>50336</v>
      </c>
    </row>
    <row r="5414" spans="30:30" ht="14" thickBot="1" x14ac:dyDescent="0.2">
      <c r="AD5414" s="98">
        <f t="shared" si="291"/>
        <v>50337</v>
      </c>
    </row>
    <row r="5415" spans="30:30" ht="14" thickBot="1" x14ac:dyDescent="0.2">
      <c r="AD5415" s="98">
        <f t="shared" si="291"/>
        <v>50338</v>
      </c>
    </row>
    <row r="5416" spans="30:30" ht="14" thickBot="1" x14ac:dyDescent="0.2">
      <c r="AD5416" s="98">
        <f t="shared" si="291"/>
        <v>50339</v>
      </c>
    </row>
    <row r="5417" spans="30:30" ht="14" thickBot="1" x14ac:dyDescent="0.2">
      <c r="AD5417" s="98">
        <f t="shared" si="291"/>
        <v>50340</v>
      </c>
    </row>
    <row r="5418" spans="30:30" ht="14" thickBot="1" x14ac:dyDescent="0.2">
      <c r="AD5418" s="98">
        <f t="shared" si="291"/>
        <v>50341</v>
      </c>
    </row>
    <row r="5419" spans="30:30" ht="14" thickBot="1" x14ac:dyDescent="0.2">
      <c r="AD5419" s="98">
        <f t="shared" si="291"/>
        <v>50342</v>
      </c>
    </row>
    <row r="5420" spans="30:30" ht="14" thickBot="1" x14ac:dyDescent="0.2">
      <c r="AD5420" s="98">
        <f t="shared" si="291"/>
        <v>50343</v>
      </c>
    </row>
    <row r="5421" spans="30:30" ht="14" thickBot="1" x14ac:dyDescent="0.2">
      <c r="AD5421" s="98">
        <f t="shared" si="291"/>
        <v>50344</v>
      </c>
    </row>
    <row r="5422" spans="30:30" ht="14" thickBot="1" x14ac:dyDescent="0.2">
      <c r="AD5422" s="98">
        <f t="shared" si="291"/>
        <v>50345</v>
      </c>
    </row>
    <row r="5423" spans="30:30" ht="14" thickBot="1" x14ac:dyDescent="0.2">
      <c r="AD5423" s="98">
        <f t="shared" si="291"/>
        <v>50346</v>
      </c>
    </row>
    <row r="5424" spans="30:30" ht="14" thickBot="1" x14ac:dyDescent="0.2">
      <c r="AD5424" s="98">
        <f t="shared" si="291"/>
        <v>50347</v>
      </c>
    </row>
    <row r="5425" spans="30:30" ht="14" thickBot="1" x14ac:dyDescent="0.2">
      <c r="AD5425" s="98">
        <f t="shared" si="291"/>
        <v>50348</v>
      </c>
    </row>
    <row r="5426" spans="30:30" ht="14" thickBot="1" x14ac:dyDescent="0.2">
      <c r="AD5426" s="98">
        <f t="shared" si="291"/>
        <v>50349</v>
      </c>
    </row>
    <row r="5427" spans="30:30" ht="14" thickBot="1" x14ac:dyDescent="0.2">
      <c r="AD5427" s="98">
        <f t="shared" si="291"/>
        <v>50350</v>
      </c>
    </row>
    <row r="5428" spans="30:30" ht="14" thickBot="1" x14ac:dyDescent="0.2">
      <c r="AD5428" s="98">
        <f t="shared" si="291"/>
        <v>50351</v>
      </c>
    </row>
    <row r="5429" spans="30:30" ht="14" thickBot="1" x14ac:dyDescent="0.2">
      <c r="AD5429" s="98">
        <f t="shared" si="291"/>
        <v>50352</v>
      </c>
    </row>
    <row r="5430" spans="30:30" ht="14" thickBot="1" x14ac:dyDescent="0.2">
      <c r="AD5430" s="98">
        <f t="shared" si="291"/>
        <v>50353</v>
      </c>
    </row>
    <row r="5431" spans="30:30" ht="14" thickBot="1" x14ac:dyDescent="0.2">
      <c r="AD5431" s="98">
        <f t="shared" si="291"/>
        <v>50354</v>
      </c>
    </row>
    <row r="5432" spans="30:30" ht="14" thickBot="1" x14ac:dyDescent="0.2">
      <c r="AD5432" s="98">
        <f t="shared" si="291"/>
        <v>50355</v>
      </c>
    </row>
    <row r="5433" spans="30:30" ht="14" thickBot="1" x14ac:dyDescent="0.2">
      <c r="AD5433" s="98">
        <f t="shared" si="291"/>
        <v>50356</v>
      </c>
    </row>
    <row r="5434" spans="30:30" ht="14" thickBot="1" x14ac:dyDescent="0.2">
      <c r="AD5434" s="98">
        <f t="shared" si="291"/>
        <v>50357</v>
      </c>
    </row>
    <row r="5435" spans="30:30" ht="14" thickBot="1" x14ac:dyDescent="0.2">
      <c r="AD5435" s="98">
        <f t="shared" si="291"/>
        <v>50358</v>
      </c>
    </row>
    <row r="5436" spans="30:30" ht="14" thickBot="1" x14ac:dyDescent="0.2">
      <c r="AD5436" s="98">
        <f t="shared" si="291"/>
        <v>50359</v>
      </c>
    </row>
    <row r="5437" spans="30:30" ht="14" thickBot="1" x14ac:dyDescent="0.2">
      <c r="AD5437" s="98">
        <f t="shared" si="291"/>
        <v>50360</v>
      </c>
    </row>
    <row r="5438" spans="30:30" ht="14" thickBot="1" x14ac:dyDescent="0.2">
      <c r="AD5438" s="98">
        <f t="shared" si="291"/>
        <v>50361</v>
      </c>
    </row>
    <row r="5439" spans="30:30" ht="14" thickBot="1" x14ac:dyDescent="0.2">
      <c r="AD5439" s="98">
        <f t="shared" si="291"/>
        <v>50362</v>
      </c>
    </row>
    <row r="5440" spans="30:30" ht="14" thickBot="1" x14ac:dyDescent="0.2">
      <c r="AD5440" s="98">
        <f t="shared" si="291"/>
        <v>50363</v>
      </c>
    </row>
    <row r="5441" spans="30:31" ht="14" thickBot="1" x14ac:dyDescent="0.2">
      <c r="AD5441" s="98">
        <f t="shared" si="291"/>
        <v>50364</v>
      </c>
    </row>
    <row r="5442" spans="30:31" ht="14" thickBot="1" x14ac:dyDescent="0.2">
      <c r="AD5442" s="98">
        <f t="shared" si="291"/>
        <v>50365</v>
      </c>
    </row>
    <row r="5443" spans="30:31" ht="14" thickBot="1" x14ac:dyDescent="0.2">
      <c r="AD5443" s="98">
        <f t="shared" si="291"/>
        <v>50366</v>
      </c>
    </row>
    <row r="5444" spans="30:31" ht="14" thickBot="1" x14ac:dyDescent="0.2">
      <c r="AD5444" s="98">
        <f t="shared" si="291"/>
        <v>50367</v>
      </c>
    </row>
    <row r="5445" spans="30:31" ht="14" thickBot="1" x14ac:dyDescent="0.2">
      <c r="AD5445" s="98">
        <f t="shared" si="291"/>
        <v>50368</v>
      </c>
    </row>
    <row r="5446" spans="30:31" ht="14" thickBot="1" x14ac:dyDescent="0.2">
      <c r="AD5446" s="98">
        <f t="shared" si="291"/>
        <v>50369</v>
      </c>
    </row>
    <row r="5447" spans="30:31" ht="14" thickBot="1" x14ac:dyDescent="0.2">
      <c r="AD5447" s="98">
        <f t="shared" si="291"/>
        <v>50370</v>
      </c>
    </row>
    <row r="5448" spans="30:31" ht="14" thickBot="1" x14ac:dyDescent="0.2">
      <c r="AD5448" s="98">
        <f t="shared" si="291"/>
        <v>50371</v>
      </c>
    </row>
    <row r="5449" spans="30:31" ht="14" thickBot="1" x14ac:dyDescent="0.2">
      <c r="AD5449" s="98">
        <f t="shared" ref="AD5449:AD5512" si="292">AD5448+1</f>
        <v>50372</v>
      </c>
    </row>
    <row r="5450" spans="30:31" ht="14" thickBot="1" x14ac:dyDescent="0.2">
      <c r="AD5450" s="98">
        <f t="shared" si="292"/>
        <v>50373</v>
      </c>
      <c r="AE5450" t="s">
        <v>6</v>
      </c>
    </row>
    <row r="5451" spans="30:31" ht="14" thickBot="1" x14ac:dyDescent="0.2">
      <c r="AD5451" s="98">
        <f t="shared" si="292"/>
        <v>50374</v>
      </c>
    </row>
    <row r="5452" spans="30:31" ht="14" thickBot="1" x14ac:dyDescent="0.2">
      <c r="AD5452" s="98">
        <f t="shared" si="292"/>
        <v>50375</v>
      </c>
    </row>
    <row r="5453" spans="30:31" ht="14" thickBot="1" x14ac:dyDescent="0.2">
      <c r="AD5453" s="98">
        <f t="shared" si="292"/>
        <v>50376</v>
      </c>
    </row>
    <row r="5454" spans="30:31" ht="14" thickBot="1" x14ac:dyDescent="0.2">
      <c r="AD5454" s="98">
        <f t="shared" si="292"/>
        <v>50377</v>
      </c>
    </row>
    <row r="5455" spans="30:31" ht="14" thickBot="1" x14ac:dyDescent="0.2">
      <c r="AD5455" s="98">
        <f t="shared" si="292"/>
        <v>50378</v>
      </c>
    </row>
    <row r="5456" spans="30:31" ht="14" thickBot="1" x14ac:dyDescent="0.2">
      <c r="AD5456" s="98">
        <f t="shared" si="292"/>
        <v>50379</v>
      </c>
    </row>
    <row r="5457" spans="30:30" ht="14" thickBot="1" x14ac:dyDescent="0.2">
      <c r="AD5457" s="98">
        <f t="shared" si="292"/>
        <v>50380</v>
      </c>
    </row>
    <row r="5458" spans="30:30" ht="14" thickBot="1" x14ac:dyDescent="0.2">
      <c r="AD5458" s="98">
        <f t="shared" si="292"/>
        <v>50381</v>
      </c>
    </row>
    <row r="5459" spans="30:30" ht="14" thickBot="1" x14ac:dyDescent="0.2">
      <c r="AD5459" s="98">
        <f t="shared" si="292"/>
        <v>50382</v>
      </c>
    </row>
    <row r="5460" spans="30:30" ht="14" thickBot="1" x14ac:dyDescent="0.2">
      <c r="AD5460" s="98">
        <f t="shared" si="292"/>
        <v>50383</v>
      </c>
    </row>
    <row r="5461" spans="30:30" ht="14" thickBot="1" x14ac:dyDescent="0.2">
      <c r="AD5461" s="98">
        <f t="shared" si="292"/>
        <v>50384</v>
      </c>
    </row>
    <row r="5462" spans="30:30" ht="14" thickBot="1" x14ac:dyDescent="0.2">
      <c r="AD5462" s="98">
        <f t="shared" si="292"/>
        <v>50385</v>
      </c>
    </row>
    <row r="5463" spans="30:30" ht="14" thickBot="1" x14ac:dyDescent="0.2">
      <c r="AD5463" s="98">
        <f t="shared" si="292"/>
        <v>50386</v>
      </c>
    </row>
    <row r="5464" spans="30:30" ht="14" thickBot="1" x14ac:dyDescent="0.2">
      <c r="AD5464" s="98">
        <f t="shared" si="292"/>
        <v>50387</v>
      </c>
    </row>
    <row r="5465" spans="30:30" ht="14" thickBot="1" x14ac:dyDescent="0.2">
      <c r="AD5465" s="98">
        <f t="shared" si="292"/>
        <v>50388</v>
      </c>
    </row>
    <row r="5466" spans="30:30" ht="14" thickBot="1" x14ac:dyDescent="0.2">
      <c r="AD5466" s="98">
        <f t="shared" si="292"/>
        <v>50389</v>
      </c>
    </row>
    <row r="5467" spans="30:30" ht="14" thickBot="1" x14ac:dyDescent="0.2">
      <c r="AD5467" s="98">
        <f t="shared" si="292"/>
        <v>50390</v>
      </c>
    </row>
    <row r="5468" spans="30:30" ht="14" thickBot="1" x14ac:dyDescent="0.2">
      <c r="AD5468" s="98">
        <f t="shared" si="292"/>
        <v>50391</v>
      </c>
    </row>
    <row r="5469" spans="30:30" ht="14" thickBot="1" x14ac:dyDescent="0.2">
      <c r="AD5469" s="98">
        <f t="shared" si="292"/>
        <v>50392</v>
      </c>
    </row>
    <row r="5470" spans="30:30" ht="14" thickBot="1" x14ac:dyDescent="0.2">
      <c r="AD5470" s="98">
        <f t="shared" si="292"/>
        <v>50393</v>
      </c>
    </row>
    <row r="5471" spans="30:30" ht="14" thickBot="1" x14ac:dyDescent="0.2">
      <c r="AD5471" s="98">
        <f t="shared" si="292"/>
        <v>50394</v>
      </c>
    </row>
    <row r="5472" spans="30:30" ht="14" thickBot="1" x14ac:dyDescent="0.2">
      <c r="AD5472" s="98">
        <f t="shared" si="292"/>
        <v>50395</v>
      </c>
    </row>
    <row r="5473" spans="30:30" ht="14" thickBot="1" x14ac:dyDescent="0.2">
      <c r="AD5473" s="98">
        <f t="shared" si="292"/>
        <v>50396</v>
      </c>
    </row>
    <row r="5474" spans="30:30" ht="14" thickBot="1" x14ac:dyDescent="0.2">
      <c r="AD5474" s="98">
        <f t="shared" si="292"/>
        <v>50397</v>
      </c>
    </row>
    <row r="5475" spans="30:30" ht="14" thickBot="1" x14ac:dyDescent="0.2">
      <c r="AD5475" s="98">
        <f t="shared" si="292"/>
        <v>50398</v>
      </c>
    </row>
    <row r="5476" spans="30:30" ht="14" thickBot="1" x14ac:dyDescent="0.2">
      <c r="AD5476" s="98">
        <f t="shared" si="292"/>
        <v>50399</v>
      </c>
    </row>
    <row r="5477" spans="30:30" ht="14" thickBot="1" x14ac:dyDescent="0.2">
      <c r="AD5477" s="98">
        <f t="shared" si="292"/>
        <v>50400</v>
      </c>
    </row>
    <row r="5478" spans="30:30" ht="14" thickBot="1" x14ac:dyDescent="0.2">
      <c r="AD5478" s="98">
        <f t="shared" si="292"/>
        <v>50401</v>
      </c>
    </row>
    <row r="5479" spans="30:30" ht="14" thickBot="1" x14ac:dyDescent="0.2">
      <c r="AD5479" s="98">
        <f t="shared" si="292"/>
        <v>50402</v>
      </c>
    </row>
    <row r="5480" spans="30:30" ht="14" thickBot="1" x14ac:dyDescent="0.2">
      <c r="AD5480" s="98">
        <f t="shared" si="292"/>
        <v>50403</v>
      </c>
    </row>
    <row r="5481" spans="30:30" ht="14" thickBot="1" x14ac:dyDescent="0.2">
      <c r="AD5481" s="98">
        <f t="shared" si="292"/>
        <v>50404</v>
      </c>
    </row>
    <row r="5482" spans="30:30" ht="14" thickBot="1" x14ac:dyDescent="0.2">
      <c r="AD5482" s="98">
        <f t="shared" si="292"/>
        <v>50405</v>
      </c>
    </row>
    <row r="5483" spans="30:30" ht="14" thickBot="1" x14ac:dyDescent="0.2">
      <c r="AD5483" s="98">
        <f t="shared" si="292"/>
        <v>50406</v>
      </c>
    </row>
    <row r="5484" spans="30:30" ht="14" thickBot="1" x14ac:dyDescent="0.2">
      <c r="AD5484" s="98">
        <f t="shared" si="292"/>
        <v>50407</v>
      </c>
    </row>
    <row r="5485" spans="30:30" ht="14" thickBot="1" x14ac:dyDescent="0.2">
      <c r="AD5485" s="98">
        <f t="shared" si="292"/>
        <v>50408</v>
      </c>
    </row>
    <row r="5486" spans="30:30" ht="14" thickBot="1" x14ac:dyDescent="0.2">
      <c r="AD5486" s="98">
        <f t="shared" si="292"/>
        <v>50409</v>
      </c>
    </row>
    <row r="5487" spans="30:30" ht="14" thickBot="1" x14ac:dyDescent="0.2">
      <c r="AD5487" s="98">
        <f t="shared" si="292"/>
        <v>50410</v>
      </c>
    </row>
    <row r="5488" spans="30:30" ht="14" thickBot="1" x14ac:dyDescent="0.2">
      <c r="AD5488" s="98">
        <f t="shared" si="292"/>
        <v>50411</v>
      </c>
    </row>
    <row r="5489" spans="30:30" ht="14" thickBot="1" x14ac:dyDescent="0.2">
      <c r="AD5489" s="98">
        <f t="shared" si="292"/>
        <v>50412</v>
      </c>
    </row>
    <row r="5490" spans="30:30" ht="14" thickBot="1" x14ac:dyDescent="0.2">
      <c r="AD5490" s="98">
        <f t="shared" si="292"/>
        <v>50413</v>
      </c>
    </row>
    <row r="5491" spans="30:30" ht="14" thickBot="1" x14ac:dyDescent="0.2">
      <c r="AD5491" s="98">
        <f t="shared" si="292"/>
        <v>50414</v>
      </c>
    </row>
    <row r="5492" spans="30:30" ht="14" thickBot="1" x14ac:dyDescent="0.2">
      <c r="AD5492" s="98">
        <f t="shared" si="292"/>
        <v>50415</v>
      </c>
    </row>
    <row r="5493" spans="30:30" ht="14" thickBot="1" x14ac:dyDescent="0.2">
      <c r="AD5493" s="98">
        <f t="shared" si="292"/>
        <v>50416</v>
      </c>
    </row>
    <row r="5494" spans="30:30" ht="14" thickBot="1" x14ac:dyDescent="0.2">
      <c r="AD5494" s="98">
        <f t="shared" si="292"/>
        <v>50417</v>
      </c>
    </row>
    <row r="5495" spans="30:30" ht="14" thickBot="1" x14ac:dyDescent="0.2">
      <c r="AD5495" s="98">
        <f t="shared" si="292"/>
        <v>50418</v>
      </c>
    </row>
    <row r="5496" spans="30:30" ht="14" thickBot="1" x14ac:dyDescent="0.2">
      <c r="AD5496" s="98">
        <f t="shared" si="292"/>
        <v>50419</v>
      </c>
    </row>
    <row r="5497" spans="30:30" ht="14" thickBot="1" x14ac:dyDescent="0.2">
      <c r="AD5497" s="98">
        <f t="shared" si="292"/>
        <v>50420</v>
      </c>
    </row>
    <row r="5498" spans="30:30" ht="14" thickBot="1" x14ac:dyDescent="0.2">
      <c r="AD5498" s="98">
        <f t="shared" si="292"/>
        <v>50421</v>
      </c>
    </row>
    <row r="5499" spans="30:30" ht="14" thickBot="1" x14ac:dyDescent="0.2">
      <c r="AD5499" s="98">
        <f t="shared" si="292"/>
        <v>50422</v>
      </c>
    </row>
    <row r="5500" spans="30:30" ht="14" thickBot="1" x14ac:dyDescent="0.2">
      <c r="AD5500" s="98">
        <f t="shared" si="292"/>
        <v>50423</v>
      </c>
    </row>
    <row r="5501" spans="30:30" ht="14" thickBot="1" x14ac:dyDescent="0.2">
      <c r="AD5501" s="98">
        <f t="shared" si="292"/>
        <v>50424</v>
      </c>
    </row>
    <row r="5502" spans="30:30" ht="14" thickBot="1" x14ac:dyDescent="0.2">
      <c r="AD5502" s="98">
        <f t="shared" si="292"/>
        <v>50425</v>
      </c>
    </row>
    <row r="5503" spans="30:30" ht="14" thickBot="1" x14ac:dyDescent="0.2">
      <c r="AD5503" s="98">
        <f t="shared" si="292"/>
        <v>50426</v>
      </c>
    </row>
    <row r="5504" spans="30:30" ht="14" thickBot="1" x14ac:dyDescent="0.2">
      <c r="AD5504" s="98">
        <f t="shared" si="292"/>
        <v>50427</v>
      </c>
    </row>
    <row r="5505" spans="30:30" ht="14" thickBot="1" x14ac:dyDescent="0.2">
      <c r="AD5505" s="98">
        <f t="shared" si="292"/>
        <v>50428</v>
      </c>
    </row>
    <row r="5506" spans="30:30" ht="14" thickBot="1" x14ac:dyDescent="0.2">
      <c r="AD5506" s="98">
        <f t="shared" si="292"/>
        <v>50429</v>
      </c>
    </row>
    <row r="5507" spans="30:30" ht="14" thickBot="1" x14ac:dyDescent="0.2">
      <c r="AD5507" s="98">
        <f t="shared" si="292"/>
        <v>50430</v>
      </c>
    </row>
    <row r="5508" spans="30:30" ht="14" thickBot="1" x14ac:dyDescent="0.2">
      <c r="AD5508" s="98">
        <f t="shared" si="292"/>
        <v>50431</v>
      </c>
    </row>
    <row r="5509" spans="30:30" ht="14" thickBot="1" x14ac:dyDescent="0.2">
      <c r="AD5509" s="98">
        <f t="shared" si="292"/>
        <v>50432</v>
      </c>
    </row>
    <row r="5510" spans="30:30" ht="14" thickBot="1" x14ac:dyDescent="0.2">
      <c r="AD5510" s="98">
        <f t="shared" si="292"/>
        <v>50433</v>
      </c>
    </row>
    <row r="5511" spans="30:30" ht="14" thickBot="1" x14ac:dyDescent="0.2">
      <c r="AD5511" s="98">
        <f t="shared" si="292"/>
        <v>50434</v>
      </c>
    </row>
    <row r="5512" spans="30:30" ht="14" thickBot="1" x14ac:dyDescent="0.2">
      <c r="AD5512" s="98">
        <f t="shared" si="292"/>
        <v>50435</v>
      </c>
    </row>
    <row r="5513" spans="30:30" ht="14" thickBot="1" x14ac:dyDescent="0.2">
      <c r="AD5513" s="98">
        <f t="shared" ref="AD5513:AD5576" si="293">AD5512+1</f>
        <v>50436</v>
      </c>
    </row>
    <row r="5514" spans="30:30" ht="14" thickBot="1" x14ac:dyDescent="0.2">
      <c r="AD5514" s="98">
        <f t="shared" si="293"/>
        <v>50437</v>
      </c>
    </row>
    <row r="5515" spans="30:30" ht="14" thickBot="1" x14ac:dyDescent="0.2">
      <c r="AD5515" s="98">
        <f t="shared" si="293"/>
        <v>50438</v>
      </c>
    </row>
    <row r="5516" spans="30:30" ht="14" thickBot="1" x14ac:dyDescent="0.2">
      <c r="AD5516" s="98">
        <f t="shared" si="293"/>
        <v>50439</v>
      </c>
    </row>
    <row r="5517" spans="30:30" ht="14" thickBot="1" x14ac:dyDescent="0.2">
      <c r="AD5517" s="98">
        <f t="shared" si="293"/>
        <v>50440</v>
      </c>
    </row>
    <row r="5518" spans="30:30" ht="14" thickBot="1" x14ac:dyDescent="0.2">
      <c r="AD5518" s="98">
        <f t="shared" si="293"/>
        <v>50441</v>
      </c>
    </row>
    <row r="5519" spans="30:30" ht="14" thickBot="1" x14ac:dyDescent="0.2">
      <c r="AD5519" s="98">
        <f t="shared" si="293"/>
        <v>50442</v>
      </c>
    </row>
    <row r="5520" spans="30:30" ht="14" thickBot="1" x14ac:dyDescent="0.2">
      <c r="AD5520" s="98">
        <f t="shared" si="293"/>
        <v>50443</v>
      </c>
    </row>
    <row r="5521" spans="30:30" ht="14" thickBot="1" x14ac:dyDescent="0.2">
      <c r="AD5521" s="98">
        <f t="shared" si="293"/>
        <v>50444</v>
      </c>
    </row>
    <row r="5522" spans="30:30" ht="14" thickBot="1" x14ac:dyDescent="0.2">
      <c r="AD5522" s="98">
        <f t="shared" si="293"/>
        <v>50445</v>
      </c>
    </row>
    <row r="5523" spans="30:30" ht="14" thickBot="1" x14ac:dyDescent="0.2">
      <c r="AD5523" s="98">
        <f t="shared" si="293"/>
        <v>50446</v>
      </c>
    </row>
    <row r="5524" spans="30:30" ht="14" thickBot="1" x14ac:dyDescent="0.2">
      <c r="AD5524" s="98">
        <f t="shared" si="293"/>
        <v>50447</v>
      </c>
    </row>
    <row r="5525" spans="30:30" ht="14" thickBot="1" x14ac:dyDescent="0.2">
      <c r="AD5525" s="98">
        <f t="shared" si="293"/>
        <v>50448</v>
      </c>
    </row>
    <row r="5526" spans="30:30" ht="14" thickBot="1" x14ac:dyDescent="0.2">
      <c r="AD5526" s="98">
        <f t="shared" si="293"/>
        <v>50449</v>
      </c>
    </row>
    <row r="5527" spans="30:30" ht="14" thickBot="1" x14ac:dyDescent="0.2">
      <c r="AD5527" s="98">
        <f t="shared" si="293"/>
        <v>50450</v>
      </c>
    </row>
    <row r="5528" spans="30:30" ht="14" thickBot="1" x14ac:dyDescent="0.2">
      <c r="AD5528" s="98">
        <f t="shared" si="293"/>
        <v>50451</v>
      </c>
    </row>
    <row r="5529" spans="30:30" ht="14" thickBot="1" x14ac:dyDescent="0.2">
      <c r="AD5529" s="98">
        <f t="shared" si="293"/>
        <v>50452</v>
      </c>
    </row>
    <row r="5530" spans="30:30" ht="14" thickBot="1" x14ac:dyDescent="0.2">
      <c r="AD5530" s="98">
        <f t="shared" si="293"/>
        <v>50453</v>
      </c>
    </row>
    <row r="5531" spans="30:30" ht="14" thickBot="1" x14ac:dyDescent="0.2">
      <c r="AD5531" s="98">
        <f t="shared" si="293"/>
        <v>50454</v>
      </c>
    </row>
    <row r="5532" spans="30:30" ht="14" thickBot="1" x14ac:dyDescent="0.2">
      <c r="AD5532" s="98">
        <f t="shared" si="293"/>
        <v>50455</v>
      </c>
    </row>
    <row r="5533" spans="30:30" ht="14" thickBot="1" x14ac:dyDescent="0.2">
      <c r="AD5533" s="98">
        <f t="shared" si="293"/>
        <v>50456</v>
      </c>
    </row>
    <row r="5534" spans="30:30" ht="14" thickBot="1" x14ac:dyDescent="0.2">
      <c r="AD5534" s="98">
        <f t="shared" si="293"/>
        <v>50457</v>
      </c>
    </row>
    <row r="5535" spans="30:30" ht="14" thickBot="1" x14ac:dyDescent="0.2">
      <c r="AD5535" s="98">
        <f t="shared" si="293"/>
        <v>50458</v>
      </c>
    </row>
    <row r="5536" spans="30:30" ht="14" thickBot="1" x14ac:dyDescent="0.2">
      <c r="AD5536" s="98">
        <f t="shared" si="293"/>
        <v>50459</v>
      </c>
    </row>
    <row r="5537" spans="30:30" ht="14" thickBot="1" x14ac:dyDescent="0.2">
      <c r="AD5537" s="98">
        <f t="shared" si="293"/>
        <v>50460</v>
      </c>
    </row>
    <row r="5538" spans="30:30" ht="14" thickBot="1" x14ac:dyDescent="0.2">
      <c r="AD5538" s="98">
        <f t="shared" si="293"/>
        <v>50461</v>
      </c>
    </row>
    <row r="5539" spans="30:30" ht="14" thickBot="1" x14ac:dyDescent="0.2">
      <c r="AD5539" s="98">
        <f t="shared" si="293"/>
        <v>50462</v>
      </c>
    </row>
    <row r="5540" spans="30:30" ht="14" thickBot="1" x14ac:dyDescent="0.2">
      <c r="AD5540" s="98">
        <f t="shared" si="293"/>
        <v>50463</v>
      </c>
    </row>
    <row r="5541" spans="30:30" ht="14" thickBot="1" x14ac:dyDescent="0.2">
      <c r="AD5541" s="98">
        <f t="shared" si="293"/>
        <v>50464</v>
      </c>
    </row>
    <row r="5542" spans="30:30" ht="14" thickBot="1" x14ac:dyDescent="0.2">
      <c r="AD5542" s="98">
        <f t="shared" si="293"/>
        <v>50465</v>
      </c>
    </row>
    <row r="5543" spans="30:30" ht="14" thickBot="1" x14ac:dyDescent="0.2">
      <c r="AD5543" s="98">
        <f t="shared" si="293"/>
        <v>50466</v>
      </c>
    </row>
    <row r="5544" spans="30:30" ht="14" thickBot="1" x14ac:dyDescent="0.2">
      <c r="AD5544" s="98">
        <f t="shared" si="293"/>
        <v>50467</v>
      </c>
    </row>
    <row r="5545" spans="30:30" ht="14" thickBot="1" x14ac:dyDescent="0.2">
      <c r="AD5545" s="98">
        <f t="shared" si="293"/>
        <v>50468</v>
      </c>
    </row>
    <row r="5546" spans="30:30" ht="14" thickBot="1" x14ac:dyDescent="0.2">
      <c r="AD5546" s="98">
        <f t="shared" si="293"/>
        <v>50469</v>
      </c>
    </row>
    <row r="5547" spans="30:30" ht="14" thickBot="1" x14ac:dyDescent="0.2">
      <c r="AD5547" s="98">
        <f t="shared" si="293"/>
        <v>50470</v>
      </c>
    </row>
    <row r="5548" spans="30:30" ht="14" thickBot="1" x14ac:dyDescent="0.2">
      <c r="AD5548" s="98">
        <f t="shared" si="293"/>
        <v>50471</v>
      </c>
    </row>
    <row r="5549" spans="30:30" ht="14" thickBot="1" x14ac:dyDescent="0.2">
      <c r="AD5549" s="98">
        <f t="shared" si="293"/>
        <v>50472</v>
      </c>
    </row>
    <row r="5550" spans="30:30" ht="14" thickBot="1" x14ac:dyDescent="0.2">
      <c r="AD5550" s="98">
        <f t="shared" si="293"/>
        <v>50473</v>
      </c>
    </row>
    <row r="5551" spans="30:30" ht="14" thickBot="1" x14ac:dyDescent="0.2">
      <c r="AD5551" s="98">
        <f t="shared" si="293"/>
        <v>50474</v>
      </c>
    </row>
    <row r="5552" spans="30:30" ht="14" thickBot="1" x14ac:dyDescent="0.2">
      <c r="AD5552" s="98">
        <f t="shared" si="293"/>
        <v>50475</v>
      </c>
    </row>
    <row r="5553" spans="30:30" ht="14" thickBot="1" x14ac:dyDescent="0.2">
      <c r="AD5553" s="98">
        <f t="shared" si="293"/>
        <v>50476</v>
      </c>
    </row>
    <row r="5554" spans="30:30" ht="14" thickBot="1" x14ac:dyDescent="0.2">
      <c r="AD5554" s="98">
        <f t="shared" si="293"/>
        <v>50477</v>
      </c>
    </row>
    <row r="5555" spans="30:30" ht="14" thickBot="1" x14ac:dyDescent="0.2">
      <c r="AD5555" s="98">
        <f t="shared" si="293"/>
        <v>50478</v>
      </c>
    </row>
    <row r="5556" spans="30:30" ht="14" thickBot="1" x14ac:dyDescent="0.2">
      <c r="AD5556" s="98">
        <f t="shared" si="293"/>
        <v>50479</v>
      </c>
    </row>
    <row r="5557" spans="30:30" ht="14" thickBot="1" x14ac:dyDescent="0.2">
      <c r="AD5557" s="98">
        <f t="shared" si="293"/>
        <v>50480</v>
      </c>
    </row>
    <row r="5558" spans="30:30" ht="14" thickBot="1" x14ac:dyDescent="0.2">
      <c r="AD5558" s="98">
        <f t="shared" si="293"/>
        <v>50481</v>
      </c>
    </row>
    <row r="5559" spans="30:30" ht="14" thickBot="1" x14ac:dyDescent="0.2">
      <c r="AD5559" s="98">
        <f t="shared" si="293"/>
        <v>50482</v>
      </c>
    </row>
    <row r="5560" spans="30:30" ht="14" thickBot="1" x14ac:dyDescent="0.2">
      <c r="AD5560" s="98">
        <f t="shared" si="293"/>
        <v>50483</v>
      </c>
    </row>
    <row r="5561" spans="30:30" ht="14" thickBot="1" x14ac:dyDescent="0.2">
      <c r="AD5561" s="98">
        <f t="shared" si="293"/>
        <v>50484</v>
      </c>
    </row>
    <row r="5562" spans="30:30" ht="14" thickBot="1" x14ac:dyDescent="0.2">
      <c r="AD5562" s="98">
        <f t="shared" si="293"/>
        <v>50485</v>
      </c>
    </row>
    <row r="5563" spans="30:30" ht="14" thickBot="1" x14ac:dyDescent="0.2">
      <c r="AD5563" s="98">
        <f t="shared" si="293"/>
        <v>50486</v>
      </c>
    </row>
    <row r="5564" spans="30:30" ht="14" thickBot="1" x14ac:dyDescent="0.2">
      <c r="AD5564" s="98">
        <f t="shared" si="293"/>
        <v>50487</v>
      </c>
    </row>
    <row r="5565" spans="30:30" ht="14" thickBot="1" x14ac:dyDescent="0.2">
      <c r="AD5565" s="98">
        <f t="shared" si="293"/>
        <v>50488</v>
      </c>
    </row>
    <row r="5566" spans="30:30" ht="14" thickBot="1" x14ac:dyDescent="0.2">
      <c r="AD5566" s="98">
        <f t="shared" si="293"/>
        <v>50489</v>
      </c>
    </row>
    <row r="5567" spans="30:30" ht="14" thickBot="1" x14ac:dyDescent="0.2">
      <c r="AD5567" s="98">
        <f t="shared" si="293"/>
        <v>50490</v>
      </c>
    </row>
    <row r="5568" spans="30:30" ht="14" thickBot="1" x14ac:dyDescent="0.2">
      <c r="AD5568" s="98">
        <f t="shared" si="293"/>
        <v>50491</v>
      </c>
    </row>
    <row r="5569" spans="30:30" ht="14" thickBot="1" x14ac:dyDescent="0.2">
      <c r="AD5569" s="98">
        <f t="shared" si="293"/>
        <v>50492</v>
      </c>
    </row>
    <row r="5570" spans="30:30" ht="14" thickBot="1" x14ac:dyDescent="0.2">
      <c r="AD5570" s="98">
        <f t="shared" si="293"/>
        <v>50493</v>
      </c>
    </row>
    <row r="5571" spans="30:30" ht="14" thickBot="1" x14ac:dyDescent="0.2">
      <c r="AD5571" s="98">
        <f t="shared" si="293"/>
        <v>50494</v>
      </c>
    </row>
    <row r="5572" spans="30:30" ht="14" thickBot="1" x14ac:dyDescent="0.2">
      <c r="AD5572" s="98">
        <f t="shared" si="293"/>
        <v>50495</v>
      </c>
    </row>
    <row r="5573" spans="30:30" ht="14" thickBot="1" x14ac:dyDescent="0.2">
      <c r="AD5573" s="98">
        <f t="shared" si="293"/>
        <v>50496</v>
      </c>
    </row>
    <row r="5574" spans="30:30" ht="14" thickBot="1" x14ac:dyDescent="0.2">
      <c r="AD5574" s="98">
        <f t="shared" si="293"/>
        <v>50497</v>
      </c>
    </row>
    <row r="5575" spans="30:30" ht="14" thickBot="1" x14ac:dyDescent="0.2">
      <c r="AD5575" s="98">
        <f t="shared" si="293"/>
        <v>50498</v>
      </c>
    </row>
    <row r="5576" spans="30:30" ht="14" thickBot="1" x14ac:dyDescent="0.2">
      <c r="AD5576" s="98">
        <f t="shared" si="293"/>
        <v>50499</v>
      </c>
    </row>
    <row r="5577" spans="30:30" ht="14" thickBot="1" x14ac:dyDescent="0.2">
      <c r="AD5577" s="98">
        <f t="shared" ref="AD5577:AD5640" si="294">AD5576+1</f>
        <v>50500</v>
      </c>
    </row>
    <row r="5578" spans="30:30" ht="14" thickBot="1" x14ac:dyDescent="0.2">
      <c r="AD5578" s="98">
        <f t="shared" si="294"/>
        <v>50501</v>
      </c>
    </row>
    <row r="5579" spans="30:30" ht="14" thickBot="1" x14ac:dyDescent="0.2">
      <c r="AD5579" s="98">
        <f t="shared" si="294"/>
        <v>50502</v>
      </c>
    </row>
    <row r="5580" spans="30:30" ht="14" thickBot="1" x14ac:dyDescent="0.2">
      <c r="AD5580" s="98">
        <f t="shared" si="294"/>
        <v>50503</v>
      </c>
    </row>
    <row r="5581" spans="30:30" ht="14" thickBot="1" x14ac:dyDescent="0.2">
      <c r="AD5581" s="98">
        <f t="shared" si="294"/>
        <v>50504</v>
      </c>
    </row>
    <row r="5582" spans="30:30" ht="14" thickBot="1" x14ac:dyDescent="0.2">
      <c r="AD5582" s="98">
        <f t="shared" si="294"/>
        <v>50505</v>
      </c>
    </row>
    <row r="5583" spans="30:30" ht="14" thickBot="1" x14ac:dyDescent="0.2">
      <c r="AD5583" s="98">
        <f t="shared" si="294"/>
        <v>50506</v>
      </c>
    </row>
    <row r="5584" spans="30:30" ht="14" thickBot="1" x14ac:dyDescent="0.2">
      <c r="AD5584" s="98">
        <f t="shared" si="294"/>
        <v>50507</v>
      </c>
    </row>
    <row r="5585" spans="30:30" ht="14" thickBot="1" x14ac:dyDescent="0.2">
      <c r="AD5585" s="98">
        <f t="shared" si="294"/>
        <v>50508</v>
      </c>
    </row>
    <row r="5586" spans="30:30" ht="14" thickBot="1" x14ac:dyDescent="0.2">
      <c r="AD5586" s="98">
        <f t="shared" si="294"/>
        <v>50509</v>
      </c>
    </row>
    <row r="5587" spans="30:30" ht="14" thickBot="1" x14ac:dyDescent="0.2">
      <c r="AD5587" s="98">
        <f t="shared" si="294"/>
        <v>50510</v>
      </c>
    </row>
    <row r="5588" spans="30:30" ht="14" thickBot="1" x14ac:dyDescent="0.2">
      <c r="AD5588" s="98">
        <f t="shared" si="294"/>
        <v>50511</v>
      </c>
    </row>
    <row r="5589" spans="30:30" ht="14" thickBot="1" x14ac:dyDescent="0.2">
      <c r="AD5589" s="98">
        <f t="shared" si="294"/>
        <v>50512</v>
      </c>
    </row>
    <row r="5590" spans="30:30" ht="14" thickBot="1" x14ac:dyDescent="0.2">
      <c r="AD5590" s="98">
        <f t="shared" si="294"/>
        <v>50513</v>
      </c>
    </row>
    <row r="5591" spans="30:30" ht="14" thickBot="1" x14ac:dyDescent="0.2">
      <c r="AD5591" s="98">
        <f t="shared" si="294"/>
        <v>50514</v>
      </c>
    </row>
    <row r="5592" spans="30:30" ht="14" thickBot="1" x14ac:dyDescent="0.2">
      <c r="AD5592" s="98">
        <f t="shared" si="294"/>
        <v>50515</v>
      </c>
    </row>
    <row r="5593" spans="30:30" ht="14" thickBot="1" x14ac:dyDescent="0.2">
      <c r="AD5593" s="98">
        <f t="shared" si="294"/>
        <v>50516</v>
      </c>
    </row>
    <row r="5594" spans="30:30" ht="14" thickBot="1" x14ac:dyDescent="0.2">
      <c r="AD5594" s="98">
        <f t="shared" si="294"/>
        <v>50517</v>
      </c>
    </row>
    <row r="5595" spans="30:30" ht="14" thickBot="1" x14ac:dyDescent="0.2">
      <c r="AD5595" s="98">
        <f t="shared" si="294"/>
        <v>50518</v>
      </c>
    </row>
    <row r="5596" spans="30:30" ht="14" thickBot="1" x14ac:dyDescent="0.2">
      <c r="AD5596" s="98">
        <f t="shared" si="294"/>
        <v>50519</v>
      </c>
    </row>
    <row r="5597" spans="30:30" ht="14" thickBot="1" x14ac:dyDescent="0.2">
      <c r="AD5597" s="98">
        <f t="shared" si="294"/>
        <v>50520</v>
      </c>
    </row>
    <row r="5598" spans="30:30" ht="14" thickBot="1" x14ac:dyDescent="0.2">
      <c r="AD5598" s="98">
        <f t="shared" si="294"/>
        <v>50521</v>
      </c>
    </row>
    <row r="5599" spans="30:30" ht="14" thickBot="1" x14ac:dyDescent="0.2">
      <c r="AD5599" s="98">
        <f t="shared" si="294"/>
        <v>50522</v>
      </c>
    </row>
    <row r="5600" spans="30:30" ht="14" thickBot="1" x14ac:dyDescent="0.2">
      <c r="AD5600" s="98">
        <f t="shared" si="294"/>
        <v>50523</v>
      </c>
    </row>
    <row r="5601" spans="30:30" ht="14" thickBot="1" x14ac:dyDescent="0.2">
      <c r="AD5601" s="98">
        <f t="shared" si="294"/>
        <v>50524</v>
      </c>
    </row>
    <row r="5602" spans="30:30" ht="14" thickBot="1" x14ac:dyDescent="0.2">
      <c r="AD5602" s="98">
        <f t="shared" si="294"/>
        <v>50525</v>
      </c>
    </row>
    <row r="5603" spans="30:30" ht="14" thickBot="1" x14ac:dyDescent="0.2">
      <c r="AD5603" s="98">
        <f t="shared" si="294"/>
        <v>50526</v>
      </c>
    </row>
    <row r="5604" spans="30:30" ht="14" thickBot="1" x14ac:dyDescent="0.2">
      <c r="AD5604" s="98">
        <f t="shared" si="294"/>
        <v>50527</v>
      </c>
    </row>
    <row r="5605" spans="30:30" ht="14" thickBot="1" x14ac:dyDescent="0.2">
      <c r="AD5605" s="98">
        <f t="shared" si="294"/>
        <v>50528</v>
      </c>
    </row>
    <row r="5606" spans="30:30" ht="14" thickBot="1" x14ac:dyDescent="0.2">
      <c r="AD5606" s="98">
        <f t="shared" si="294"/>
        <v>50529</v>
      </c>
    </row>
    <row r="5607" spans="30:30" ht="14" thickBot="1" x14ac:dyDescent="0.2">
      <c r="AD5607" s="98">
        <f t="shared" si="294"/>
        <v>50530</v>
      </c>
    </row>
    <row r="5608" spans="30:30" ht="14" thickBot="1" x14ac:dyDescent="0.2">
      <c r="AD5608" s="98">
        <f t="shared" si="294"/>
        <v>50531</v>
      </c>
    </row>
    <row r="5609" spans="30:30" ht="14" thickBot="1" x14ac:dyDescent="0.2">
      <c r="AD5609" s="98">
        <f t="shared" si="294"/>
        <v>50532</v>
      </c>
    </row>
    <row r="5610" spans="30:30" ht="14" thickBot="1" x14ac:dyDescent="0.2">
      <c r="AD5610" s="98">
        <f t="shared" si="294"/>
        <v>50533</v>
      </c>
    </row>
    <row r="5611" spans="30:30" ht="14" thickBot="1" x14ac:dyDescent="0.2">
      <c r="AD5611" s="98">
        <f t="shared" si="294"/>
        <v>50534</v>
      </c>
    </row>
    <row r="5612" spans="30:30" ht="14" thickBot="1" x14ac:dyDescent="0.2">
      <c r="AD5612" s="98">
        <f t="shared" si="294"/>
        <v>50535</v>
      </c>
    </row>
    <row r="5613" spans="30:30" ht="14" thickBot="1" x14ac:dyDescent="0.2">
      <c r="AD5613" s="98">
        <f t="shared" si="294"/>
        <v>50536</v>
      </c>
    </row>
    <row r="5614" spans="30:30" ht="14" thickBot="1" x14ac:dyDescent="0.2">
      <c r="AD5614" s="98">
        <f t="shared" si="294"/>
        <v>50537</v>
      </c>
    </row>
    <row r="5615" spans="30:30" ht="14" thickBot="1" x14ac:dyDescent="0.2">
      <c r="AD5615" s="98">
        <f t="shared" si="294"/>
        <v>50538</v>
      </c>
    </row>
    <row r="5616" spans="30:30" ht="14" thickBot="1" x14ac:dyDescent="0.2">
      <c r="AD5616" s="98">
        <f t="shared" si="294"/>
        <v>50539</v>
      </c>
    </row>
    <row r="5617" spans="30:30" ht="14" thickBot="1" x14ac:dyDescent="0.2">
      <c r="AD5617" s="98">
        <f t="shared" si="294"/>
        <v>50540</v>
      </c>
    </row>
    <row r="5618" spans="30:30" ht="14" thickBot="1" x14ac:dyDescent="0.2">
      <c r="AD5618" s="98">
        <f t="shared" si="294"/>
        <v>50541</v>
      </c>
    </row>
    <row r="5619" spans="30:30" ht="14" thickBot="1" x14ac:dyDescent="0.2">
      <c r="AD5619" s="98">
        <f t="shared" si="294"/>
        <v>50542</v>
      </c>
    </row>
    <row r="5620" spans="30:30" ht="14" thickBot="1" x14ac:dyDescent="0.2">
      <c r="AD5620" s="98">
        <f t="shared" si="294"/>
        <v>50543</v>
      </c>
    </row>
    <row r="5621" spans="30:30" ht="14" thickBot="1" x14ac:dyDescent="0.2">
      <c r="AD5621" s="98">
        <f t="shared" si="294"/>
        <v>50544</v>
      </c>
    </row>
    <row r="5622" spans="30:30" ht="14" thickBot="1" x14ac:dyDescent="0.2">
      <c r="AD5622" s="98">
        <f t="shared" si="294"/>
        <v>50545</v>
      </c>
    </row>
    <row r="5623" spans="30:30" ht="14" thickBot="1" x14ac:dyDescent="0.2">
      <c r="AD5623" s="98">
        <f t="shared" si="294"/>
        <v>50546</v>
      </c>
    </row>
    <row r="5624" spans="30:30" ht="14" thickBot="1" x14ac:dyDescent="0.2">
      <c r="AD5624" s="98">
        <f t="shared" si="294"/>
        <v>50547</v>
      </c>
    </row>
    <row r="5625" spans="30:30" ht="14" thickBot="1" x14ac:dyDescent="0.2">
      <c r="AD5625" s="98">
        <f t="shared" si="294"/>
        <v>50548</v>
      </c>
    </row>
    <row r="5626" spans="30:30" ht="14" thickBot="1" x14ac:dyDescent="0.2">
      <c r="AD5626" s="98">
        <f t="shared" si="294"/>
        <v>50549</v>
      </c>
    </row>
    <row r="5627" spans="30:30" ht="14" thickBot="1" x14ac:dyDescent="0.2">
      <c r="AD5627" s="98">
        <f t="shared" si="294"/>
        <v>50550</v>
      </c>
    </row>
    <row r="5628" spans="30:30" ht="14" thickBot="1" x14ac:dyDescent="0.2">
      <c r="AD5628" s="98">
        <f t="shared" si="294"/>
        <v>50551</v>
      </c>
    </row>
    <row r="5629" spans="30:30" ht="14" thickBot="1" x14ac:dyDescent="0.2">
      <c r="AD5629" s="98">
        <f t="shared" si="294"/>
        <v>50552</v>
      </c>
    </row>
    <row r="5630" spans="30:30" ht="14" thickBot="1" x14ac:dyDescent="0.2">
      <c r="AD5630" s="98">
        <f t="shared" si="294"/>
        <v>50553</v>
      </c>
    </row>
    <row r="5631" spans="30:30" ht="14" thickBot="1" x14ac:dyDescent="0.2">
      <c r="AD5631" s="98">
        <f t="shared" si="294"/>
        <v>50554</v>
      </c>
    </row>
    <row r="5632" spans="30:30" ht="14" thickBot="1" x14ac:dyDescent="0.2">
      <c r="AD5632" s="98">
        <f t="shared" si="294"/>
        <v>50555</v>
      </c>
    </row>
    <row r="5633" spans="30:30" ht="14" thickBot="1" x14ac:dyDescent="0.2">
      <c r="AD5633" s="98">
        <f t="shared" si="294"/>
        <v>50556</v>
      </c>
    </row>
    <row r="5634" spans="30:30" ht="14" thickBot="1" x14ac:dyDescent="0.2">
      <c r="AD5634" s="98">
        <f t="shared" si="294"/>
        <v>50557</v>
      </c>
    </row>
    <row r="5635" spans="30:30" ht="14" thickBot="1" x14ac:dyDescent="0.2">
      <c r="AD5635" s="98">
        <f t="shared" si="294"/>
        <v>50558</v>
      </c>
    </row>
    <row r="5636" spans="30:30" ht="14" thickBot="1" x14ac:dyDescent="0.2">
      <c r="AD5636" s="98">
        <f t="shared" si="294"/>
        <v>50559</v>
      </c>
    </row>
    <row r="5637" spans="30:30" ht="14" thickBot="1" x14ac:dyDescent="0.2">
      <c r="AD5637" s="98">
        <f t="shared" si="294"/>
        <v>50560</v>
      </c>
    </row>
    <row r="5638" spans="30:30" ht="14" thickBot="1" x14ac:dyDescent="0.2">
      <c r="AD5638" s="98">
        <f t="shared" si="294"/>
        <v>50561</v>
      </c>
    </row>
    <row r="5639" spans="30:30" ht="14" thickBot="1" x14ac:dyDescent="0.2">
      <c r="AD5639" s="98">
        <f t="shared" si="294"/>
        <v>50562</v>
      </c>
    </row>
    <row r="5640" spans="30:30" ht="14" thickBot="1" x14ac:dyDescent="0.2">
      <c r="AD5640" s="98">
        <f t="shared" si="294"/>
        <v>50563</v>
      </c>
    </row>
    <row r="5641" spans="30:30" ht="14" thickBot="1" x14ac:dyDescent="0.2">
      <c r="AD5641" s="98">
        <f t="shared" ref="AD5641:AD5704" si="295">AD5640+1</f>
        <v>50564</v>
      </c>
    </row>
    <row r="5642" spans="30:30" ht="14" thickBot="1" x14ac:dyDescent="0.2">
      <c r="AD5642" s="98">
        <f t="shared" si="295"/>
        <v>50565</v>
      </c>
    </row>
    <row r="5643" spans="30:30" ht="14" thickBot="1" x14ac:dyDescent="0.2">
      <c r="AD5643" s="98">
        <f t="shared" si="295"/>
        <v>50566</v>
      </c>
    </row>
    <row r="5644" spans="30:30" ht="14" thickBot="1" x14ac:dyDescent="0.2">
      <c r="AD5644" s="98">
        <f t="shared" si="295"/>
        <v>50567</v>
      </c>
    </row>
    <row r="5645" spans="30:30" ht="14" thickBot="1" x14ac:dyDescent="0.2">
      <c r="AD5645" s="98">
        <f t="shared" si="295"/>
        <v>50568</v>
      </c>
    </row>
    <row r="5646" spans="30:30" ht="14" thickBot="1" x14ac:dyDescent="0.2">
      <c r="AD5646" s="98">
        <f t="shared" si="295"/>
        <v>50569</v>
      </c>
    </row>
    <row r="5647" spans="30:30" ht="14" thickBot="1" x14ac:dyDescent="0.2">
      <c r="AD5647" s="98">
        <f t="shared" si="295"/>
        <v>50570</v>
      </c>
    </row>
    <row r="5648" spans="30:30" ht="14" thickBot="1" x14ac:dyDescent="0.2">
      <c r="AD5648" s="98">
        <f t="shared" si="295"/>
        <v>50571</v>
      </c>
    </row>
    <row r="5649" spans="30:30" ht="14" thickBot="1" x14ac:dyDescent="0.2">
      <c r="AD5649" s="98">
        <f t="shared" si="295"/>
        <v>50572</v>
      </c>
    </row>
    <row r="5650" spans="30:30" ht="14" thickBot="1" x14ac:dyDescent="0.2">
      <c r="AD5650" s="98">
        <f t="shared" si="295"/>
        <v>50573</v>
      </c>
    </row>
    <row r="5651" spans="30:30" ht="14" thickBot="1" x14ac:dyDescent="0.2">
      <c r="AD5651" s="98">
        <f t="shared" si="295"/>
        <v>50574</v>
      </c>
    </row>
    <row r="5652" spans="30:30" ht="14" thickBot="1" x14ac:dyDescent="0.2">
      <c r="AD5652" s="98">
        <f t="shared" si="295"/>
        <v>50575</v>
      </c>
    </row>
    <row r="5653" spans="30:30" ht="14" thickBot="1" x14ac:dyDescent="0.2">
      <c r="AD5653" s="98">
        <f t="shared" si="295"/>
        <v>50576</v>
      </c>
    </row>
    <row r="5654" spans="30:30" ht="14" thickBot="1" x14ac:dyDescent="0.2">
      <c r="AD5654" s="98">
        <f t="shared" si="295"/>
        <v>50577</v>
      </c>
    </row>
    <row r="5655" spans="30:30" ht="14" thickBot="1" x14ac:dyDescent="0.2">
      <c r="AD5655" s="98">
        <f t="shared" si="295"/>
        <v>50578</v>
      </c>
    </row>
    <row r="5656" spans="30:30" ht="14" thickBot="1" x14ac:dyDescent="0.2">
      <c r="AD5656" s="98">
        <f t="shared" si="295"/>
        <v>50579</v>
      </c>
    </row>
    <row r="5657" spans="30:30" ht="14" thickBot="1" x14ac:dyDescent="0.2">
      <c r="AD5657" s="98">
        <f t="shared" si="295"/>
        <v>50580</v>
      </c>
    </row>
    <row r="5658" spans="30:30" ht="14" thickBot="1" x14ac:dyDescent="0.2">
      <c r="AD5658" s="98">
        <f t="shared" si="295"/>
        <v>50581</v>
      </c>
    </row>
    <row r="5659" spans="30:30" ht="14" thickBot="1" x14ac:dyDescent="0.2">
      <c r="AD5659" s="98">
        <f t="shared" si="295"/>
        <v>50582</v>
      </c>
    </row>
    <row r="5660" spans="30:30" ht="14" thickBot="1" x14ac:dyDescent="0.2">
      <c r="AD5660" s="98">
        <f t="shared" si="295"/>
        <v>50583</v>
      </c>
    </row>
    <row r="5661" spans="30:30" ht="14" thickBot="1" x14ac:dyDescent="0.2">
      <c r="AD5661" s="98">
        <f t="shared" si="295"/>
        <v>50584</v>
      </c>
    </row>
    <row r="5662" spans="30:30" ht="14" thickBot="1" x14ac:dyDescent="0.2">
      <c r="AD5662" s="98">
        <f t="shared" si="295"/>
        <v>50585</v>
      </c>
    </row>
    <row r="5663" spans="30:30" ht="14" thickBot="1" x14ac:dyDescent="0.2">
      <c r="AD5663" s="98">
        <f t="shared" si="295"/>
        <v>50586</v>
      </c>
    </row>
    <row r="5664" spans="30:30" ht="14" thickBot="1" x14ac:dyDescent="0.2">
      <c r="AD5664" s="98">
        <f t="shared" si="295"/>
        <v>50587</v>
      </c>
    </row>
    <row r="5665" spans="30:30" ht="14" thickBot="1" x14ac:dyDescent="0.2">
      <c r="AD5665" s="98">
        <f t="shared" si="295"/>
        <v>50588</v>
      </c>
    </row>
    <row r="5666" spans="30:30" ht="14" thickBot="1" x14ac:dyDescent="0.2">
      <c r="AD5666" s="98">
        <f t="shared" si="295"/>
        <v>50589</v>
      </c>
    </row>
    <row r="5667" spans="30:30" ht="14" thickBot="1" x14ac:dyDescent="0.2">
      <c r="AD5667" s="98">
        <f t="shared" si="295"/>
        <v>50590</v>
      </c>
    </row>
    <row r="5668" spans="30:30" ht="14" thickBot="1" x14ac:dyDescent="0.2">
      <c r="AD5668" s="98">
        <f t="shared" si="295"/>
        <v>50591</v>
      </c>
    </row>
    <row r="5669" spans="30:30" ht="14" thickBot="1" x14ac:dyDescent="0.2">
      <c r="AD5669" s="98">
        <f t="shared" si="295"/>
        <v>50592</v>
      </c>
    </row>
    <row r="5670" spans="30:30" ht="14" thickBot="1" x14ac:dyDescent="0.2">
      <c r="AD5670" s="98">
        <f t="shared" si="295"/>
        <v>50593</v>
      </c>
    </row>
    <row r="5671" spans="30:30" ht="14" thickBot="1" x14ac:dyDescent="0.2">
      <c r="AD5671" s="98">
        <f t="shared" si="295"/>
        <v>50594</v>
      </c>
    </row>
    <row r="5672" spans="30:30" ht="14" thickBot="1" x14ac:dyDescent="0.2">
      <c r="AD5672" s="98">
        <f t="shared" si="295"/>
        <v>50595</v>
      </c>
    </row>
    <row r="5673" spans="30:30" ht="14" thickBot="1" x14ac:dyDescent="0.2">
      <c r="AD5673" s="98">
        <f t="shared" si="295"/>
        <v>50596</v>
      </c>
    </row>
    <row r="5674" spans="30:30" ht="14" thickBot="1" x14ac:dyDescent="0.2">
      <c r="AD5674" s="98">
        <f t="shared" si="295"/>
        <v>50597</v>
      </c>
    </row>
    <row r="5675" spans="30:30" ht="14" thickBot="1" x14ac:dyDescent="0.2">
      <c r="AD5675" s="98">
        <f t="shared" si="295"/>
        <v>50598</v>
      </c>
    </row>
    <row r="5676" spans="30:30" ht="14" thickBot="1" x14ac:dyDescent="0.2">
      <c r="AD5676" s="98">
        <f t="shared" si="295"/>
        <v>50599</v>
      </c>
    </row>
    <row r="5677" spans="30:30" ht="14" thickBot="1" x14ac:dyDescent="0.2">
      <c r="AD5677" s="98">
        <f t="shared" si="295"/>
        <v>50600</v>
      </c>
    </row>
    <row r="5678" spans="30:30" ht="14" thickBot="1" x14ac:dyDescent="0.2">
      <c r="AD5678" s="98">
        <f t="shared" si="295"/>
        <v>50601</v>
      </c>
    </row>
    <row r="5679" spans="30:30" ht="14" thickBot="1" x14ac:dyDescent="0.2">
      <c r="AD5679" s="98">
        <f t="shared" si="295"/>
        <v>50602</v>
      </c>
    </row>
    <row r="5680" spans="30:30" ht="14" thickBot="1" x14ac:dyDescent="0.2">
      <c r="AD5680" s="98">
        <f t="shared" si="295"/>
        <v>50603</v>
      </c>
    </row>
    <row r="5681" spans="30:30" ht="14" thickBot="1" x14ac:dyDescent="0.2">
      <c r="AD5681" s="98">
        <f t="shared" si="295"/>
        <v>50604</v>
      </c>
    </row>
    <row r="5682" spans="30:30" ht="14" thickBot="1" x14ac:dyDescent="0.2">
      <c r="AD5682" s="98">
        <f t="shared" si="295"/>
        <v>50605</v>
      </c>
    </row>
    <row r="5683" spans="30:30" ht="14" thickBot="1" x14ac:dyDescent="0.2">
      <c r="AD5683" s="98">
        <f t="shared" si="295"/>
        <v>50606</v>
      </c>
    </row>
    <row r="5684" spans="30:30" ht="14" thickBot="1" x14ac:dyDescent="0.2">
      <c r="AD5684" s="98">
        <f t="shared" si="295"/>
        <v>50607</v>
      </c>
    </row>
    <row r="5685" spans="30:30" ht="14" thickBot="1" x14ac:dyDescent="0.2">
      <c r="AD5685" s="98">
        <f t="shared" si="295"/>
        <v>50608</v>
      </c>
    </row>
    <row r="5686" spans="30:30" ht="14" thickBot="1" x14ac:dyDescent="0.2">
      <c r="AD5686" s="98">
        <f t="shared" si="295"/>
        <v>50609</v>
      </c>
    </row>
    <row r="5687" spans="30:30" ht="14" thickBot="1" x14ac:dyDescent="0.2">
      <c r="AD5687" s="98">
        <f t="shared" si="295"/>
        <v>50610</v>
      </c>
    </row>
    <row r="5688" spans="30:30" ht="14" thickBot="1" x14ac:dyDescent="0.2">
      <c r="AD5688" s="98">
        <f t="shared" si="295"/>
        <v>50611</v>
      </c>
    </row>
    <row r="5689" spans="30:30" ht="14" thickBot="1" x14ac:dyDescent="0.2">
      <c r="AD5689" s="98">
        <f t="shared" si="295"/>
        <v>50612</v>
      </c>
    </row>
    <row r="5690" spans="30:30" ht="14" thickBot="1" x14ac:dyDescent="0.2">
      <c r="AD5690" s="98">
        <f t="shared" si="295"/>
        <v>50613</v>
      </c>
    </row>
    <row r="5691" spans="30:30" ht="14" thickBot="1" x14ac:dyDescent="0.2">
      <c r="AD5691" s="98">
        <f t="shared" si="295"/>
        <v>50614</v>
      </c>
    </row>
    <row r="5692" spans="30:30" ht="14" thickBot="1" x14ac:dyDescent="0.2">
      <c r="AD5692" s="98">
        <f t="shared" si="295"/>
        <v>50615</v>
      </c>
    </row>
    <row r="5693" spans="30:30" ht="14" thickBot="1" x14ac:dyDescent="0.2">
      <c r="AD5693" s="98">
        <f t="shared" si="295"/>
        <v>50616</v>
      </c>
    </row>
    <row r="5694" spans="30:30" ht="14" thickBot="1" x14ac:dyDescent="0.2">
      <c r="AD5694" s="98">
        <f t="shared" si="295"/>
        <v>50617</v>
      </c>
    </row>
    <row r="5695" spans="30:30" ht="14" thickBot="1" x14ac:dyDescent="0.2">
      <c r="AD5695" s="98">
        <f t="shared" si="295"/>
        <v>50618</v>
      </c>
    </row>
    <row r="5696" spans="30:30" ht="14" thickBot="1" x14ac:dyDescent="0.2">
      <c r="AD5696" s="98">
        <f t="shared" si="295"/>
        <v>50619</v>
      </c>
    </row>
    <row r="5697" spans="30:30" ht="14" thickBot="1" x14ac:dyDescent="0.2">
      <c r="AD5697" s="98">
        <f t="shared" si="295"/>
        <v>50620</v>
      </c>
    </row>
    <row r="5698" spans="30:30" ht="14" thickBot="1" x14ac:dyDescent="0.2">
      <c r="AD5698" s="98">
        <f t="shared" si="295"/>
        <v>50621</v>
      </c>
    </row>
    <row r="5699" spans="30:30" ht="14" thickBot="1" x14ac:dyDescent="0.2">
      <c r="AD5699" s="98">
        <f t="shared" si="295"/>
        <v>50622</v>
      </c>
    </row>
    <row r="5700" spans="30:30" ht="14" thickBot="1" x14ac:dyDescent="0.2">
      <c r="AD5700" s="98">
        <f t="shared" si="295"/>
        <v>50623</v>
      </c>
    </row>
    <row r="5701" spans="30:30" ht="14" thickBot="1" x14ac:dyDescent="0.2">
      <c r="AD5701" s="98">
        <f t="shared" si="295"/>
        <v>50624</v>
      </c>
    </row>
    <row r="5702" spans="30:30" ht="14" thickBot="1" x14ac:dyDescent="0.2">
      <c r="AD5702" s="98">
        <f t="shared" si="295"/>
        <v>50625</v>
      </c>
    </row>
    <row r="5703" spans="30:30" ht="14" thickBot="1" x14ac:dyDescent="0.2">
      <c r="AD5703" s="98">
        <f t="shared" si="295"/>
        <v>50626</v>
      </c>
    </row>
    <row r="5704" spans="30:30" ht="14" thickBot="1" x14ac:dyDescent="0.2">
      <c r="AD5704" s="98">
        <f t="shared" si="295"/>
        <v>50627</v>
      </c>
    </row>
    <row r="5705" spans="30:30" ht="14" thickBot="1" x14ac:dyDescent="0.2">
      <c r="AD5705" s="98">
        <f t="shared" ref="AD5705:AD5768" si="296">AD5704+1</f>
        <v>50628</v>
      </c>
    </row>
    <row r="5706" spans="30:30" ht="14" thickBot="1" x14ac:dyDescent="0.2">
      <c r="AD5706" s="98">
        <f t="shared" si="296"/>
        <v>50629</v>
      </c>
    </row>
    <row r="5707" spans="30:30" ht="14" thickBot="1" x14ac:dyDescent="0.2">
      <c r="AD5707" s="98">
        <f t="shared" si="296"/>
        <v>50630</v>
      </c>
    </row>
    <row r="5708" spans="30:30" ht="14" thickBot="1" x14ac:dyDescent="0.2">
      <c r="AD5708" s="98">
        <f t="shared" si="296"/>
        <v>50631</v>
      </c>
    </row>
    <row r="5709" spans="30:30" ht="14" thickBot="1" x14ac:dyDescent="0.2">
      <c r="AD5709" s="98">
        <f t="shared" si="296"/>
        <v>50632</v>
      </c>
    </row>
    <row r="5710" spans="30:30" ht="14" thickBot="1" x14ac:dyDescent="0.2">
      <c r="AD5710" s="98">
        <f t="shared" si="296"/>
        <v>50633</v>
      </c>
    </row>
    <row r="5711" spans="30:30" ht="14" thickBot="1" x14ac:dyDescent="0.2">
      <c r="AD5711" s="98">
        <f t="shared" si="296"/>
        <v>50634</v>
      </c>
    </row>
    <row r="5712" spans="30:30" ht="14" thickBot="1" x14ac:dyDescent="0.2">
      <c r="AD5712" s="98">
        <f t="shared" si="296"/>
        <v>50635</v>
      </c>
    </row>
    <row r="5713" spans="30:30" ht="14" thickBot="1" x14ac:dyDescent="0.2">
      <c r="AD5713" s="98">
        <f t="shared" si="296"/>
        <v>50636</v>
      </c>
    </row>
    <row r="5714" spans="30:30" ht="14" thickBot="1" x14ac:dyDescent="0.2">
      <c r="AD5714" s="98">
        <f t="shared" si="296"/>
        <v>50637</v>
      </c>
    </row>
    <row r="5715" spans="30:30" ht="14" thickBot="1" x14ac:dyDescent="0.2">
      <c r="AD5715" s="98">
        <f t="shared" si="296"/>
        <v>50638</v>
      </c>
    </row>
    <row r="5716" spans="30:30" ht="14" thickBot="1" x14ac:dyDescent="0.2">
      <c r="AD5716" s="98">
        <f t="shared" si="296"/>
        <v>50639</v>
      </c>
    </row>
    <row r="5717" spans="30:30" ht="14" thickBot="1" x14ac:dyDescent="0.2">
      <c r="AD5717" s="98">
        <f t="shared" si="296"/>
        <v>50640</v>
      </c>
    </row>
    <row r="5718" spans="30:30" ht="14" thickBot="1" x14ac:dyDescent="0.2">
      <c r="AD5718" s="98">
        <f t="shared" si="296"/>
        <v>50641</v>
      </c>
    </row>
    <row r="5719" spans="30:30" ht="14" thickBot="1" x14ac:dyDescent="0.2">
      <c r="AD5719" s="98">
        <f t="shared" si="296"/>
        <v>50642</v>
      </c>
    </row>
    <row r="5720" spans="30:30" ht="14" thickBot="1" x14ac:dyDescent="0.2">
      <c r="AD5720" s="98">
        <f t="shared" si="296"/>
        <v>50643</v>
      </c>
    </row>
    <row r="5721" spans="30:30" ht="14" thickBot="1" x14ac:dyDescent="0.2">
      <c r="AD5721" s="98">
        <f t="shared" si="296"/>
        <v>50644</v>
      </c>
    </row>
    <row r="5722" spans="30:30" ht="14" thickBot="1" x14ac:dyDescent="0.2">
      <c r="AD5722" s="98">
        <f t="shared" si="296"/>
        <v>50645</v>
      </c>
    </row>
    <row r="5723" spans="30:30" ht="14" thickBot="1" x14ac:dyDescent="0.2">
      <c r="AD5723" s="98">
        <f t="shared" si="296"/>
        <v>50646</v>
      </c>
    </row>
    <row r="5724" spans="30:30" ht="14" thickBot="1" x14ac:dyDescent="0.2">
      <c r="AD5724" s="98">
        <f t="shared" si="296"/>
        <v>50647</v>
      </c>
    </row>
    <row r="5725" spans="30:30" ht="14" thickBot="1" x14ac:dyDescent="0.2">
      <c r="AD5725" s="98">
        <f t="shared" si="296"/>
        <v>50648</v>
      </c>
    </row>
    <row r="5726" spans="30:30" ht="14" thickBot="1" x14ac:dyDescent="0.2">
      <c r="AD5726" s="98">
        <f t="shared" si="296"/>
        <v>50649</v>
      </c>
    </row>
    <row r="5727" spans="30:30" ht="14" thickBot="1" x14ac:dyDescent="0.2">
      <c r="AD5727" s="98">
        <f t="shared" si="296"/>
        <v>50650</v>
      </c>
    </row>
    <row r="5728" spans="30:30" ht="14" thickBot="1" x14ac:dyDescent="0.2">
      <c r="AD5728" s="98">
        <f t="shared" si="296"/>
        <v>50651</v>
      </c>
    </row>
    <row r="5729" spans="30:30" ht="14" thickBot="1" x14ac:dyDescent="0.2">
      <c r="AD5729" s="98">
        <f t="shared" si="296"/>
        <v>50652</v>
      </c>
    </row>
    <row r="5730" spans="30:30" ht="14" thickBot="1" x14ac:dyDescent="0.2">
      <c r="AD5730" s="98">
        <f t="shared" si="296"/>
        <v>50653</v>
      </c>
    </row>
    <row r="5731" spans="30:30" ht="14" thickBot="1" x14ac:dyDescent="0.2">
      <c r="AD5731" s="98">
        <f t="shared" si="296"/>
        <v>50654</v>
      </c>
    </row>
    <row r="5732" spans="30:30" ht="14" thickBot="1" x14ac:dyDescent="0.2">
      <c r="AD5732" s="98">
        <f t="shared" si="296"/>
        <v>50655</v>
      </c>
    </row>
    <row r="5733" spans="30:30" ht="14" thickBot="1" x14ac:dyDescent="0.2">
      <c r="AD5733" s="98">
        <f t="shared" si="296"/>
        <v>50656</v>
      </c>
    </row>
    <row r="5734" spans="30:30" ht="14" thickBot="1" x14ac:dyDescent="0.2">
      <c r="AD5734" s="98">
        <f t="shared" si="296"/>
        <v>50657</v>
      </c>
    </row>
    <row r="5735" spans="30:30" ht="14" thickBot="1" x14ac:dyDescent="0.2">
      <c r="AD5735" s="98">
        <f t="shared" si="296"/>
        <v>50658</v>
      </c>
    </row>
    <row r="5736" spans="30:30" ht="14" thickBot="1" x14ac:dyDescent="0.2">
      <c r="AD5736" s="98">
        <f t="shared" si="296"/>
        <v>50659</v>
      </c>
    </row>
    <row r="5737" spans="30:30" ht="14" thickBot="1" x14ac:dyDescent="0.2">
      <c r="AD5737" s="98">
        <f t="shared" si="296"/>
        <v>50660</v>
      </c>
    </row>
    <row r="5738" spans="30:30" ht="14" thickBot="1" x14ac:dyDescent="0.2">
      <c r="AD5738" s="98">
        <f t="shared" si="296"/>
        <v>50661</v>
      </c>
    </row>
    <row r="5739" spans="30:30" ht="14" thickBot="1" x14ac:dyDescent="0.2">
      <c r="AD5739" s="98">
        <f t="shared" si="296"/>
        <v>50662</v>
      </c>
    </row>
    <row r="5740" spans="30:30" ht="14" thickBot="1" x14ac:dyDescent="0.2">
      <c r="AD5740" s="98">
        <f t="shared" si="296"/>
        <v>50663</v>
      </c>
    </row>
    <row r="5741" spans="30:30" ht="14" thickBot="1" x14ac:dyDescent="0.2">
      <c r="AD5741" s="98">
        <f t="shared" si="296"/>
        <v>50664</v>
      </c>
    </row>
    <row r="5742" spans="30:30" ht="14" thickBot="1" x14ac:dyDescent="0.2">
      <c r="AD5742" s="98">
        <f t="shared" si="296"/>
        <v>50665</v>
      </c>
    </row>
    <row r="5743" spans="30:30" ht="14" thickBot="1" x14ac:dyDescent="0.2">
      <c r="AD5743" s="98">
        <f t="shared" si="296"/>
        <v>50666</v>
      </c>
    </row>
    <row r="5744" spans="30:30" ht="14" thickBot="1" x14ac:dyDescent="0.2">
      <c r="AD5744" s="98">
        <f t="shared" si="296"/>
        <v>50667</v>
      </c>
    </row>
    <row r="5745" spans="30:30" ht="14" thickBot="1" x14ac:dyDescent="0.2">
      <c r="AD5745" s="98">
        <f t="shared" si="296"/>
        <v>50668</v>
      </c>
    </row>
    <row r="5746" spans="30:30" ht="14" thickBot="1" x14ac:dyDescent="0.2">
      <c r="AD5746" s="98">
        <f t="shared" si="296"/>
        <v>50669</v>
      </c>
    </row>
    <row r="5747" spans="30:30" ht="14" thickBot="1" x14ac:dyDescent="0.2">
      <c r="AD5747" s="98">
        <f t="shared" si="296"/>
        <v>50670</v>
      </c>
    </row>
    <row r="5748" spans="30:30" ht="14" thickBot="1" x14ac:dyDescent="0.2">
      <c r="AD5748" s="98">
        <f t="shared" si="296"/>
        <v>50671</v>
      </c>
    </row>
    <row r="5749" spans="30:30" ht="14" thickBot="1" x14ac:dyDescent="0.2">
      <c r="AD5749" s="98">
        <f t="shared" si="296"/>
        <v>50672</v>
      </c>
    </row>
    <row r="5750" spans="30:30" ht="14" thickBot="1" x14ac:dyDescent="0.2">
      <c r="AD5750" s="98">
        <f t="shared" si="296"/>
        <v>50673</v>
      </c>
    </row>
    <row r="5751" spans="30:30" ht="14" thickBot="1" x14ac:dyDescent="0.2">
      <c r="AD5751" s="98">
        <f t="shared" si="296"/>
        <v>50674</v>
      </c>
    </row>
    <row r="5752" spans="30:30" ht="14" thickBot="1" x14ac:dyDescent="0.2">
      <c r="AD5752" s="98">
        <f t="shared" si="296"/>
        <v>50675</v>
      </c>
    </row>
    <row r="5753" spans="30:30" ht="14" thickBot="1" x14ac:dyDescent="0.2">
      <c r="AD5753" s="98">
        <f t="shared" si="296"/>
        <v>50676</v>
      </c>
    </row>
    <row r="5754" spans="30:30" ht="14" thickBot="1" x14ac:dyDescent="0.2">
      <c r="AD5754" s="98">
        <f t="shared" si="296"/>
        <v>50677</v>
      </c>
    </row>
    <row r="5755" spans="30:30" ht="14" thickBot="1" x14ac:dyDescent="0.2">
      <c r="AD5755" s="98">
        <f t="shared" si="296"/>
        <v>50678</v>
      </c>
    </row>
    <row r="5756" spans="30:30" ht="14" thickBot="1" x14ac:dyDescent="0.2">
      <c r="AD5756" s="98">
        <f t="shared" si="296"/>
        <v>50679</v>
      </c>
    </row>
    <row r="5757" spans="30:30" ht="14" thickBot="1" x14ac:dyDescent="0.2">
      <c r="AD5757" s="98">
        <f t="shared" si="296"/>
        <v>50680</v>
      </c>
    </row>
    <row r="5758" spans="30:30" ht="14" thickBot="1" x14ac:dyDescent="0.2">
      <c r="AD5758" s="98">
        <f t="shared" si="296"/>
        <v>50681</v>
      </c>
    </row>
    <row r="5759" spans="30:30" ht="14" thickBot="1" x14ac:dyDescent="0.2">
      <c r="AD5759" s="98">
        <f t="shared" si="296"/>
        <v>50682</v>
      </c>
    </row>
    <row r="5760" spans="30:30" ht="14" thickBot="1" x14ac:dyDescent="0.2">
      <c r="AD5760" s="98">
        <f t="shared" si="296"/>
        <v>50683</v>
      </c>
    </row>
    <row r="5761" spans="30:30" ht="14" thickBot="1" x14ac:dyDescent="0.2">
      <c r="AD5761" s="98">
        <f t="shared" si="296"/>
        <v>50684</v>
      </c>
    </row>
    <row r="5762" spans="30:30" ht="14" thickBot="1" x14ac:dyDescent="0.2">
      <c r="AD5762" s="98">
        <f t="shared" si="296"/>
        <v>50685</v>
      </c>
    </row>
    <row r="5763" spans="30:30" ht="14" thickBot="1" x14ac:dyDescent="0.2">
      <c r="AD5763" s="98">
        <f t="shared" si="296"/>
        <v>50686</v>
      </c>
    </row>
    <row r="5764" spans="30:30" ht="14" thickBot="1" x14ac:dyDescent="0.2">
      <c r="AD5764" s="98">
        <f t="shared" si="296"/>
        <v>50687</v>
      </c>
    </row>
    <row r="5765" spans="30:30" ht="14" thickBot="1" x14ac:dyDescent="0.2">
      <c r="AD5765" s="98">
        <f t="shared" si="296"/>
        <v>50688</v>
      </c>
    </row>
    <row r="5766" spans="30:30" ht="14" thickBot="1" x14ac:dyDescent="0.2">
      <c r="AD5766" s="98">
        <f t="shared" si="296"/>
        <v>50689</v>
      </c>
    </row>
    <row r="5767" spans="30:30" ht="14" thickBot="1" x14ac:dyDescent="0.2">
      <c r="AD5767" s="98">
        <f t="shared" si="296"/>
        <v>50690</v>
      </c>
    </row>
    <row r="5768" spans="30:30" ht="14" thickBot="1" x14ac:dyDescent="0.2">
      <c r="AD5768" s="98">
        <f t="shared" si="296"/>
        <v>50691</v>
      </c>
    </row>
    <row r="5769" spans="30:30" ht="14" thickBot="1" x14ac:dyDescent="0.2">
      <c r="AD5769" s="98">
        <f t="shared" ref="AD5769:AD5832" si="297">AD5768+1</f>
        <v>50692</v>
      </c>
    </row>
    <row r="5770" spans="30:30" ht="14" thickBot="1" x14ac:dyDescent="0.2">
      <c r="AD5770" s="98">
        <f t="shared" si="297"/>
        <v>50693</v>
      </c>
    </row>
    <row r="5771" spans="30:30" ht="14" thickBot="1" x14ac:dyDescent="0.2">
      <c r="AD5771" s="98">
        <f t="shared" si="297"/>
        <v>50694</v>
      </c>
    </row>
    <row r="5772" spans="30:30" ht="14" thickBot="1" x14ac:dyDescent="0.2">
      <c r="AD5772" s="98">
        <f t="shared" si="297"/>
        <v>50695</v>
      </c>
    </row>
    <row r="5773" spans="30:30" ht="14" thickBot="1" x14ac:dyDescent="0.2">
      <c r="AD5773" s="98">
        <f t="shared" si="297"/>
        <v>50696</v>
      </c>
    </row>
    <row r="5774" spans="30:30" ht="14" thickBot="1" x14ac:dyDescent="0.2">
      <c r="AD5774" s="98">
        <f t="shared" si="297"/>
        <v>50697</v>
      </c>
    </row>
    <row r="5775" spans="30:30" ht="14" thickBot="1" x14ac:dyDescent="0.2">
      <c r="AD5775" s="98">
        <f t="shared" si="297"/>
        <v>50698</v>
      </c>
    </row>
    <row r="5776" spans="30:30" ht="14" thickBot="1" x14ac:dyDescent="0.2">
      <c r="AD5776" s="98">
        <f t="shared" si="297"/>
        <v>50699</v>
      </c>
    </row>
    <row r="5777" spans="30:30" ht="14" thickBot="1" x14ac:dyDescent="0.2">
      <c r="AD5777" s="98">
        <f t="shared" si="297"/>
        <v>50700</v>
      </c>
    </row>
    <row r="5778" spans="30:30" ht="14" thickBot="1" x14ac:dyDescent="0.2">
      <c r="AD5778" s="98">
        <f t="shared" si="297"/>
        <v>50701</v>
      </c>
    </row>
    <row r="5779" spans="30:30" ht="14" thickBot="1" x14ac:dyDescent="0.2">
      <c r="AD5779" s="98">
        <f t="shared" si="297"/>
        <v>50702</v>
      </c>
    </row>
    <row r="5780" spans="30:30" ht="14" thickBot="1" x14ac:dyDescent="0.2">
      <c r="AD5780" s="98">
        <f t="shared" si="297"/>
        <v>50703</v>
      </c>
    </row>
    <row r="5781" spans="30:30" ht="14" thickBot="1" x14ac:dyDescent="0.2">
      <c r="AD5781" s="98">
        <f t="shared" si="297"/>
        <v>50704</v>
      </c>
    </row>
    <row r="5782" spans="30:30" ht="14" thickBot="1" x14ac:dyDescent="0.2">
      <c r="AD5782" s="98">
        <f t="shared" si="297"/>
        <v>50705</v>
      </c>
    </row>
    <row r="5783" spans="30:30" ht="14" thickBot="1" x14ac:dyDescent="0.2">
      <c r="AD5783" s="98">
        <f t="shared" si="297"/>
        <v>50706</v>
      </c>
    </row>
    <row r="5784" spans="30:30" ht="14" thickBot="1" x14ac:dyDescent="0.2">
      <c r="AD5784" s="98">
        <f t="shared" si="297"/>
        <v>50707</v>
      </c>
    </row>
    <row r="5785" spans="30:30" ht="14" thickBot="1" x14ac:dyDescent="0.2">
      <c r="AD5785" s="98">
        <f t="shared" si="297"/>
        <v>50708</v>
      </c>
    </row>
    <row r="5786" spans="30:30" ht="14" thickBot="1" x14ac:dyDescent="0.2">
      <c r="AD5786" s="98">
        <f t="shared" si="297"/>
        <v>50709</v>
      </c>
    </row>
    <row r="5787" spans="30:30" ht="14" thickBot="1" x14ac:dyDescent="0.2">
      <c r="AD5787" s="98">
        <f t="shared" si="297"/>
        <v>50710</v>
      </c>
    </row>
    <row r="5788" spans="30:30" ht="14" thickBot="1" x14ac:dyDescent="0.2">
      <c r="AD5788" s="98">
        <f t="shared" si="297"/>
        <v>50711</v>
      </c>
    </row>
    <row r="5789" spans="30:30" ht="14" thickBot="1" x14ac:dyDescent="0.2">
      <c r="AD5789" s="98">
        <f t="shared" si="297"/>
        <v>50712</v>
      </c>
    </row>
    <row r="5790" spans="30:30" ht="14" thickBot="1" x14ac:dyDescent="0.2">
      <c r="AD5790" s="98">
        <f t="shared" si="297"/>
        <v>50713</v>
      </c>
    </row>
    <row r="5791" spans="30:30" ht="14" thickBot="1" x14ac:dyDescent="0.2">
      <c r="AD5791" s="98">
        <f t="shared" si="297"/>
        <v>50714</v>
      </c>
    </row>
    <row r="5792" spans="30:30" ht="14" thickBot="1" x14ac:dyDescent="0.2">
      <c r="AD5792" s="98">
        <f t="shared" si="297"/>
        <v>50715</v>
      </c>
    </row>
    <row r="5793" spans="30:30" ht="14" thickBot="1" x14ac:dyDescent="0.2">
      <c r="AD5793" s="98">
        <f t="shared" si="297"/>
        <v>50716</v>
      </c>
    </row>
    <row r="5794" spans="30:30" ht="14" thickBot="1" x14ac:dyDescent="0.2">
      <c r="AD5794" s="98">
        <f t="shared" si="297"/>
        <v>50717</v>
      </c>
    </row>
    <row r="5795" spans="30:30" ht="14" thickBot="1" x14ac:dyDescent="0.2">
      <c r="AD5795" s="98">
        <f t="shared" si="297"/>
        <v>50718</v>
      </c>
    </row>
    <row r="5796" spans="30:30" ht="14" thickBot="1" x14ac:dyDescent="0.2">
      <c r="AD5796" s="98">
        <f t="shared" si="297"/>
        <v>50719</v>
      </c>
    </row>
    <row r="5797" spans="30:30" ht="14" thickBot="1" x14ac:dyDescent="0.2">
      <c r="AD5797" s="98">
        <f t="shared" si="297"/>
        <v>50720</v>
      </c>
    </row>
    <row r="5798" spans="30:30" ht="14" thickBot="1" x14ac:dyDescent="0.2">
      <c r="AD5798" s="98">
        <f t="shared" si="297"/>
        <v>50721</v>
      </c>
    </row>
    <row r="5799" spans="30:30" ht="14" thickBot="1" x14ac:dyDescent="0.2">
      <c r="AD5799" s="98">
        <f t="shared" si="297"/>
        <v>50722</v>
      </c>
    </row>
    <row r="5800" spans="30:30" ht="14" thickBot="1" x14ac:dyDescent="0.2">
      <c r="AD5800" s="98">
        <f t="shared" si="297"/>
        <v>50723</v>
      </c>
    </row>
    <row r="5801" spans="30:30" ht="14" thickBot="1" x14ac:dyDescent="0.2">
      <c r="AD5801" s="98">
        <f t="shared" si="297"/>
        <v>50724</v>
      </c>
    </row>
    <row r="5802" spans="30:30" ht="14" thickBot="1" x14ac:dyDescent="0.2">
      <c r="AD5802" s="98">
        <f t="shared" si="297"/>
        <v>50725</v>
      </c>
    </row>
    <row r="5803" spans="30:30" ht="14" thickBot="1" x14ac:dyDescent="0.2">
      <c r="AD5803" s="98">
        <f t="shared" si="297"/>
        <v>50726</v>
      </c>
    </row>
    <row r="5804" spans="30:30" ht="14" thickBot="1" x14ac:dyDescent="0.2">
      <c r="AD5804" s="98">
        <f t="shared" si="297"/>
        <v>50727</v>
      </c>
    </row>
    <row r="5805" spans="30:30" ht="14" thickBot="1" x14ac:dyDescent="0.2">
      <c r="AD5805" s="98">
        <f t="shared" si="297"/>
        <v>50728</v>
      </c>
    </row>
    <row r="5806" spans="30:30" ht="14" thickBot="1" x14ac:dyDescent="0.2">
      <c r="AD5806" s="98">
        <f t="shared" si="297"/>
        <v>50729</v>
      </c>
    </row>
    <row r="5807" spans="30:30" ht="14" thickBot="1" x14ac:dyDescent="0.2">
      <c r="AD5807" s="98">
        <f t="shared" si="297"/>
        <v>50730</v>
      </c>
    </row>
    <row r="5808" spans="30:30" ht="14" thickBot="1" x14ac:dyDescent="0.2">
      <c r="AD5808" s="98">
        <f t="shared" si="297"/>
        <v>50731</v>
      </c>
    </row>
    <row r="5809" spans="30:30" ht="14" thickBot="1" x14ac:dyDescent="0.2">
      <c r="AD5809" s="98">
        <f t="shared" si="297"/>
        <v>50732</v>
      </c>
    </row>
    <row r="5810" spans="30:30" ht="14" thickBot="1" x14ac:dyDescent="0.2">
      <c r="AD5810" s="98">
        <f t="shared" si="297"/>
        <v>50733</v>
      </c>
    </row>
    <row r="5811" spans="30:30" ht="14" thickBot="1" x14ac:dyDescent="0.2">
      <c r="AD5811" s="98">
        <f t="shared" si="297"/>
        <v>50734</v>
      </c>
    </row>
    <row r="5812" spans="30:30" ht="14" thickBot="1" x14ac:dyDescent="0.2">
      <c r="AD5812" s="98">
        <f t="shared" si="297"/>
        <v>50735</v>
      </c>
    </row>
    <row r="5813" spans="30:30" ht="14" thickBot="1" x14ac:dyDescent="0.2">
      <c r="AD5813" s="98">
        <f t="shared" si="297"/>
        <v>50736</v>
      </c>
    </row>
    <row r="5814" spans="30:30" ht="14" thickBot="1" x14ac:dyDescent="0.2">
      <c r="AD5814" s="98">
        <f t="shared" si="297"/>
        <v>50737</v>
      </c>
    </row>
    <row r="5815" spans="30:30" ht="14" thickBot="1" x14ac:dyDescent="0.2">
      <c r="AD5815" s="98">
        <f t="shared" si="297"/>
        <v>50738</v>
      </c>
    </row>
    <row r="5816" spans="30:30" ht="14" thickBot="1" x14ac:dyDescent="0.2">
      <c r="AD5816" s="98">
        <f t="shared" si="297"/>
        <v>50739</v>
      </c>
    </row>
    <row r="5817" spans="30:30" ht="14" thickBot="1" x14ac:dyDescent="0.2">
      <c r="AD5817" s="98">
        <f t="shared" si="297"/>
        <v>50740</v>
      </c>
    </row>
    <row r="5818" spans="30:30" ht="14" thickBot="1" x14ac:dyDescent="0.2">
      <c r="AD5818" s="98">
        <f t="shared" si="297"/>
        <v>50741</v>
      </c>
    </row>
    <row r="5819" spans="30:30" ht="14" thickBot="1" x14ac:dyDescent="0.2">
      <c r="AD5819" s="98">
        <f t="shared" si="297"/>
        <v>50742</v>
      </c>
    </row>
    <row r="5820" spans="30:30" ht="14" thickBot="1" x14ac:dyDescent="0.2">
      <c r="AD5820" s="98">
        <f t="shared" si="297"/>
        <v>50743</v>
      </c>
    </row>
    <row r="5821" spans="30:30" ht="14" thickBot="1" x14ac:dyDescent="0.2">
      <c r="AD5821" s="98">
        <f t="shared" si="297"/>
        <v>50744</v>
      </c>
    </row>
    <row r="5822" spans="30:30" ht="14" thickBot="1" x14ac:dyDescent="0.2">
      <c r="AD5822" s="98">
        <f t="shared" si="297"/>
        <v>50745</v>
      </c>
    </row>
    <row r="5823" spans="30:30" ht="14" thickBot="1" x14ac:dyDescent="0.2">
      <c r="AD5823" s="98">
        <f t="shared" si="297"/>
        <v>50746</v>
      </c>
    </row>
    <row r="5824" spans="30:30" ht="14" thickBot="1" x14ac:dyDescent="0.2">
      <c r="AD5824" s="98">
        <f t="shared" si="297"/>
        <v>50747</v>
      </c>
    </row>
    <row r="5825" spans="30:30" ht="14" thickBot="1" x14ac:dyDescent="0.2">
      <c r="AD5825" s="98">
        <f t="shared" si="297"/>
        <v>50748</v>
      </c>
    </row>
    <row r="5826" spans="30:30" ht="14" thickBot="1" x14ac:dyDescent="0.2">
      <c r="AD5826" s="98">
        <f t="shared" si="297"/>
        <v>50749</v>
      </c>
    </row>
    <row r="5827" spans="30:30" ht="14" thickBot="1" x14ac:dyDescent="0.2">
      <c r="AD5827" s="98">
        <f t="shared" si="297"/>
        <v>50750</v>
      </c>
    </row>
    <row r="5828" spans="30:30" ht="14" thickBot="1" x14ac:dyDescent="0.2">
      <c r="AD5828" s="98">
        <f t="shared" si="297"/>
        <v>50751</v>
      </c>
    </row>
    <row r="5829" spans="30:30" ht="14" thickBot="1" x14ac:dyDescent="0.2">
      <c r="AD5829" s="98">
        <f t="shared" si="297"/>
        <v>50752</v>
      </c>
    </row>
    <row r="5830" spans="30:30" ht="14" thickBot="1" x14ac:dyDescent="0.2">
      <c r="AD5830" s="98">
        <f t="shared" si="297"/>
        <v>50753</v>
      </c>
    </row>
    <row r="5831" spans="30:30" ht="14" thickBot="1" x14ac:dyDescent="0.2">
      <c r="AD5831" s="98">
        <f t="shared" si="297"/>
        <v>50754</v>
      </c>
    </row>
    <row r="5832" spans="30:30" ht="14" thickBot="1" x14ac:dyDescent="0.2">
      <c r="AD5832" s="98">
        <f t="shared" si="297"/>
        <v>50755</v>
      </c>
    </row>
    <row r="5833" spans="30:30" ht="14" thickBot="1" x14ac:dyDescent="0.2">
      <c r="AD5833" s="98">
        <f t="shared" ref="AD5833:AD5896" si="298">AD5832+1</f>
        <v>50756</v>
      </c>
    </row>
    <row r="5834" spans="30:30" ht="14" thickBot="1" x14ac:dyDescent="0.2">
      <c r="AD5834" s="98">
        <f t="shared" si="298"/>
        <v>50757</v>
      </c>
    </row>
    <row r="5835" spans="30:30" ht="14" thickBot="1" x14ac:dyDescent="0.2">
      <c r="AD5835" s="98">
        <f t="shared" si="298"/>
        <v>50758</v>
      </c>
    </row>
    <row r="5836" spans="30:30" ht="14" thickBot="1" x14ac:dyDescent="0.2">
      <c r="AD5836" s="98">
        <f t="shared" si="298"/>
        <v>50759</v>
      </c>
    </row>
    <row r="5837" spans="30:30" ht="14" thickBot="1" x14ac:dyDescent="0.2">
      <c r="AD5837" s="98">
        <f t="shared" si="298"/>
        <v>50760</v>
      </c>
    </row>
    <row r="5838" spans="30:30" ht="14" thickBot="1" x14ac:dyDescent="0.2">
      <c r="AD5838" s="98">
        <f t="shared" si="298"/>
        <v>50761</v>
      </c>
    </row>
    <row r="5839" spans="30:30" ht="14" thickBot="1" x14ac:dyDescent="0.2">
      <c r="AD5839" s="98">
        <f t="shared" si="298"/>
        <v>50762</v>
      </c>
    </row>
    <row r="5840" spans="30:30" ht="14" thickBot="1" x14ac:dyDescent="0.2">
      <c r="AD5840" s="98">
        <f t="shared" si="298"/>
        <v>50763</v>
      </c>
    </row>
    <row r="5841" spans="30:30" ht="14" thickBot="1" x14ac:dyDescent="0.2">
      <c r="AD5841" s="98">
        <f t="shared" si="298"/>
        <v>50764</v>
      </c>
    </row>
    <row r="5842" spans="30:30" ht="14" thickBot="1" x14ac:dyDescent="0.2">
      <c r="AD5842" s="98">
        <f t="shared" si="298"/>
        <v>50765</v>
      </c>
    </row>
    <row r="5843" spans="30:30" ht="14" thickBot="1" x14ac:dyDescent="0.2">
      <c r="AD5843" s="98">
        <f t="shared" si="298"/>
        <v>50766</v>
      </c>
    </row>
    <row r="5844" spans="30:30" ht="14" thickBot="1" x14ac:dyDescent="0.2">
      <c r="AD5844" s="98">
        <f t="shared" si="298"/>
        <v>50767</v>
      </c>
    </row>
    <row r="5845" spans="30:30" ht="14" thickBot="1" x14ac:dyDescent="0.2">
      <c r="AD5845" s="98">
        <f t="shared" si="298"/>
        <v>50768</v>
      </c>
    </row>
    <row r="5846" spans="30:30" ht="14" thickBot="1" x14ac:dyDescent="0.2">
      <c r="AD5846" s="98">
        <f t="shared" si="298"/>
        <v>50769</v>
      </c>
    </row>
    <row r="5847" spans="30:30" ht="14" thickBot="1" x14ac:dyDescent="0.2">
      <c r="AD5847" s="98">
        <f t="shared" si="298"/>
        <v>50770</v>
      </c>
    </row>
    <row r="5848" spans="30:30" ht="14" thickBot="1" x14ac:dyDescent="0.2">
      <c r="AD5848" s="98">
        <f t="shared" si="298"/>
        <v>50771</v>
      </c>
    </row>
    <row r="5849" spans="30:30" ht="14" thickBot="1" x14ac:dyDescent="0.2">
      <c r="AD5849" s="98">
        <f t="shared" si="298"/>
        <v>50772</v>
      </c>
    </row>
    <row r="5850" spans="30:30" ht="14" thickBot="1" x14ac:dyDescent="0.2">
      <c r="AD5850" s="98">
        <f t="shared" si="298"/>
        <v>50773</v>
      </c>
    </row>
    <row r="5851" spans="30:30" ht="14" thickBot="1" x14ac:dyDescent="0.2">
      <c r="AD5851" s="98">
        <f t="shared" si="298"/>
        <v>50774</v>
      </c>
    </row>
    <row r="5852" spans="30:30" ht="14" thickBot="1" x14ac:dyDescent="0.2">
      <c r="AD5852" s="98">
        <f t="shared" si="298"/>
        <v>50775</v>
      </c>
    </row>
    <row r="5853" spans="30:30" ht="14" thickBot="1" x14ac:dyDescent="0.2">
      <c r="AD5853" s="98">
        <f t="shared" si="298"/>
        <v>50776</v>
      </c>
    </row>
    <row r="5854" spans="30:30" ht="14" thickBot="1" x14ac:dyDescent="0.2">
      <c r="AD5854" s="98">
        <f t="shared" si="298"/>
        <v>50777</v>
      </c>
    </row>
    <row r="5855" spans="30:30" ht="14" thickBot="1" x14ac:dyDescent="0.2">
      <c r="AD5855" s="98">
        <f t="shared" si="298"/>
        <v>50778</v>
      </c>
    </row>
    <row r="5856" spans="30:30" ht="14" thickBot="1" x14ac:dyDescent="0.2">
      <c r="AD5856" s="98">
        <f t="shared" si="298"/>
        <v>50779</v>
      </c>
    </row>
    <row r="5857" spans="30:30" ht="14" thickBot="1" x14ac:dyDescent="0.2">
      <c r="AD5857" s="98">
        <f t="shared" si="298"/>
        <v>50780</v>
      </c>
    </row>
    <row r="5858" spans="30:30" ht="14" thickBot="1" x14ac:dyDescent="0.2">
      <c r="AD5858" s="98">
        <f t="shared" si="298"/>
        <v>50781</v>
      </c>
    </row>
    <row r="5859" spans="30:30" ht="14" thickBot="1" x14ac:dyDescent="0.2">
      <c r="AD5859" s="98">
        <f t="shared" si="298"/>
        <v>50782</v>
      </c>
    </row>
    <row r="5860" spans="30:30" ht="14" thickBot="1" x14ac:dyDescent="0.2">
      <c r="AD5860" s="98">
        <f t="shared" si="298"/>
        <v>50783</v>
      </c>
    </row>
    <row r="5861" spans="30:30" ht="14" thickBot="1" x14ac:dyDescent="0.2">
      <c r="AD5861" s="98">
        <f t="shared" si="298"/>
        <v>50784</v>
      </c>
    </row>
    <row r="5862" spans="30:30" ht="14" thickBot="1" x14ac:dyDescent="0.2">
      <c r="AD5862" s="98">
        <f t="shared" si="298"/>
        <v>50785</v>
      </c>
    </row>
    <row r="5863" spans="30:30" ht="14" thickBot="1" x14ac:dyDescent="0.2">
      <c r="AD5863" s="98">
        <f t="shared" si="298"/>
        <v>50786</v>
      </c>
    </row>
    <row r="5864" spans="30:30" ht="14" thickBot="1" x14ac:dyDescent="0.2">
      <c r="AD5864" s="98">
        <f t="shared" si="298"/>
        <v>50787</v>
      </c>
    </row>
    <row r="5865" spans="30:30" ht="14" thickBot="1" x14ac:dyDescent="0.2">
      <c r="AD5865" s="98">
        <f t="shared" si="298"/>
        <v>50788</v>
      </c>
    </row>
    <row r="5866" spans="30:30" ht="14" thickBot="1" x14ac:dyDescent="0.2">
      <c r="AD5866" s="98">
        <f t="shared" si="298"/>
        <v>50789</v>
      </c>
    </row>
    <row r="5867" spans="30:30" ht="14" thickBot="1" x14ac:dyDescent="0.2">
      <c r="AD5867" s="98">
        <f t="shared" si="298"/>
        <v>50790</v>
      </c>
    </row>
    <row r="5868" spans="30:30" ht="14" thickBot="1" x14ac:dyDescent="0.2">
      <c r="AD5868" s="98">
        <f t="shared" si="298"/>
        <v>50791</v>
      </c>
    </row>
    <row r="5869" spans="30:30" ht="14" thickBot="1" x14ac:dyDescent="0.2">
      <c r="AD5869" s="98">
        <f t="shared" si="298"/>
        <v>50792</v>
      </c>
    </row>
    <row r="5870" spans="30:30" ht="14" thickBot="1" x14ac:dyDescent="0.2">
      <c r="AD5870" s="98">
        <f t="shared" si="298"/>
        <v>50793</v>
      </c>
    </row>
    <row r="5871" spans="30:30" ht="14" thickBot="1" x14ac:dyDescent="0.2">
      <c r="AD5871" s="98">
        <f t="shared" si="298"/>
        <v>50794</v>
      </c>
    </row>
    <row r="5872" spans="30:30" ht="14" thickBot="1" x14ac:dyDescent="0.2">
      <c r="AD5872" s="98">
        <f t="shared" si="298"/>
        <v>50795</v>
      </c>
    </row>
    <row r="5873" spans="30:30" ht="14" thickBot="1" x14ac:dyDescent="0.2">
      <c r="AD5873" s="98">
        <f t="shared" si="298"/>
        <v>50796</v>
      </c>
    </row>
    <row r="5874" spans="30:30" ht="14" thickBot="1" x14ac:dyDescent="0.2">
      <c r="AD5874" s="98">
        <f t="shared" si="298"/>
        <v>50797</v>
      </c>
    </row>
    <row r="5875" spans="30:30" ht="14" thickBot="1" x14ac:dyDescent="0.2">
      <c r="AD5875" s="98">
        <f t="shared" si="298"/>
        <v>50798</v>
      </c>
    </row>
    <row r="5876" spans="30:30" ht="14" thickBot="1" x14ac:dyDescent="0.2">
      <c r="AD5876" s="98">
        <f t="shared" si="298"/>
        <v>50799</v>
      </c>
    </row>
    <row r="5877" spans="30:30" ht="14" thickBot="1" x14ac:dyDescent="0.2">
      <c r="AD5877" s="98">
        <f t="shared" si="298"/>
        <v>50800</v>
      </c>
    </row>
    <row r="5878" spans="30:30" ht="14" thickBot="1" x14ac:dyDescent="0.2">
      <c r="AD5878" s="98">
        <f t="shared" si="298"/>
        <v>50801</v>
      </c>
    </row>
    <row r="5879" spans="30:30" ht="14" thickBot="1" x14ac:dyDescent="0.2">
      <c r="AD5879" s="98">
        <f t="shared" si="298"/>
        <v>50802</v>
      </c>
    </row>
    <row r="5880" spans="30:30" ht="14" thickBot="1" x14ac:dyDescent="0.2">
      <c r="AD5880" s="98">
        <f t="shared" si="298"/>
        <v>50803</v>
      </c>
    </row>
    <row r="5881" spans="30:30" ht="14" thickBot="1" x14ac:dyDescent="0.2">
      <c r="AD5881" s="98">
        <f t="shared" si="298"/>
        <v>50804</v>
      </c>
    </row>
    <row r="5882" spans="30:30" ht="14" thickBot="1" x14ac:dyDescent="0.2">
      <c r="AD5882" s="98">
        <f t="shared" si="298"/>
        <v>50805</v>
      </c>
    </row>
    <row r="5883" spans="30:30" ht="14" thickBot="1" x14ac:dyDescent="0.2">
      <c r="AD5883" s="98">
        <f t="shared" si="298"/>
        <v>50806</v>
      </c>
    </row>
    <row r="5884" spans="30:30" ht="14" thickBot="1" x14ac:dyDescent="0.2">
      <c r="AD5884" s="98">
        <f t="shared" si="298"/>
        <v>50807</v>
      </c>
    </row>
    <row r="5885" spans="30:30" ht="14" thickBot="1" x14ac:dyDescent="0.2">
      <c r="AD5885" s="98">
        <f t="shared" si="298"/>
        <v>50808</v>
      </c>
    </row>
    <row r="5886" spans="30:30" ht="14" thickBot="1" x14ac:dyDescent="0.2">
      <c r="AD5886" s="98">
        <f t="shared" si="298"/>
        <v>50809</v>
      </c>
    </row>
    <row r="5887" spans="30:30" ht="14" thickBot="1" x14ac:dyDescent="0.2">
      <c r="AD5887" s="98">
        <f t="shared" si="298"/>
        <v>50810</v>
      </c>
    </row>
    <row r="5888" spans="30:30" ht="14" thickBot="1" x14ac:dyDescent="0.2">
      <c r="AD5888" s="98">
        <f t="shared" si="298"/>
        <v>50811</v>
      </c>
    </row>
    <row r="5889" spans="30:30" ht="14" thickBot="1" x14ac:dyDescent="0.2">
      <c r="AD5889" s="98">
        <f t="shared" si="298"/>
        <v>50812</v>
      </c>
    </row>
    <row r="5890" spans="30:30" ht="14" thickBot="1" x14ac:dyDescent="0.2">
      <c r="AD5890" s="98">
        <f t="shared" si="298"/>
        <v>50813</v>
      </c>
    </row>
    <row r="5891" spans="30:30" ht="14" thickBot="1" x14ac:dyDescent="0.2">
      <c r="AD5891" s="98">
        <f t="shared" si="298"/>
        <v>50814</v>
      </c>
    </row>
    <row r="5892" spans="30:30" ht="14" thickBot="1" x14ac:dyDescent="0.2">
      <c r="AD5892" s="98">
        <f t="shared" si="298"/>
        <v>50815</v>
      </c>
    </row>
    <row r="5893" spans="30:30" ht="14" thickBot="1" x14ac:dyDescent="0.2">
      <c r="AD5893" s="98">
        <f t="shared" si="298"/>
        <v>50816</v>
      </c>
    </row>
    <row r="5894" spans="30:30" ht="14" thickBot="1" x14ac:dyDescent="0.2">
      <c r="AD5894" s="98">
        <f t="shared" si="298"/>
        <v>50817</v>
      </c>
    </row>
    <row r="5895" spans="30:30" ht="14" thickBot="1" x14ac:dyDescent="0.2">
      <c r="AD5895" s="98">
        <f t="shared" si="298"/>
        <v>50818</v>
      </c>
    </row>
    <row r="5896" spans="30:30" ht="14" thickBot="1" x14ac:dyDescent="0.2">
      <c r="AD5896" s="98">
        <f t="shared" si="298"/>
        <v>50819</v>
      </c>
    </row>
    <row r="5897" spans="30:30" ht="14" thickBot="1" x14ac:dyDescent="0.2">
      <c r="AD5897" s="98">
        <f t="shared" ref="AD5897:AD5960" si="299">AD5896+1</f>
        <v>50820</v>
      </c>
    </row>
    <row r="5898" spans="30:30" ht="14" thickBot="1" x14ac:dyDescent="0.2">
      <c r="AD5898" s="98">
        <f t="shared" si="299"/>
        <v>50821</v>
      </c>
    </row>
    <row r="5899" spans="30:30" ht="14" thickBot="1" x14ac:dyDescent="0.2">
      <c r="AD5899" s="98">
        <f t="shared" si="299"/>
        <v>50822</v>
      </c>
    </row>
    <row r="5900" spans="30:30" ht="14" thickBot="1" x14ac:dyDescent="0.2">
      <c r="AD5900" s="98">
        <f t="shared" si="299"/>
        <v>50823</v>
      </c>
    </row>
    <row r="5901" spans="30:30" ht="14" thickBot="1" x14ac:dyDescent="0.2">
      <c r="AD5901" s="98">
        <f t="shared" si="299"/>
        <v>50824</v>
      </c>
    </row>
    <row r="5902" spans="30:30" ht="14" thickBot="1" x14ac:dyDescent="0.2">
      <c r="AD5902" s="98">
        <f t="shared" si="299"/>
        <v>50825</v>
      </c>
    </row>
    <row r="5903" spans="30:30" ht="14" thickBot="1" x14ac:dyDescent="0.2">
      <c r="AD5903" s="98">
        <f t="shared" si="299"/>
        <v>50826</v>
      </c>
    </row>
    <row r="5904" spans="30:30" ht="14" thickBot="1" x14ac:dyDescent="0.2">
      <c r="AD5904" s="98">
        <f t="shared" si="299"/>
        <v>50827</v>
      </c>
    </row>
    <row r="5905" spans="30:30" ht="14" thickBot="1" x14ac:dyDescent="0.2">
      <c r="AD5905" s="98">
        <f t="shared" si="299"/>
        <v>50828</v>
      </c>
    </row>
    <row r="5906" spans="30:30" ht="14" thickBot="1" x14ac:dyDescent="0.2">
      <c r="AD5906" s="98">
        <f t="shared" si="299"/>
        <v>50829</v>
      </c>
    </row>
    <row r="5907" spans="30:30" ht="14" thickBot="1" x14ac:dyDescent="0.2">
      <c r="AD5907" s="98">
        <f t="shared" si="299"/>
        <v>50830</v>
      </c>
    </row>
    <row r="5908" spans="30:30" ht="14" thickBot="1" x14ac:dyDescent="0.2">
      <c r="AD5908" s="98">
        <f t="shared" si="299"/>
        <v>50831</v>
      </c>
    </row>
    <row r="5909" spans="30:30" ht="14" thickBot="1" x14ac:dyDescent="0.2">
      <c r="AD5909" s="98">
        <f t="shared" si="299"/>
        <v>50832</v>
      </c>
    </row>
    <row r="5910" spans="30:30" ht="14" thickBot="1" x14ac:dyDescent="0.2">
      <c r="AD5910" s="98">
        <f t="shared" si="299"/>
        <v>50833</v>
      </c>
    </row>
    <row r="5911" spans="30:30" ht="14" thickBot="1" x14ac:dyDescent="0.2">
      <c r="AD5911" s="98">
        <f t="shared" si="299"/>
        <v>50834</v>
      </c>
    </row>
    <row r="5912" spans="30:30" ht="14" thickBot="1" x14ac:dyDescent="0.2">
      <c r="AD5912" s="98">
        <f t="shared" si="299"/>
        <v>50835</v>
      </c>
    </row>
    <row r="5913" spans="30:30" ht="14" thickBot="1" x14ac:dyDescent="0.2">
      <c r="AD5913" s="98">
        <f t="shared" si="299"/>
        <v>50836</v>
      </c>
    </row>
    <row r="5914" spans="30:30" ht="14" thickBot="1" x14ac:dyDescent="0.2">
      <c r="AD5914" s="98">
        <f t="shared" si="299"/>
        <v>50837</v>
      </c>
    </row>
    <row r="5915" spans="30:30" ht="14" thickBot="1" x14ac:dyDescent="0.2">
      <c r="AD5915" s="98">
        <f t="shared" si="299"/>
        <v>50838</v>
      </c>
    </row>
    <row r="5916" spans="30:30" ht="14" thickBot="1" x14ac:dyDescent="0.2">
      <c r="AD5916" s="98">
        <f t="shared" si="299"/>
        <v>50839</v>
      </c>
    </row>
    <row r="5917" spans="30:30" ht="14" thickBot="1" x14ac:dyDescent="0.2">
      <c r="AD5917" s="98">
        <f t="shared" si="299"/>
        <v>50840</v>
      </c>
    </row>
    <row r="5918" spans="30:30" ht="14" thickBot="1" x14ac:dyDescent="0.2">
      <c r="AD5918" s="98">
        <f t="shared" si="299"/>
        <v>50841</v>
      </c>
    </row>
    <row r="5919" spans="30:30" ht="14" thickBot="1" x14ac:dyDescent="0.2">
      <c r="AD5919" s="98">
        <f t="shared" si="299"/>
        <v>50842</v>
      </c>
    </row>
    <row r="5920" spans="30:30" ht="14" thickBot="1" x14ac:dyDescent="0.2">
      <c r="AD5920" s="98">
        <f t="shared" si="299"/>
        <v>50843</v>
      </c>
    </row>
    <row r="5921" spans="30:30" ht="14" thickBot="1" x14ac:dyDescent="0.2">
      <c r="AD5921" s="98">
        <f t="shared" si="299"/>
        <v>50844</v>
      </c>
    </row>
    <row r="5922" spans="30:30" ht="14" thickBot="1" x14ac:dyDescent="0.2">
      <c r="AD5922" s="98">
        <f t="shared" si="299"/>
        <v>50845</v>
      </c>
    </row>
    <row r="5923" spans="30:30" ht="14" thickBot="1" x14ac:dyDescent="0.2">
      <c r="AD5923" s="98">
        <f t="shared" si="299"/>
        <v>50846</v>
      </c>
    </row>
    <row r="5924" spans="30:30" ht="14" thickBot="1" x14ac:dyDescent="0.2">
      <c r="AD5924" s="98">
        <f t="shared" si="299"/>
        <v>50847</v>
      </c>
    </row>
    <row r="5925" spans="30:30" ht="14" thickBot="1" x14ac:dyDescent="0.2">
      <c r="AD5925" s="98">
        <f t="shared" si="299"/>
        <v>50848</v>
      </c>
    </row>
    <row r="5926" spans="30:30" ht="14" thickBot="1" x14ac:dyDescent="0.2">
      <c r="AD5926" s="98">
        <f t="shared" si="299"/>
        <v>50849</v>
      </c>
    </row>
    <row r="5927" spans="30:30" ht="14" thickBot="1" x14ac:dyDescent="0.2">
      <c r="AD5927" s="98">
        <f t="shared" si="299"/>
        <v>50850</v>
      </c>
    </row>
    <row r="5928" spans="30:30" ht="14" thickBot="1" x14ac:dyDescent="0.2">
      <c r="AD5928" s="98">
        <f t="shared" si="299"/>
        <v>50851</v>
      </c>
    </row>
    <row r="5929" spans="30:30" ht="14" thickBot="1" x14ac:dyDescent="0.2">
      <c r="AD5929" s="98">
        <f t="shared" si="299"/>
        <v>50852</v>
      </c>
    </row>
    <row r="5930" spans="30:30" ht="14" thickBot="1" x14ac:dyDescent="0.2">
      <c r="AD5930" s="98">
        <f t="shared" si="299"/>
        <v>50853</v>
      </c>
    </row>
    <row r="5931" spans="30:30" ht="14" thickBot="1" x14ac:dyDescent="0.2">
      <c r="AD5931" s="98">
        <f t="shared" si="299"/>
        <v>50854</v>
      </c>
    </row>
    <row r="5932" spans="30:30" ht="14" thickBot="1" x14ac:dyDescent="0.2">
      <c r="AD5932" s="98">
        <f t="shared" si="299"/>
        <v>50855</v>
      </c>
    </row>
    <row r="5933" spans="30:30" ht="14" thickBot="1" x14ac:dyDescent="0.2">
      <c r="AD5933" s="98">
        <f t="shared" si="299"/>
        <v>50856</v>
      </c>
    </row>
    <row r="5934" spans="30:30" ht="14" thickBot="1" x14ac:dyDescent="0.2">
      <c r="AD5934" s="98">
        <f t="shared" si="299"/>
        <v>50857</v>
      </c>
    </row>
    <row r="5935" spans="30:30" ht="14" thickBot="1" x14ac:dyDescent="0.2">
      <c r="AD5935" s="98">
        <f t="shared" si="299"/>
        <v>50858</v>
      </c>
    </row>
    <row r="5936" spans="30:30" ht="14" thickBot="1" x14ac:dyDescent="0.2">
      <c r="AD5936" s="98">
        <f t="shared" si="299"/>
        <v>50859</v>
      </c>
    </row>
    <row r="5937" spans="30:30" ht="14" thickBot="1" x14ac:dyDescent="0.2">
      <c r="AD5937" s="98">
        <f t="shared" si="299"/>
        <v>50860</v>
      </c>
    </row>
    <row r="5938" spans="30:30" ht="14" thickBot="1" x14ac:dyDescent="0.2">
      <c r="AD5938" s="98">
        <f t="shared" si="299"/>
        <v>50861</v>
      </c>
    </row>
    <row r="5939" spans="30:30" ht="14" thickBot="1" x14ac:dyDescent="0.2">
      <c r="AD5939" s="98">
        <f t="shared" si="299"/>
        <v>50862</v>
      </c>
    </row>
    <row r="5940" spans="30:30" ht="14" thickBot="1" x14ac:dyDescent="0.2">
      <c r="AD5940" s="98">
        <f t="shared" si="299"/>
        <v>50863</v>
      </c>
    </row>
    <row r="5941" spans="30:30" ht="14" thickBot="1" x14ac:dyDescent="0.2">
      <c r="AD5941" s="98">
        <f t="shared" si="299"/>
        <v>50864</v>
      </c>
    </row>
    <row r="5942" spans="30:30" ht="14" thickBot="1" x14ac:dyDescent="0.2">
      <c r="AD5942" s="98">
        <f t="shared" si="299"/>
        <v>50865</v>
      </c>
    </row>
    <row r="5943" spans="30:30" ht="14" thickBot="1" x14ac:dyDescent="0.2">
      <c r="AD5943" s="98">
        <f t="shared" si="299"/>
        <v>50866</v>
      </c>
    </row>
    <row r="5944" spans="30:30" ht="14" thickBot="1" x14ac:dyDescent="0.2">
      <c r="AD5944" s="98">
        <f t="shared" si="299"/>
        <v>50867</v>
      </c>
    </row>
    <row r="5945" spans="30:30" ht="14" thickBot="1" x14ac:dyDescent="0.2">
      <c r="AD5945" s="98">
        <f t="shared" si="299"/>
        <v>50868</v>
      </c>
    </row>
    <row r="5946" spans="30:30" ht="14" thickBot="1" x14ac:dyDescent="0.2">
      <c r="AD5946" s="98">
        <f t="shared" si="299"/>
        <v>50869</v>
      </c>
    </row>
    <row r="5947" spans="30:30" ht="14" thickBot="1" x14ac:dyDescent="0.2">
      <c r="AD5947" s="98">
        <f t="shared" si="299"/>
        <v>50870</v>
      </c>
    </row>
    <row r="5948" spans="30:30" ht="14" thickBot="1" x14ac:dyDescent="0.2">
      <c r="AD5948" s="98">
        <f t="shared" si="299"/>
        <v>50871</v>
      </c>
    </row>
    <row r="5949" spans="30:30" ht="14" thickBot="1" x14ac:dyDescent="0.2">
      <c r="AD5949" s="98">
        <f t="shared" si="299"/>
        <v>50872</v>
      </c>
    </row>
    <row r="5950" spans="30:30" ht="14" thickBot="1" x14ac:dyDescent="0.2">
      <c r="AD5950" s="98">
        <f t="shared" si="299"/>
        <v>50873</v>
      </c>
    </row>
    <row r="5951" spans="30:30" ht="14" thickBot="1" x14ac:dyDescent="0.2">
      <c r="AD5951" s="98">
        <f t="shared" si="299"/>
        <v>50874</v>
      </c>
    </row>
    <row r="5952" spans="30:30" ht="14" thickBot="1" x14ac:dyDescent="0.2">
      <c r="AD5952" s="98">
        <f t="shared" si="299"/>
        <v>50875</v>
      </c>
    </row>
    <row r="5953" spans="30:30" ht="14" thickBot="1" x14ac:dyDescent="0.2">
      <c r="AD5953" s="98">
        <f t="shared" si="299"/>
        <v>50876</v>
      </c>
    </row>
    <row r="5954" spans="30:30" ht="14" thickBot="1" x14ac:dyDescent="0.2">
      <c r="AD5954" s="98">
        <f t="shared" si="299"/>
        <v>50877</v>
      </c>
    </row>
    <row r="5955" spans="30:30" ht="14" thickBot="1" x14ac:dyDescent="0.2">
      <c r="AD5955" s="98">
        <f t="shared" si="299"/>
        <v>50878</v>
      </c>
    </row>
    <row r="5956" spans="30:30" ht="14" thickBot="1" x14ac:dyDescent="0.2">
      <c r="AD5956" s="98">
        <f t="shared" si="299"/>
        <v>50879</v>
      </c>
    </row>
    <row r="5957" spans="30:30" ht="14" thickBot="1" x14ac:dyDescent="0.2">
      <c r="AD5957" s="98">
        <f t="shared" si="299"/>
        <v>50880</v>
      </c>
    </row>
    <row r="5958" spans="30:30" ht="14" thickBot="1" x14ac:dyDescent="0.2">
      <c r="AD5958" s="98">
        <f t="shared" si="299"/>
        <v>50881</v>
      </c>
    </row>
    <row r="5959" spans="30:30" ht="14" thickBot="1" x14ac:dyDescent="0.2">
      <c r="AD5959" s="98">
        <f t="shared" si="299"/>
        <v>50882</v>
      </c>
    </row>
    <row r="5960" spans="30:30" ht="14" thickBot="1" x14ac:dyDescent="0.2">
      <c r="AD5960" s="98">
        <f t="shared" si="299"/>
        <v>50883</v>
      </c>
    </row>
    <row r="5961" spans="30:30" ht="14" thickBot="1" x14ac:dyDescent="0.2">
      <c r="AD5961" s="98">
        <f t="shared" ref="AD5961:AD6024" si="300">AD5960+1</f>
        <v>50884</v>
      </c>
    </row>
    <row r="5962" spans="30:30" ht="14" thickBot="1" x14ac:dyDescent="0.2">
      <c r="AD5962" s="98">
        <f t="shared" si="300"/>
        <v>50885</v>
      </c>
    </row>
    <row r="5963" spans="30:30" ht="14" thickBot="1" x14ac:dyDescent="0.2">
      <c r="AD5963" s="98">
        <f t="shared" si="300"/>
        <v>50886</v>
      </c>
    </row>
    <row r="5964" spans="30:30" ht="14" thickBot="1" x14ac:dyDescent="0.2">
      <c r="AD5964" s="98">
        <f t="shared" si="300"/>
        <v>50887</v>
      </c>
    </row>
    <row r="5965" spans="30:30" ht="14" thickBot="1" x14ac:dyDescent="0.2">
      <c r="AD5965" s="98">
        <f t="shared" si="300"/>
        <v>50888</v>
      </c>
    </row>
    <row r="5966" spans="30:30" ht="14" thickBot="1" x14ac:dyDescent="0.2">
      <c r="AD5966" s="98">
        <f t="shared" si="300"/>
        <v>50889</v>
      </c>
    </row>
    <row r="5967" spans="30:30" ht="14" thickBot="1" x14ac:dyDescent="0.2">
      <c r="AD5967" s="98">
        <f t="shared" si="300"/>
        <v>50890</v>
      </c>
    </row>
    <row r="5968" spans="30:30" ht="14" thickBot="1" x14ac:dyDescent="0.2">
      <c r="AD5968" s="98">
        <f t="shared" si="300"/>
        <v>50891</v>
      </c>
    </row>
    <row r="5969" spans="30:30" ht="14" thickBot="1" x14ac:dyDescent="0.2">
      <c r="AD5969" s="98">
        <f t="shared" si="300"/>
        <v>50892</v>
      </c>
    </row>
    <row r="5970" spans="30:30" ht="14" thickBot="1" x14ac:dyDescent="0.2">
      <c r="AD5970" s="98">
        <f t="shared" si="300"/>
        <v>50893</v>
      </c>
    </row>
    <row r="5971" spans="30:30" ht="14" thickBot="1" x14ac:dyDescent="0.2">
      <c r="AD5971" s="98">
        <f t="shared" si="300"/>
        <v>50894</v>
      </c>
    </row>
    <row r="5972" spans="30:30" ht="14" thickBot="1" x14ac:dyDescent="0.2">
      <c r="AD5972" s="98">
        <f t="shared" si="300"/>
        <v>50895</v>
      </c>
    </row>
    <row r="5973" spans="30:30" ht="14" thickBot="1" x14ac:dyDescent="0.2">
      <c r="AD5973" s="98">
        <f t="shared" si="300"/>
        <v>50896</v>
      </c>
    </row>
    <row r="5974" spans="30:30" ht="14" thickBot="1" x14ac:dyDescent="0.2">
      <c r="AD5974" s="98">
        <f t="shared" si="300"/>
        <v>50897</v>
      </c>
    </row>
    <row r="5975" spans="30:30" ht="14" thickBot="1" x14ac:dyDescent="0.2">
      <c r="AD5975" s="98">
        <f t="shared" si="300"/>
        <v>50898</v>
      </c>
    </row>
    <row r="5976" spans="30:30" ht="14" thickBot="1" x14ac:dyDescent="0.2">
      <c r="AD5976" s="98">
        <f t="shared" si="300"/>
        <v>50899</v>
      </c>
    </row>
    <row r="5977" spans="30:30" ht="14" thickBot="1" x14ac:dyDescent="0.2">
      <c r="AD5977" s="98">
        <f t="shared" si="300"/>
        <v>50900</v>
      </c>
    </row>
    <row r="5978" spans="30:30" ht="14" thickBot="1" x14ac:dyDescent="0.2">
      <c r="AD5978" s="98">
        <f t="shared" si="300"/>
        <v>50901</v>
      </c>
    </row>
    <row r="5979" spans="30:30" ht="14" thickBot="1" x14ac:dyDescent="0.2">
      <c r="AD5979" s="98">
        <f t="shared" si="300"/>
        <v>50902</v>
      </c>
    </row>
    <row r="5980" spans="30:30" ht="14" thickBot="1" x14ac:dyDescent="0.2">
      <c r="AD5980" s="98">
        <f t="shared" si="300"/>
        <v>50903</v>
      </c>
    </row>
    <row r="5981" spans="30:30" ht="14" thickBot="1" x14ac:dyDescent="0.2">
      <c r="AD5981" s="98">
        <f t="shared" si="300"/>
        <v>50904</v>
      </c>
    </row>
    <row r="5982" spans="30:30" ht="14" thickBot="1" x14ac:dyDescent="0.2">
      <c r="AD5982" s="98">
        <f t="shared" si="300"/>
        <v>50905</v>
      </c>
    </row>
    <row r="5983" spans="30:30" ht="14" thickBot="1" x14ac:dyDescent="0.2">
      <c r="AD5983" s="98">
        <f t="shared" si="300"/>
        <v>50906</v>
      </c>
    </row>
    <row r="5984" spans="30:30" ht="14" thickBot="1" x14ac:dyDescent="0.2">
      <c r="AD5984" s="98">
        <f t="shared" si="300"/>
        <v>50907</v>
      </c>
    </row>
    <row r="5985" spans="30:30" ht="14" thickBot="1" x14ac:dyDescent="0.2">
      <c r="AD5985" s="98">
        <f t="shared" si="300"/>
        <v>50908</v>
      </c>
    </row>
    <row r="5986" spans="30:30" ht="14" thickBot="1" x14ac:dyDescent="0.2">
      <c r="AD5986" s="98">
        <f t="shared" si="300"/>
        <v>50909</v>
      </c>
    </row>
    <row r="5987" spans="30:30" ht="14" thickBot="1" x14ac:dyDescent="0.2">
      <c r="AD5987" s="98">
        <f t="shared" si="300"/>
        <v>50910</v>
      </c>
    </row>
    <row r="5988" spans="30:30" ht="14" thickBot="1" x14ac:dyDescent="0.2">
      <c r="AD5988" s="98">
        <f t="shared" si="300"/>
        <v>50911</v>
      </c>
    </row>
    <row r="5989" spans="30:30" ht="14" thickBot="1" x14ac:dyDescent="0.2">
      <c r="AD5989" s="98">
        <f t="shared" si="300"/>
        <v>50912</v>
      </c>
    </row>
    <row r="5990" spans="30:30" ht="14" thickBot="1" x14ac:dyDescent="0.2">
      <c r="AD5990" s="98">
        <f t="shared" si="300"/>
        <v>50913</v>
      </c>
    </row>
    <row r="5991" spans="30:30" ht="14" thickBot="1" x14ac:dyDescent="0.2">
      <c r="AD5991" s="98">
        <f t="shared" si="300"/>
        <v>50914</v>
      </c>
    </row>
    <row r="5992" spans="30:30" ht="14" thickBot="1" x14ac:dyDescent="0.2">
      <c r="AD5992" s="98">
        <f t="shared" si="300"/>
        <v>50915</v>
      </c>
    </row>
    <row r="5993" spans="30:30" ht="14" thickBot="1" x14ac:dyDescent="0.2">
      <c r="AD5993" s="98">
        <f t="shared" si="300"/>
        <v>50916</v>
      </c>
    </row>
    <row r="5994" spans="30:30" ht="14" thickBot="1" x14ac:dyDescent="0.2">
      <c r="AD5994" s="98">
        <f t="shared" si="300"/>
        <v>50917</v>
      </c>
    </row>
    <row r="5995" spans="30:30" ht="14" thickBot="1" x14ac:dyDescent="0.2">
      <c r="AD5995" s="98">
        <f t="shared" si="300"/>
        <v>50918</v>
      </c>
    </row>
    <row r="5996" spans="30:30" ht="14" thickBot="1" x14ac:dyDescent="0.2">
      <c r="AD5996" s="98">
        <f t="shared" si="300"/>
        <v>50919</v>
      </c>
    </row>
    <row r="5997" spans="30:30" ht="14" thickBot="1" x14ac:dyDescent="0.2">
      <c r="AD5997" s="98">
        <f t="shared" si="300"/>
        <v>50920</v>
      </c>
    </row>
    <row r="5998" spans="30:30" ht="14" thickBot="1" x14ac:dyDescent="0.2">
      <c r="AD5998" s="98">
        <f t="shared" si="300"/>
        <v>50921</v>
      </c>
    </row>
    <row r="5999" spans="30:30" ht="14" thickBot="1" x14ac:dyDescent="0.2">
      <c r="AD5999" s="98">
        <f t="shared" si="300"/>
        <v>50922</v>
      </c>
    </row>
    <row r="6000" spans="30:30" ht="14" thickBot="1" x14ac:dyDescent="0.2">
      <c r="AD6000" s="98">
        <f t="shared" si="300"/>
        <v>50923</v>
      </c>
    </row>
    <row r="6001" spans="30:30" ht="14" thickBot="1" x14ac:dyDescent="0.2">
      <c r="AD6001" s="98">
        <f t="shared" si="300"/>
        <v>50924</v>
      </c>
    </row>
    <row r="6002" spans="30:30" ht="14" thickBot="1" x14ac:dyDescent="0.2">
      <c r="AD6002" s="98">
        <f t="shared" si="300"/>
        <v>50925</v>
      </c>
    </row>
    <row r="6003" spans="30:30" ht="14" thickBot="1" x14ac:dyDescent="0.2">
      <c r="AD6003" s="98">
        <f t="shared" si="300"/>
        <v>50926</v>
      </c>
    </row>
    <row r="6004" spans="30:30" ht="14" thickBot="1" x14ac:dyDescent="0.2">
      <c r="AD6004" s="98">
        <f t="shared" si="300"/>
        <v>50927</v>
      </c>
    </row>
    <row r="6005" spans="30:30" ht="14" thickBot="1" x14ac:dyDescent="0.2">
      <c r="AD6005" s="98">
        <f t="shared" si="300"/>
        <v>50928</v>
      </c>
    </row>
    <row r="6006" spans="30:30" ht="14" thickBot="1" x14ac:dyDescent="0.2">
      <c r="AD6006" s="98">
        <f t="shared" si="300"/>
        <v>50929</v>
      </c>
    </row>
    <row r="6007" spans="30:30" ht="14" thickBot="1" x14ac:dyDescent="0.2">
      <c r="AD6007" s="98">
        <f t="shared" si="300"/>
        <v>50930</v>
      </c>
    </row>
    <row r="6008" spans="30:30" ht="14" thickBot="1" x14ac:dyDescent="0.2">
      <c r="AD6008" s="98">
        <f t="shared" si="300"/>
        <v>50931</v>
      </c>
    </row>
    <row r="6009" spans="30:30" ht="14" thickBot="1" x14ac:dyDescent="0.2">
      <c r="AD6009" s="98">
        <f t="shared" si="300"/>
        <v>50932</v>
      </c>
    </row>
    <row r="6010" spans="30:30" ht="14" thickBot="1" x14ac:dyDescent="0.2">
      <c r="AD6010" s="98">
        <f t="shared" si="300"/>
        <v>50933</v>
      </c>
    </row>
    <row r="6011" spans="30:30" ht="14" thickBot="1" x14ac:dyDescent="0.2">
      <c r="AD6011" s="98">
        <f t="shared" si="300"/>
        <v>50934</v>
      </c>
    </row>
    <row r="6012" spans="30:30" ht="14" thickBot="1" x14ac:dyDescent="0.2">
      <c r="AD6012" s="98">
        <f t="shared" si="300"/>
        <v>50935</v>
      </c>
    </row>
    <row r="6013" spans="30:30" ht="14" thickBot="1" x14ac:dyDescent="0.2">
      <c r="AD6013" s="98">
        <f t="shared" si="300"/>
        <v>50936</v>
      </c>
    </row>
    <row r="6014" spans="30:30" ht="14" thickBot="1" x14ac:dyDescent="0.2">
      <c r="AD6014" s="98">
        <f t="shared" si="300"/>
        <v>50937</v>
      </c>
    </row>
    <row r="6015" spans="30:30" ht="14" thickBot="1" x14ac:dyDescent="0.2">
      <c r="AD6015" s="98">
        <f t="shared" si="300"/>
        <v>50938</v>
      </c>
    </row>
    <row r="6016" spans="30:30" ht="14" thickBot="1" x14ac:dyDescent="0.2">
      <c r="AD6016" s="98">
        <f t="shared" si="300"/>
        <v>50939</v>
      </c>
    </row>
    <row r="6017" spans="30:30" ht="14" thickBot="1" x14ac:dyDescent="0.2">
      <c r="AD6017" s="98">
        <f t="shared" si="300"/>
        <v>50940</v>
      </c>
    </row>
    <row r="6018" spans="30:30" ht="14" thickBot="1" x14ac:dyDescent="0.2">
      <c r="AD6018" s="98">
        <f t="shared" si="300"/>
        <v>50941</v>
      </c>
    </row>
    <row r="6019" spans="30:30" ht="14" thickBot="1" x14ac:dyDescent="0.2">
      <c r="AD6019" s="98">
        <f t="shared" si="300"/>
        <v>50942</v>
      </c>
    </row>
    <row r="6020" spans="30:30" ht="14" thickBot="1" x14ac:dyDescent="0.2">
      <c r="AD6020" s="98">
        <f t="shared" si="300"/>
        <v>50943</v>
      </c>
    </row>
    <row r="6021" spans="30:30" ht="14" thickBot="1" x14ac:dyDescent="0.2">
      <c r="AD6021" s="98">
        <f t="shared" si="300"/>
        <v>50944</v>
      </c>
    </row>
    <row r="6022" spans="30:30" ht="14" thickBot="1" x14ac:dyDescent="0.2">
      <c r="AD6022" s="98">
        <f t="shared" si="300"/>
        <v>50945</v>
      </c>
    </row>
    <row r="6023" spans="30:30" ht="14" thickBot="1" x14ac:dyDescent="0.2">
      <c r="AD6023" s="98">
        <f t="shared" si="300"/>
        <v>50946</v>
      </c>
    </row>
    <row r="6024" spans="30:30" ht="14" thickBot="1" x14ac:dyDescent="0.2">
      <c r="AD6024" s="98">
        <f t="shared" si="300"/>
        <v>50947</v>
      </c>
    </row>
    <row r="6025" spans="30:30" ht="14" thickBot="1" x14ac:dyDescent="0.2">
      <c r="AD6025" s="98">
        <f t="shared" ref="AD6025:AD6088" si="301">AD6024+1</f>
        <v>50948</v>
      </c>
    </row>
    <row r="6026" spans="30:30" ht="14" thickBot="1" x14ac:dyDescent="0.2">
      <c r="AD6026" s="98">
        <f t="shared" si="301"/>
        <v>50949</v>
      </c>
    </row>
    <row r="6027" spans="30:30" ht="14" thickBot="1" x14ac:dyDescent="0.2">
      <c r="AD6027" s="98">
        <f t="shared" si="301"/>
        <v>50950</v>
      </c>
    </row>
    <row r="6028" spans="30:30" ht="14" thickBot="1" x14ac:dyDescent="0.2">
      <c r="AD6028" s="98">
        <f t="shared" si="301"/>
        <v>50951</v>
      </c>
    </row>
    <row r="6029" spans="30:30" ht="14" thickBot="1" x14ac:dyDescent="0.2">
      <c r="AD6029" s="98">
        <f t="shared" si="301"/>
        <v>50952</v>
      </c>
    </row>
    <row r="6030" spans="30:30" ht="14" thickBot="1" x14ac:dyDescent="0.2">
      <c r="AD6030" s="98">
        <f t="shared" si="301"/>
        <v>50953</v>
      </c>
    </row>
    <row r="6031" spans="30:30" ht="14" thickBot="1" x14ac:dyDescent="0.2">
      <c r="AD6031" s="98">
        <f t="shared" si="301"/>
        <v>50954</v>
      </c>
    </row>
    <row r="6032" spans="30:30" ht="14" thickBot="1" x14ac:dyDescent="0.2">
      <c r="AD6032" s="98">
        <f t="shared" si="301"/>
        <v>50955</v>
      </c>
    </row>
    <row r="6033" spans="30:30" ht="14" thickBot="1" x14ac:dyDescent="0.2">
      <c r="AD6033" s="98">
        <f t="shared" si="301"/>
        <v>50956</v>
      </c>
    </row>
    <row r="6034" spans="30:30" ht="14" thickBot="1" x14ac:dyDescent="0.2">
      <c r="AD6034" s="98">
        <f t="shared" si="301"/>
        <v>50957</v>
      </c>
    </row>
    <row r="6035" spans="30:30" ht="14" thickBot="1" x14ac:dyDescent="0.2">
      <c r="AD6035" s="98">
        <f t="shared" si="301"/>
        <v>50958</v>
      </c>
    </row>
    <row r="6036" spans="30:30" ht="14" thickBot="1" x14ac:dyDescent="0.2">
      <c r="AD6036" s="98">
        <f t="shared" si="301"/>
        <v>50959</v>
      </c>
    </row>
    <row r="6037" spans="30:30" ht="14" thickBot="1" x14ac:dyDescent="0.2">
      <c r="AD6037" s="98">
        <f t="shared" si="301"/>
        <v>50960</v>
      </c>
    </row>
    <row r="6038" spans="30:30" ht="14" thickBot="1" x14ac:dyDescent="0.2">
      <c r="AD6038" s="98">
        <f t="shared" si="301"/>
        <v>50961</v>
      </c>
    </row>
    <row r="6039" spans="30:30" ht="14" thickBot="1" x14ac:dyDescent="0.2">
      <c r="AD6039" s="98">
        <f t="shared" si="301"/>
        <v>50962</v>
      </c>
    </row>
    <row r="6040" spans="30:30" ht="14" thickBot="1" x14ac:dyDescent="0.2">
      <c r="AD6040" s="98">
        <f t="shared" si="301"/>
        <v>50963</v>
      </c>
    </row>
    <row r="6041" spans="30:30" ht="14" thickBot="1" x14ac:dyDescent="0.2">
      <c r="AD6041" s="98">
        <f t="shared" si="301"/>
        <v>50964</v>
      </c>
    </row>
    <row r="6042" spans="30:30" ht="14" thickBot="1" x14ac:dyDescent="0.2">
      <c r="AD6042" s="98">
        <f t="shared" si="301"/>
        <v>50965</v>
      </c>
    </row>
    <row r="6043" spans="30:30" ht="14" thickBot="1" x14ac:dyDescent="0.2">
      <c r="AD6043" s="98">
        <f t="shared" si="301"/>
        <v>50966</v>
      </c>
    </row>
    <row r="6044" spans="30:30" ht="14" thickBot="1" x14ac:dyDescent="0.2">
      <c r="AD6044" s="98">
        <f t="shared" si="301"/>
        <v>50967</v>
      </c>
    </row>
    <row r="6045" spans="30:30" ht="14" thickBot="1" x14ac:dyDescent="0.2">
      <c r="AD6045" s="98">
        <f t="shared" si="301"/>
        <v>50968</v>
      </c>
    </row>
    <row r="6046" spans="30:30" ht="14" thickBot="1" x14ac:dyDescent="0.2">
      <c r="AD6046" s="98">
        <f t="shared" si="301"/>
        <v>50969</v>
      </c>
    </row>
    <row r="6047" spans="30:30" ht="14" thickBot="1" x14ac:dyDescent="0.2">
      <c r="AD6047" s="98">
        <f t="shared" si="301"/>
        <v>50970</v>
      </c>
    </row>
    <row r="6048" spans="30:30" ht="14" thickBot="1" x14ac:dyDescent="0.2">
      <c r="AD6048" s="98">
        <f t="shared" si="301"/>
        <v>50971</v>
      </c>
    </row>
    <row r="6049" spans="30:30" ht="14" thickBot="1" x14ac:dyDescent="0.2">
      <c r="AD6049" s="98">
        <f t="shared" si="301"/>
        <v>50972</v>
      </c>
    </row>
    <row r="6050" spans="30:30" ht="14" thickBot="1" x14ac:dyDescent="0.2">
      <c r="AD6050" s="98">
        <f t="shared" si="301"/>
        <v>50973</v>
      </c>
    </row>
    <row r="6051" spans="30:30" ht="14" thickBot="1" x14ac:dyDescent="0.2">
      <c r="AD6051" s="98">
        <f t="shared" si="301"/>
        <v>50974</v>
      </c>
    </row>
    <row r="6052" spans="30:30" ht="14" thickBot="1" x14ac:dyDescent="0.2">
      <c r="AD6052" s="98">
        <f t="shared" si="301"/>
        <v>50975</v>
      </c>
    </row>
    <row r="6053" spans="30:30" ht="14" thickBot="1" x14ac:dyDescent="0.2">
      <c r="AD6053" s="98">
        <f t="shared" si="301"/>
        <v>50976</v>
      </c>
    </row>
    <row r="6054" spans="30:30" ht="14" thickBot="1" x14ac:dyDescent="0.2">
      <c r="AD6054" s="98">
        <f t="shared" si="301"/>
        <v>50977</v>
      </c>
    </row>
    <row r="6055" spans="30:30" ht="14" thickBot="1" x14ac:dyDescent="0.2">
      <c r="AD6055" s="98">
        <f t="shared" si="301"/>
        <v>50978</v>
      </c>
    </row>
    <row r="6056" spans="30:30" ht="14" thickBot="1" x14ac:dyDescent="0.2">
      <c r="AD6056" s="98">
        <f t="shared" si="301"/>
        <v>50979</v>
      </c>
    </row>
    <row r="6057" spans="30:30" ht="14" thickBot="1" x14ac:dyDescent="0.2">
      <c r="AD6057" s="98">
        <f t="shared" si="301"/>
        <v>50980</v>
      </c>
    </row>
    <row r="6058" spans="30:30" ht="14" thickBot="1" x14ac:dyDescent="0.2">
      <c r="AD6058" s="98">
        <f t="shared" si="301"/>
        <v>50981</v>
      </c>
    </row>
    <row r="6059" spans="30:30" ht="14" thickBot="1" x14ac:dyDescent="0.2">
      <c r="AD6059" s="98">
        <f t="shared" si="301"/>
        <v>50982</v>
      </c>
    </row>
    <row r="6060" spans="30:30" ht="14" thickBot="1" x14ac:dyDescent="0.2">
      <c r="AD6060" s="98">
        <f t="shared" si="301"/>
        <v>50983</v>
      </c>
    </row>
    <row r="6061" spans="30:30" ht="14" thickBot="1" x14ac:dyDescent="0.2">
      <c r="AD6061" s="98">
        <f t="shared" si="301"/>
        <v>50984</v>
      </c>
    </row>
    <row r="6062" spans="30:30" ht="14" thickBot="1" x14ac:dyDescent="0.2">
      <c r="AD6062" s="98">
        <f t="shared" si="301"/>
        <v>50985</v>
      </c>
    </row>
    <row r="6063" spans="30:30" ht="14" thickBot="1" x14ac:dyDescent="0.2">
      <c r="AD6063" s="98">
        <f t="shared" si="301"/>
        <v>50986</v>
      </c>
    </row>
    <row r="6064" spans="30:30" ht="14" thickBot="1" x14ac:dyDescent="0.2">
      <c r="AD6064" s="98">
        <f t="shared" si="301"/>
        <v>50987</v>
      </c>
    </row>
    <row r="6065" spans="30:30" ht="14" thickBot="1" x14ac:dyDescent="0.2">
      <c r="AD6065" s="98">
        <f t="shared" si="301"/>
        <v>50988</v>
      </c>
    </row>
    <row r="6066" spans="30:30" ht="14" thickBot="1" x14ac:dyDescent="0.2">
      <c r="AD6066" s="98">
        <f t="shared" si="301"/>
        <v>50989</v>
      </c>
    </row>
    <row r="6067" spans="30:30" ht="14" thickBot="1" x14ac:dyDescent="0.2">
      <c r="AD6067" s="98">
        <f t="shared" si="301"/>
        <v>50990</v>
      </c>
    </row>
    <row r="6068" spans="30:30" ht="14" thickBot="1" x14ac:dyDescent="0.2">
      <c r="AD6068" s="98">
        <f t="shared" si="301"/>
        <v>50991</v>
      </c>
    </row>
    <row r="6069" spans="30:30" ht="14" thickBot="1" x14ac:dyDescent="0.2">
      <c r="AD6069" s="98">
        <f t="shared" si="301"/>
        <v>50992</v>
      </c>
    </row>
    <row r="6070" spans="30:30" ht="14" thickBot="1" x14ac:dyDescent="0.2">
      <c r="AD6070" s="98">
        <f t="shared" si="301"/>
        <v>50993</v>
      </c>
    </row>
    <row r="6071" spans="30:30" ht="14" thickBot="1" x14ac:dyDescent="0.2">
      <c r="AD6071" s="98">
        <f t="shared" si="301"/>
        <v>50994</v>
      </c>
    </row>
    <row r="6072" spans="30:30" ht="14" thickBot="1" x14ac:dyDescent="0.2">
      <c r="AD6072" s="98">
        <f t="shared" si="301"/>
        <v>50995</v>
      </c>
    </row>
    <row r="6073" spans="30:30" ht="14" thickBot="1" x14ac:dyDescent="0.2">
      <c r="AD6073" s="98">
        <f t="shared" si="301"/>
        <v>50996</v>
      </c>
    </row>
    <row r="6074" spans="30:30" ht="14" thickBot="1" x14ac:dyDescent="0.2">
      <c r="AD6074" s="98">
        <f t="shared" si="301"/>
        <v>50997</v>
      </c>
    </row>
    <row r="6075" spans="30:30" ht="14" thickBot="1" x14ac:dyDescent="0.2">
      <c r="AD6075" s="98">
        <f t="shared" si="301"/>
        <v>50998</v>
      </c>
    </row>
    <row r="6076" spans="30:30" ht="14" thickBot="1" x14ac:dyDescent="0.2">
      <c r="AD6076" s="98">
        <f t="shared" si="301"/>
        <v>50999</v>
      </c>
    </row>
    <row r="6077" spans="30:30" ht="14" thickBot="1" x14ac:dyDescent="0.2">
      <c r="AD6077" s="98">
        <f t="shared" si="301"/>
        <v>51000</v>
      </c>
    </row>
    <row r="6078" spans="30:30" ht="14" thickBot="1" x14ac:dyDescent="0.2">
      <c r="AD6078" s="98">
        <f t="shared" si="301"/>
        <v>51001</v>
      </c>
    </row>
    <row r="6079" spans="30:30" ht="14" thickBot="1" x14ac:dyDescent="0.2">
      <c r="AD6079" s="98">
        <f t="shared" si="301"/>
        <v>51002</v>
      </c>
    </row>
    <row r="6080" spans="30:30" ht="14" thickBot="1" x14ac:dyDescent="0.2">
      <c r="AD6080" s="98">
        <f t="shared" si="301"/>
        <v>51003</v>
      </c>
    </row>
    <row r="6081" spans="30:30" ht="14" thickBot="1" x14ac:dyDescent="0.2">
      <c r="AD6081" s="98">
        <f t="shared" si="301"/>
        <v>51004</v>
      </c>
    </row>
    <row r="6082" spans="30:30" ht="14" thickBot="1" x14ac:dyDescent="0.2">
      <c r="AD6082" s="98">
        <f t="shared" si="301"/>
        <v>51005</v>
      </c>
    </row>
    <row r="6083" spans="30:30" ht="14" thickBot="1" x14ac:dyDescent="0.2">
      <c r="AD6083" s="98">
        <f t="shared" si="301"/>
        <v>51006</v>
      </c>
    </row>
    <row r="6084" spans="30:30" ht="14" thickBot="1" x14ac:dyDescent="0.2">
      <c r="AD6084" s="98">
        <f t="shared" si="301"/>
        <v>51007</v>
      </c>
    </row>
    <row r="6085" spans="30:30" ht="14" thickBot="1" x14ac:dyDescent="0.2">
      <c r="AD6085" s="98">
        <f t="shared" si="301"/>
        <v>51008</v>
      </c>
    </row>
    <row r="6086" spans="30:30" ht="14" thickBot="1" x14ac:dyDescent="0.2">
      <c r="AD6086" s="98">
        <f t="shared" si="301"/>
        <v>51009</v>
      </c>
    </row>
    <row r="6087" spans="30:30" ht="14" thickBot="1" x14ac:dyDescent="0.2">
      <c r="AD6087" s="98">
        <f t="shared" si="301"/>
        <v>51010</v>
      </c>
    </row>
    <row r="6088" spans="30:30" ht="14" thickBot="1" x14ac:dyDescent="0.2">
      <c r="AD6088" s="98">
        <f t="shared" si="301"/>
        <v>51011</v>
      </c>
    </row>
    <row r="6089" spans="30:30" ht="14" thickBot="1" x14ac:dyDescent="0.2">
      <c r="AD6089" s="98">
        <f t="shared" ref="AD6089:AD6152" si="302">AD6088+1</f>
        <v>51012</v>
      </c>
    </row>
    <row r="6090" spans="30:30" ht="14" thickBot="1" x14ac:dyDescent="0.2">
      <c r="AD6090" s="98">
        <f t="shared" si="302"/>
        <v>51013</v>
      </c>
    </row>
    <row r="6091" spans="30:30" ht="14" thickBot="1" x14ac:dyDescent="0.2">
      <c r="AD6091" s="98">
        <f t="shared" si="302"/>
        <v>51014</v>
      </c>
    </row>
    <row r="6092" spans="30:30" ht="14" thickBot="1" x14ac:dyDescent="0.2">
      <c r="AD6092" s="98">
        <f t="shared" si="302"/>
        <v>51015</v>
      </c>
    </row>
    <row r="6093" spans="30:30" ht="14" thickBot="1" x14ac:dyDescent="0.2">
      <c r="AD6093" s="98">
        <f t="shared" si="302"/>
        <v>51016</v>
      </c>
    </row>
    <row r="6094" spans="30:30" ht="14" thickBot="1" x14ac:dyDescent="0.2">
      <c r="AD6094" s="98">
        <f t="shared" si="302"/>
        <v>51017</v>
      </c>
    </row>
    <row r="6095" spans="30:30" ht="14" thickBot="1" x14ac:dyDescent="0.2">
      <c r="AD6095" s="98">
        <f t="shared" si="302"/>
        <v>51018</v>
      </c>
    </row>
    <row r="6096" spans="30:30" ht="14" thickBot="1" x14ac:dyDescent="0.2">
      <c r="AD6096" s="98">
        <f t="shared" si="302"/>
        <v>51019</v>
      </c>
    </row>
    <row r="6097" spans="30:30" ht="14" thickBot="1" x14ac:dyDescent="0.2">
      <c r="AD6097" s="98">
        <f t="shared" si="302"/>
        <v>51020</v>
      </c>
    </row>
    <row r="6098" spans="30:30" ht="14" thickBot="1" x14ac:dyDescent="0.2">
      <c r="AD6098" s="98">
        <f t="shared" si="302"/>
        <v>51021</v>
      </c>
    </row>
    <row r="6099" spans="30:30" ht="14" thickBot="1" x14ac:dyDescent="0.2">
      <c r="AD6099" s="98">
        <f t="shared" si="302"/>
        <v>51022</v>
      </c>
    </row>
    <row r="6100" spans="30:30" ht="14" thickBot="1" x14ac:dyDescent="0.2">
      <c r="AD6100" s="98">
        <f t="shared" si="302"/>
        <v>51023</v>
      </c>
    </row>
    <row r="6101" spans="30:30" ht="14" thickBot="1" x14ac:dyDescent="0.2">
      <c r="AD6101" s="98">
        <f t="shared" si="302"/>
        <v>51024</v>
      </c>
    </row>
    <row r="6102" spans="30:30" ht="14" thickBot="1" x14ac:dyDescent="0.2">
      <c r="AD6102" s="98">
        <f t="shared" si="302"/>
        <v>51025</v>
      </c>
    </row>
    <row r="6103" spans="30:30" ht="14" thickBot="1" x14ac:dyDescent="0.2">
      <c r="AD6103" s="98">
        <f t="shared" si="302"/>
        <v>51026</v>
      </c>
    </row>
    <row r="6104" spans="30:30" ht="14" thickBot="1" x14ac:dyDescent="0.2">
      <c r="AD6104" s="98">
        <f t="shared" si="302"/>
        <v>51027</v>
      </c>
    </row>
    <row r="6105" spans="30:30" ht="14" thickBot="1" x14ac:dyDescent="0.2">
      <c r="AD6105" s="98">
        <f t="shared" si="302"/>
        <v>51028</v>
      </c>
    </row>
    <row r="6106" spans="30:30" ht="14" thickBot="1" x14ac:dyDescent="0.2">
      <c r="AD6106" s="98">
        <f t="shared" si="302"/>
        <v>51029</v>
      </c>
    </row>
    <row r="6107" spans="30:30" ht="14" thickBot="1" x14ac:dyDescent="0.2">
      <c r="AD6107" s="98">
        <f t="shared" si="302"/>
        <v>51030</v>
      </c>
    </row>
    <row r="6108" spans="30:30" ht="14" thickBot="1" x14ac:dyDescent="0.2">
      <c r="AD6108" s="98">
        <f t="shared" si="302"/>
        <v>51031</v>
      </c>
    </row>
    <row r="6109" spans="30:30" ht="14" thickBot="1" x14ac:dyDescent="0.2">
      <c r="AD6109" s="98">
        <f t="shared" si="302"/>
        <v>51032</v>
      </c>
    </row>
    <row r="6110" spans="30:30" ht="14" thickBot="1" x14ac:dyDescent="0.2">
      <c r="AD6110" s="98">
        <f t="shared" si="302"/>
        <v>51033</v>
      </c>
    </row>
    <row r="6111" spans="30:30" ht="14" thickBot="1" x14ac:dyDescent="0.2">
      <c r="AD6111" s="98">
        <f t="shared" si="302"/>
        <v>51034</v>
      </c>
    </row>
    <row r="6112" spans="30:30" ht="14" thickBot="1" x14ac:dyDescent="0.2">
      <c r="AD6112" s="98">
        <f t="shared" si="302"/>
        <v>51035</v>
      </c>
    </row>
    <row r="6113" spans="30:30" ht="14" thickBot="1" x14ac:dyDescent="0.2">
      <c r="AD6113" s="98">
        <f t="shared" si="302"/>
        <v>51036</v>
      </c>
    </row>
    <row r="6114" spans="30:30" ht="14" thickBot="1" x14ac:dyDescent="0.2">
      <c r="AD6114" s="98">
        <f t="shared" si="302"/>
        <v>51037</v>
      </c>
    </row>
    <row r="6115" spans="30:30" ht="14" thickBot="1" x14ac:dyDescent="0.2">
      <c r="AD6115" s="98">
        <f t="shared" si="302"/>
        <v>51038</v>
      </c>
    </row>
    <row r="6116" spans="30:30" ht="14" thickBot="1" x14ac:dyDescent="0.2">
      <c r="AD6116" s="98">
        <f t="shared" si="302"/>
        <v>51039</v>
      </c>
    </row>
    <row r="6117" spans="30:30" ht="14" thickBot="1" x14ac:dyDescent="0.2">
      <c r="AD6117" s="98">
        <f t="shared" si="302"/>
        <v>51040</v>
      </c>
    </row>
    <row r="6118" spans="30:30" ht="14" thickBot="1" x14ac:dyDescent="0.2">
      <c r="AD6118" s="98">
        <f t="shared" si="302"/>
        <v>51041</v>
      </c>
    </row>
    <row r="6119" spans="30:30" ht="14" thickBot="1" x14ac:dyDescent="0.2">
      <c r="AD6119" s="98">
        <f t="shared" si="302"/>
        <v>51042</v>
      </c>
    </row>
    <row r="6120" spans="30:30" ht="14" thickBot="1" x14ac:dyDescent="0.2">
      <c r="AD6120" s="98">
        <f t="shared" si="302"/>
        <v>51043</v>
      </c>
    </row>
    <row r="6121" spans="30:30" ht="14" thickBot="1" x14ac:dyDescent="0.2">
      <c r="AD6121" s="98">
        <f t="shared" si="302"/>
        <v>51044</v>
      </c>
    </row>
    <row r="6122" spans="30:30" ht="14" thickBot="1" x14ac:dyDescent="0.2">
      <c r="AD6122" s="98">
        <f t="shared" si="302"/>
        <v>51045</v>
      </c>
    </row>
    <row r="6123" spans="30:30" ht="14" thickBot="1" x14ac:dyDescent="0.2">
      <c r="AD6123" s="98">
        <f t="shared" si="302"/>
        <v>51046</v>
      </c>
    </row>
    <row r="6124" spans="30:30" ht="14" thickBot="1" x14ac:dyDescent="0.2">
      <c r="AD6124" s="98">
        <f t="shared" si="302"/>
        <v>51047</v>
      </c>
    </row>
    <row r="6125" spans="30:30" ht="14" thickBot="1" x14ac:dyDescent="0.2">
      <c r="AD6125" s="98">
        <f t="shared" si="302"/>
        <v>51048</v>
      </c>
    </row>
    <row r="6126" spans="30:30" ht="14" thickBot="1" x14ac:dyDescent="0.2">
      <c r="AD6126" s="98">
        <f t="shared" si="302"/>
        <v>51049</v>
      </c>
    </row>
    <row r="6127" spans="30:30" ht="14" thickBot="1" x14ac:dyDescent="0.2">
      <c r="AD6127" s="98">
        <f t="shared" si="302"/>
        <v>51050</v>
      </c>
    </row>
    <row r="6128" spans="30:30" ht="14" thickBot="1" x14ac:dyDescent="0.2">
      <c r="AD6128" s="98">
        <f t="shared" si="302"/>
        <v>51051</v>
      </c>
    </row>
    <row r="6129" spans="30:30" ht="14" thickBot="1" x14ac:dyDescent="0.2">
      <c r="AD6129" s="98">
        <f t="shared" si="302"/>
        <v>51052</v>
      </c>
    </row>
    <row r="6130" spans="30:30" ht="14" thickBot="1" x14ac:dyDescent="0.2">
      <c r="AD6130" s="98">
        <f t="shared" si="302"/>
        <v>51053</v>
      </c>
    </row>
    <row r="6131" spans="30:30" ht="14" thickBot="1" x14ac:dyDescent="0.2">
      <c r="AD6131" s="98">
        <f t="shared" si="302"/>
        <v>51054</v>
      </c>
    </row>
    <row r="6132" spans="30:30" ht="14" thickBot="1" x14ac:dyDescent="0.2">
      <c r="AD6132" s="98">
        <f t="shared" si="302"/>
        <v>51055</v>
      </c>
    </row>
    <row r="6133" spans="30:30" ht="14" thickBot="1" x14ac:dyDescent="0.2">
      <c r="AD6133" s="98">
        <f t="shared" si="302"/>
        <v>51056</v>
      </c>
    </row>
    <row r="6134" spans="30:30" ht="14" thickBot="1" x14ac:dyDescent="0.2">
      <c r="AD6134" s="98">
        <f t="shared" si="302"/>
        <v>51057</v>
      </c>
    </row>
    <row r="6135" spans="30:30" ht="14" thickBot="1" x14ac:dyDescent="0.2">
      <c r="AD6135" s="98">
        <f t="shared" si="302"/>
        <v>51058</v>
      </c>
    </row>
    <row r="6136" spans="30:30" ht="14" thickBot="1" x14ac:dyDescent="0.2">
      <c r="AD6136" s="98">
        <f t="shared" si="302"/>
        <v>51059</v>
      </c>
    </row>
    <row r="6137" spans="30:30" ht="14" thickBot="1" x14ac:dyDescent="0.2">
      <c r="AD6137" s="98">
        <f t="shared" si="302"/>
        <v>51060</v>
      </c>
    </row>
    <row r="6138" spans="30:30" ht="14" thickBot="1" x14ac:dyDescent="0.2">
      <c r="AD6138" s="98">
        <f t="shared" si="302"/>
        <v>51061</v>
      </c>
    </row>
    <row r="6139" spans="30:30" ht="14" thickBot="1" x14ac:dyDescent="0.2">
      <c r="AD6139" s="98">
        <f t="shared" si="302"/>
        <v>51062</v>
      </c>
    </row>
    <row r="6140" spans="30:30" ht="14" thickBot="1" x14ac:dyDescent="0.2">
      <c r="AD6140" s="98">
        <f t="shared" si="302"/>
        <v>51063</v>
      </c>
    </row>
    <row r="6141" spans="30:30" ht="14" thickBot="1" x14ac:dyDescent="0.2">
      <c r="AD6141" s="98">
        <f t="shared" si="302"/>
        <v>51064</v>
      </c>
    </row>
    <row r="6142" spans="30:30" ht="14" thickBot="1" x14ac:dyDescent="0.2">
      <c r="AD6142" s="98">
        <f t="shared" si="302"/>
        <v>51065</v>
      </c>
    </row>
    <row r="6143" spans="30:30" ht="14" thickBot="1" x14ac:dyDescent="0.2">
      <c r="AD6143" s="98">
        <f t="shared" si="302"/>
        <v>51066</v>
      </c>
    </row>
    <row r="6144" spans="30:30" ht="14" thickBot="1" x14ac:dyDescent="0.2">
      <c r="AD6144" s="98">
        <f t="shared" si="302"/>
        <v>51067</v>
      </c>
    </row>
    <row r="6145" spans="30:30" ht="14" thickBot="1" x14ac:dyDescent="0.2">
      <c r="AD6145" s="98">
        <f t="shared" si="302"/>
        <v>51068</v>
      </c>
    </row>
    <row r="6146" spans="30:30" ht="14" thickBot="1" x14ac:dyDescent="0.2">
      <c r="AD6146" s="98">
        <f t="shared" si="302"/>
        <v>51069</v>
      </c>
    </row>
    <row r="6147" spans="30:30" ht="14" thickBot="1" x14ac:dyDescent="0.2">
      <c r="AD6147" s="98">
        <f t="shared" si="302"/>
        <v>51070</v>
      </c>
    </row>
    <row r="6148" spans="30:30" ht="14" thickBot="1" x14ac:dyDescent="0.2">
      <c r="AD6148" s="98">
        <f t="shared" si="302"/>
        <v>51071</v>
      </c>
    </row>
    <row r="6149" spans="30:30" ht="14" thickBot="1" x14ac:dyDescent="0.2">
      <c r="AD6149" s="98">
        <f t="shared" si="302"/>
        <v>51072</v>
      </c>
    </row>
    <row r="6150" spans="30:30" ht="14" thickBot="1" x14ac:dyDescent="0.2">
      <c r="AD6150" s="98">
        <f t="shared" si="302"/>
        <v>51073</v>
      </c>
    </row>
    <row r="6151" spans="30:30" ht="14" thickBot="1" x14ac:dyDescent="0.2">
      <c r="AD6151" s="98">
        <f t="shared" si="302"/>
        <v>51074</v>
      </c>
    </row>
    <row r="6152" spans="30:30" ht="14" thickBot="1" x14ac:dyDescent="0.2">
      <c r="AD6152" s="98">
        <f t="shared" si="302"/>
        <v>51075</v>
      </c>
    </row>
    <row r="6153" spans="30:30" ht="14" thickBot="1" x14ac:dyDescent="0.2">
      <c r="AD6153" s="98">
        <f t="shared" ref="AD6153:AD6216" si="303">AD6152+1</f>
        <v>51076</v>
      </c>
    </row>
    <row r="6154" spans="30:30" ht="14" thickBot="1" x14ac:dyDescent="0.2">
      <c r="AD6154" s="98">
        <f t="shared" si="303"/>
        <v>51077</v>
      </c>
    </row>
    <row r="6155" spans="30:30" ht="14" thickBot="1" x14ac:dyDescent="0.2">
      <c r="AD6155" s="98">
        <f t="shared" si="303"/>
        <v>51078</v>
      </c>
    </row>
    <row r="6156" spans="30:30" ht="14" thickBot="1" x14ac:dyDescent="0.2">
      <c r="AD6156" s="98">
        <f t="shared" si="303"/>
        <v>51079</v>
      </c>
    </row>
    <row r="6157" spans="30:30" ht="14" thickBot="1" x14ac:dyDescent="0.2">
      <c r="AD6157" s="98">
        <f t="shared" si="303"/>
        <v>51080</v>
      </c>
    </row>
    <row r="6158" spans="30:30" ht="14" thickBot="1" x14ac:dyDescent="0.2">
      <c r="AD6158" s="98">
        <f t="shared" si="303"/>
        <v>51081</v>
      </c>
    </row>
    <row r="6159" spans="30:30" ht="14" thickBot="1" x14ac:dyDescent="0.2">
      <c r="AD6159" s="98">
        <f t="shared" si="303"/>
        <v>51082</v>
      </c>
    </row>
    <row r="6160" spans="30:30" ht="14" thickBot="1" x14ac:dyDescent="0.2">
      <c r="AD6160" s="98">
        <f t="shared" si="303"/>
        <v>51083</v>
      </c>
    </row>
    <row r="6161" spans="30:30" ht="14" thickBot="1" x14ac:dyDescent="0.2">
      <c r="AD6161" s="98">
        <f t="shared" si="303"/>
        <v>51084</v>
      </c>
    </row>
    <row r="6162" spans="30:30" ht="14" thickBot="1" x14ac:dyDescent="0.2">
      <c r="AD6162" s="98">
        <f t="shared" si="303"/>
        <v>51085</v>
      </c>
    </row>
    <row r="6163" spans="30:30" ht="14" thickBot="1" x14ac:dyDescent="0.2">
      <c r="AD6163" s="98">
        <f t="shared" si="303"/>
        <v>51086</v>
      </c>
    </row>
    <row r="6164" spans="30:30" ht="14" thickBot="1" x14ac:dyDescent="0.2">
      <c r="AD6164" s="98">
        <f t="shared" si="303"/>
        <v>51087</v>
      </c>
    </row>
    <row r="6165" spans="30:30" ht="14" thickBot="1" x14ac:dyDescent="0.2">
      <c r="AD6165" s="98">
        <f t="shared" si="303"/>
        <v>51088</v>
      </c>
    </row>
    <row r="6166" spans="30:30" ht="14" thickBot="1" x14ac:dyDescent="0.2">
      <c r="AD6166" s="98">
        <f t="shared" si="303"/>
        <v>51089</v>
      </c>
    </row>
    <row r="6167" spans="30:30" ht="14" thickBot="1" x14ac:dyDescent="0.2">
      <c r="AD6167" s="98">
        <f t="shared" si="303"/>
        <v>51090</v>
      </c>
    </row>
    <row r="6168" spans="30:30" ht="14" thickBot="1" x14ac:dyDescent="0.2">
      <c r="AD6168" s="98">
        <f t="shared" si="303"/>
        <v>51091</v>
      </c>
    </row>
    <row r="6169" spans="30:30" ht="14" thickBot="1" x14ac:dyDescent="0.2">
      <c r="AD6169" s="98">
        <f t="shared" si="303"/>
        <v>51092</v>
      </c>
    </row>
    <row r="6170" spans="30:30" ht="14" thickBot="1" x14ac:dyDescent="0.2">
      <c r="AD6170" s="98">
        <f t="shared" si="303"/>
        <v>51093</v>
      </c>
    </row>
    <row r="6171" spans="30:30" ht="14" thickBot="1" x14ac:dyDescent="0.2">
      <c r="AD6171" s="98">
        <f t="shared" si="303"/>
        <v>51094</v>
      </c>
    </row>
    <row r="6172" spans="30:30" ht="14" thickBot="1" x14ac:dyDescent="0.2">
      <c r="AD6172" s="98">
        <f t="shared" si="303"/>
        <v>51095</v>
      </c>
    </row>
    <row r="6173" spans="30:30" ht="14" thickBot="1" x14ac:dyDescent="0.2">
      <c r="AD6173" s="98">
        <f t="shared" si="303"/>
        <v>51096</v>
      </c>
    </row>
    <row r="6174" spans="30:30" ht="14" thickBot="1" x14ac:dyDescent="0.2">
      <c r="AD6174" s="98">
        <f t="shared" si="303"/>
        <v>51097</v>
      </c>
    </row>
    <row r="6175" spans="30:30" ht="14" thickBot="1" x14ac:dyDescent="0.2">
      <c r="AD6175" s="98">
        <f t="shared" si="303"/>
        <v>51098</v>
      </c>
    </row>
    <row r="6176" spans="30:30" ht="14" thickBot="1" x14ac:dyDescent="0.2">
      <c r="AD6176" s="98">
        <f t="shared" si="303"/>
        <v>51099</v>
      </c>
    </row>
    <row r="6177" spans="30:30" ht="14" thickBot="1" x14ac:dyDescent="0.2">
      <c r="AD6177" s="98">
        <f t="shared" si="303"/>
        <v>51100</v>
      </c>
    </row>
    <row r="6178" spans="30:30" ht="14" thickBot="1" x14ac:dyDescent="0.2">
      <c r="AD6178" s="98">
        <f t="shared" si="303"/>
        <v>51101</v>
      </c>
    </row>
    <row r="6179" spans="30:30" ht="14" thickBot="1" x14ac:dyDescent="0.2">
      <c r="AD6179" s="98">
        <f t="shared" si="303"/>
        <v>51102</v>
      </c>
    </row>
    <row r="6180" spans="30:30" ht="14" thickBot="1" x14ac:dyDescent="0.2">
      <c r="AD6180" s="98">
        <f t="shared" si="303"/>
        <v>51103</v>
      </c>
    </row>
    <row r="6181" spans="30:30" ht="14" thickBot="1" x14ac:dyDescent="0.2">
      <c r="AD6181" s="98">
        <f t="shared" si="303"/>
        <v>51104</v>
      </c>
    </row>
    <row r="6182" spans="30:30" ht="14" thickBot="1" x14ac:dyDescent="0.2">
      <c r="AD6182" s="98">
        <f t="shared" si="303"/>
        <v>51105</v>
      </c>
    </row>
    <row r="6183" spans="30:30" ht="14" thickBot="1" x14ac:dyDescent="0.2">
      <c r="AD6183" s="98">
        <f t="shared" si="303"/>
        <v>51106</v>
      </c>
    </row>
    <row r="6184" spans="30:30" ht="14" thickBot="1" x14ac:dyDescent="0.2">
      <c r="AD6184" s="98">
        <f t="shared" si="303"/>
        <v>51107</v>
      </c>
    </row>
    <row r="6185" spans="30:30" ht="14" thickBot="1" x14ac:dyDescent="0.2">
      <c r="AD6185" s="98">
        <f t="shared" si="303"/>
        <v>51108</v>
      </c>
    </row>
    <row r="6186" spans="30:30" ht="14" thickBot="1" x14ac:dyDescent="0.2">
      <c r="AD6186" s="98">
        <f t="shared" si="303"/>
        <v>51109</v>
      </c>
    </row>
    <row r="6187" spans="30:30" ht="14" thickBot="1" x14ac:dyDescent="0.2">
      <c r="AD6187" s="98">
        <f t="shared" si="303"/>
        <v>51110</v>
      </c>
    </row>
    <row r="6188" spans="30:30" ht="14" thickBot="1" x14ac:dyDescent="0.2">
      <c r="AD6188" s="98">
        <f t="shared" si="303"/>
        <v>51111</v>
      </c>
    </row>
    <row r="6189" spans="30:30" ht="14" thickBot="1" x14ac:dyDescent="0.2">
      <c r="AD6189" s="98">
        <f t="shared" si="303"/>
        <v>51112</v>
      </c>
    </row>
    <row r="6190" spans="30:30" ht="14" thickBot="1" x14ac:dyDescent="0.2">
      <c r="AD6190" s="98">
        <f t="shared" si="303"/>
        <v>51113</v>
      </c>
    </row>
    <row r="6191" spans="30:30" ht="14" thickBot="1" x14ac:dyDescent="0.2">
      <c r="AD6191" s="98">
        <f t="shared" si="303"/>
        <v>51114</v>
      </c>
    </row>
    <row r="6192" spans="30:30" ht="14" thickBot="1" x14ac:dyDescent="0.2">
      <c r="AD6192" s="98">
        <f t="shared" si="303"/>
        <v>51115</v>
      </c>
    </row>
    <row r="6193" spans="30:30" ht="14" thickBot="1" x14ac:dyDescent="0.2">
      <c r="AD6193" s="98">
        <f t="shared" si="303"/>
        <v>51116</v>
      </c>
    </row>
    <row r="6194" spans="30:30" ht="14" thickBot="1" x14ac:dyDescent="0.2">
      <c r="AD6194" s="98">
        <f t="shared" si="303"/>
        <v>51117</v>
      </c>
    </row>
    <row r="6195" spans="30:30" ht="14" thickBot="1" x14ac:dyDescent="0.2">
      <c r="AD6195" s="98">
        <f t="shared" si="303"/>
        <v>51118</v>
      </c>
    </row>
    <row r="6196" spans="30:30" ht="14" thickBot="1" x14ac:dyDescent="0.2">
      <c r="AD6196" s="98">
        <f t="shared" si="303"/>
        <v>51119</v>
      </c>
    </row>
    <row r="6197" spans="30:30" ht="14" thickBot="1" x14ac:dyDescent="0.2">
      <c r="AD6197" s="98">
        <f t="shared" si="303"/>
        <v>51120</v>
      </c>
    </row>
    <row r="6198" spans="30:30" ht="14" thickBot="1" x14ac:dyDescent="0.2">
      <c r="AD6198" s="98">
        <f t="shared" si="303"/>
        <v>51121</v>
      </c>
    </row>
    <row r="6199" spans="30:30" ht="14" thickBot="1" x14ac:dyDescent="0.2">
      <c r="AD6199" s="98">
        <f t="shared" si="303"/>
        <v>51122</v>
      </c>
    </row>
    <row r="6200" spans="30:30" ht="14" thickBot="1" x14ac:dyDescent="0.2">
      <c r="AD6200" s="98">
        <f t="shared" si="303"/>
        <v>51123</v>
      </c>
    </row>
    <row r="6201" spans="30:30" ht="14" thickBot="1" x14ac:dyDescent="0.2">
      <c r="AD6201" s="98">
        <f t="shared" si="303"/>
        <v>51124</v>
      </c>
    </row>
    <row r="6202" spans="30:30" ht="14" thickBot="1" x14ac:dyDescent="0.2">
      <c r="AD6202" s="98">
        <f t="shared" si="303"/>
        <v>51125</v>
      </c>
    </row>
    <row r="6203" spans="30:30" ht="14" thickBot="1" x14ac:dyDescent="0.2">
      <c r="AD6203" s="98">
        <f t="shared" si="303"/>
        <v>51126</v>
      </c>
    </row>
    <row r="6204" spans="30:30" ht="14" thickBot="1" x14ac:dyDescent="0.2">
      <c r="AD6204" s="98">
        <f t="shared" si="303"/>
        <v>51127</v>
      </c>
    </row>
    <row r="6205" spans="30:30" ht="14" thickBot="1" x14ac:dyDescent="0.2">
      <c r="AD6205" s="98">
        <f t="shared" si="303"/>
        <v>51128</v>
      </c>
    </row>
    <row r="6206" spans="30:30" ht="14" thickBot="1" x14ac:dyDescent="0.2">
      <c r="AD6206" s="98">
        <f t="shared" si="303"/>
        <v>51129</v>
      </c>
    </row>
    <row r="6207" spans="30:30" ht="14" thickBot="1" x14ac:dyDescent="0.2">
      <c r="AD6207" s="98">
        <f t="shared" si="303"/>
        <v>51130</v>
      </c>
    </row>
    <row r="6208" spans="30:30" ht="14" thickBot="1" x14ac:dyDescent="0.2">
      <c r="AD6208" s="98">
        <f t="shared" si="303"/>
        <v>51131</v>
      </c>
    </row>
    <row r="6209" spans="30:30" ht="14" thickBot="1" x14ac:dyDescent="0.2">
      <c r="AD6209" s="98">
        <f t="shared" si="303"/>
        <v>51132</v>
      </c>
    </row>
    <row r="6210" spans="30:30" ht="14" thickBot="1" x14ac:dyDescent="0.2">
      <c r="AD6210" s="98">
        <f t="shared" si="303"/>
        <v>51133</v>
      </c>
    </row>
    <row r="6211" spans="30:30" ht="14" thickBot="1" x14ac:dyDescent="0.2">
      <c r="AD6211" s="98">
        <f t="shared" si="303"/>
        <v>51134</v>
      </c>
    </row>
    <row r="6212" spans="30:30" ht="14" thickBot="1" x14ac:dyDescent="0.2">
      <c r="AD6212" s="98">
        <f t="shared" si="303"/>
        <v>51135</v>
      </c>
    </row>
    <row r="6213" spans="30:30" ht="14" thickBot="1" x14ac:dyDescent="0.2">
      <c r="AD6213" s="98">
        <f t="shared" si="303"/>
        <v>51136</v>
      </c>
    </row>
    <row r="6214" spans="30:30" ht="14" thickBot="1" x14ac:dyDescent="0.2">
      <c r="AD6214" s="98">
        <f t="shared" si="303"/>
        <v>51137</v>
      </c>
    </row>
    <row r="6215" spans="30:30" ht="14" thickBot="1" x14ac:dyDescent="0.2">
      <c r="AD6215" s="98">
        <f t="shared" si="303"/>
        <v>51138</v>
      </c>
    </row>
    <row r="6216" spans="30:30" ht="14" thickBot="1" x14ac:dyDescent="0.2">
      <c r="AD6216" s="98">
        <f t="shared" si="303"/>
        <v>51139</v>
      </c>
    </row>
    <row r="6217" spans="30:30" ht="14" thickBot="1" x14ac:dyDescent="0.2">
      <c r="AD6217" s="98">
        <f t="shared" ref="AD6217:AD6280" si="304">AD6216+1</f>
        <v>51140</v>
      </c>
    </row>
    <row r="6218" spans="30:30" ht="14" thickBot="1" x14ac:dyDescent="0.2">
      <c r="AD6218" s="98">
        <f t="shared" si="304"/>
        <v>51141</v>
      </c>
    </row>
    <row r="6219" spans="30:30" ht="14" thickBot="1" x14ac:dyDescent="0.2">
      <c r="AD6219" s="98">
        <f t="shared" si="304"/>
        <v>51142</v>
      </c>
    </row>
    <row r="6220" spans="30:30" ht="14" thickBot="1" x14ac:dyDescent="0.2">
      <c r="AD6220" s="98">
        <f t="shared" si="304"/>
        <v>51143</v>
      </c>
    </row>
    <row r="6221" spans="30:30" ht="14" thickBot="1" x14ac:dyDescent="0.2">
      <c r="AD6221" s="98">
        <f t="shared" si="304"/>
        <v>51144</v>
      </c>
    </row>
    <row r="6222" spans="30:30" ht="14" thickBot="1" x14ac:dyDescent="0.2">
      <c r="AD6222" s="98">
        <f t="shared" si="304"/>
        <v>51145</v>
      </c>
    </row>
    <row r="6223" spans="30:30" ht="14" thickBot="1" x14ac:dyDescent="0.2">
      <c r="AD6223" s="98">
        <f t="shared" si="304"/>
        <v>51146</v>
      </c>
    </row>
    <row r="6224" spans="30:30" ht="14" thickBot="1" x14ac:dyDescent="0.2">
      <c r="AD6224" s="98">
        <f t="shared" si="304"/>
        <v>51147</v>
      </c>
    </row>
    <row r="6225" spans="30:30" ht="14" thickBot="1" x14ac:dyDescent="0.2">
      <c r="AD6225" s="98">
        <f t="shared" si="304"/>
        <v>51148</v>
      </c>
    </row>
    <row r="6226" spans="30:30" ht="14" thickBot="1" x14ac:dyDescent="0.2">
      <c r="AD6226" s="98">
        <f t="shared" si="304"/>
        <v>51149</v>
      </c>
    </row>
    <row r="6227" spans="30:30" ht="14" thickBot="1" x14ac:dyDescent="0.2">
      <c r="AD6227" s="98">
        <f t="shared" si="304"/>
        <v>51150</v>
      </c>
    </row>
    <row r="6228" spans="30:30" ht="14" thickBot="1" x14ac:dyDescent="0.2">
      <c r="AD6228" s="98">
        <f t="shared" si="304"/>
        <v>51151</v>
      </c>
    </row>
    <row r="6229" spans="30:30" ht="14" thickBot="1" x14ac:dyDescent="0.2">
      <c r="AD6229" s="98">
        <f t="shared" si="304"/>
        <v>51152</v>
      </c>
    </row>
    <row r="6230" spans="30:30" ht="14" thickBot="1" x14ac:dyDescent="0.2">
      <c r="AD6230" s="98">
        <f t="shared" si="304"/>
        <v>51153</v>
      </c>
    </row>
    <row r="6231" spans="30:30" ht="14" thickBot="1" x14ac:dyDescent="0.2">
      <c r="AD6231" s="98">
        <f t="shared" si="304"/>
        <v>51154</v>
      </c>
    </row>
    <row r="6232" spans="30:30" ht="14" thickBot="1" x14ac:dyDescent="0.2">
      <c r="AD6232" s="98">
        <f t="shared" si="304"/>
        <v>51155</v>
      </c>
    </row>
    <row r="6233" spans="30:30" ht="14" thickBot="1" x14ac:dyDescent="0.2">
      <c r="AD6233" s="98">
        <f t="shared" si="304"/>
        <v>51156</v>
      </c>
    </row>
    <row r="6234" spans="30:30" ht="14" thickBot="1" x14ac:dyDescent="0.2">
      <c r="AD6234" s="98">
        <f t="shared" si="304"/>
        <v>51157</v>
      </c>
    </row>
    <row r="6235" spans="30:30" ht="14" thickBot="1" x14ac:dyDescent="0.2">
      <c r="AD6235" s="98">
        <f t="shared" si="304"/>
        <v>51158</v>
      </c>
    </row>
    <row r="6236" spans="30:30" ht="14" thickBot="1" x14ac:dyDescent="0.2">
      <c r="AD6236" s="98">
        <f t="shared" si="304"/>
        <v>51159</v>
      </c>
    </row>
    <row r="6237" spans="30:30" ht="14" thickBot="1" x14ac:dyDescent="0.2">
      <c r="AD6237" s="98">
        <f t="shared" si="304"/>
        <v>51160</v>
      </c>
    </row>
    <row r="6238" spans="30:30" ht="14" thickBot="1" x14ac:dyDescent="0.2">
      <c r="AD6238" s="98">
        <f t="shared" si="304"/>
        <v>51161</v>
      </c>
    </row>
    <row r="6239" spans="30:30" ht="14" thickBot="1" x14ac:dyDescent="0.2">
      <c r="AD6239" s="98">
        <f t="shared" si="304"/>
        <v>51162</v>
      </c>
    </row>
    <row r="6240" spans="30:30" ht="14" thickBot="1" x14ac:dyDescent="0.2">
      <c r="AD6240" s="98">
        <f t="shared" si="304"/>
        <v>51163</v>
      </c>
    </row>
    <row r="6241" spans="30:30" ht="14" thickBot="1" x14ac:dyDescent="0.2">
      <c r="AD6241" s="98">
        <f t="shared" si="304"/>
        <v>51164</v>
      </c>
    </row>
    <row r="6242" spans="30:30" ht="14" thickBot="1" x14ac:dyDescent="0.2">
      <c r="AD6242" s="98">
        <f t="shared" si="304"/>
        <v>51165</v>
      </c>
    </row>
    <row r="6243" spans="30:30" ht="14" thickBot="1" x14ac:dyDescent="0.2">
      <c r="AD6243" s="98">
        <f t="shared" si="304"/>
        <v>51166</v>
      </c>
    </row>
    <row r="6244" spans="30:30" ht="14" thickBot="1" x14ac:dyDescent="0.2">
      <c r="AD6244" s="98">
        <f t="shared" si="304"/>
        <v>51167</v>
      </c>
    </row>
    <row r="6245" spans="30:30" ht="14" thickBot="1" x14ac:dyDescent="0.2">
      <c r="AD6245" s="98">
        <f t="shared" si="304"/>
        <v>51168</v>
      </c>
    </row>
    <row r="6246" spans="30:30" ht="14" thickBot="1" x14ac:dyDescent="0.2">
      <c r="AD6246" s="98">
        <f t="shared" si="304"/>
        <v>51169</v>
      </c>
    </row>
    <row r="6247" spans="30:30" ht="14" thickBot="1" x14ac:dyDescent="0.2">
      <c r="AD6247" s="98">
        <f t="shared" si="304"/>
        <v>51170</v>
      </c>
    </row>
    <row r="6248" spans="30:30" ht="14" thickBot="1" x14ac:dyDescent="0.2">
      <c r="AD6248" s="98">
        <f t="shared" si="304"/>
        <v>51171</v>
      </c>
    </row>
    <row r="6249" spans="30:30" ht="14" thickBot="1" x14ac:dyDescent="0.2">
      <c r="AD6249" s="98">
        <f t="shared" si="304"/>
        <v>51172</v>
      </c>
    </row>
    <row r="6250" spans="30:30" ht="14" thickBot="1" x14ac:dyDescent="0.2">
      <c r="AD6250" s="98">
        <f t="shared" si="304"/>
        <v>51173</v>
      </c>
    </row>
    <row r="6251" spans="30:30" ht="14" thickBot="1" x14ac:dyDescent="0.2">
      <c r="AD6251" s="98">
        <f t="shared" si="304"/>
        <v>51174</v>
      </c>
    </row>
    <row r="6252" spans="30:30" ht="14" thickBot="1" x14ac:dyDescent="0.2">
      <c r="AD6252" s="98">
        <f t="shared" si="304"/>
        <v>51175</v>
      </c>
    </row>
    <row r="6253" spans="30:30" ht="14" thickBot="1" x14ac:dyDescent="0.2">
      <c r="AD6253" s="98">
        <f t="shared" si="304"/>
        <v>51176</v>
      </c>
    </row>
    <row r="6254" spans="30:30" ht="14" thickBot="1" x14ac:dyDescent="0.2">
      <c r="AD6254" s="98">
        <f t="shared" si="304"/>
        <v>51177</v>
      </c>
    </row>
    <row r="6255" spans="30:30" ht="14" thickBot="1" x14ac:dyDescent="0.2">
      <c r="AD6255" s="98">
        <f t="shared" si="304"/>
        <v>51178</v>
      </c>
    </row>
    <row r="6256" spans="30:30" ht="14" thickBot="1" x14ac:dyDescent="0.2">
      <c r="AD6256" s="98">
        <f t="shared" si="304"/>
        <v>51179</v>
      </c>
    </row>
    <row r="6257" spans="30:30" ht="14" thickBot="1" x14ac:dyDescent="0.2">
      <c r="AD6257" s="98">
        <f t="shared" si="304"/>
        <v>51180</v>
      </c>
    </row>
    <row r="6258" spans="30:30" ht="14" thickBot="1" x14ac:dyDescent="0.2">
      <c r="AD6258" s="98">
        <f t="shared" si="304"/>
        <v>51181</v>
      </c>
    </row>
    <row r="6259" spans="30:30" ht="14" thickBot="1" x14ac:dyDescent="0.2">
      <c r="AD6259" s="98">
        <f t="shared" si="304"/>
        <v>51182</v>
      </c>
    </row>
    <row r="6260" spans="30:30" ht="14" thickBot="1" x14ac:dyDescent="0.2">
      <c r="AD6260" s="98">
        <f t="shared" si="304"/>
        <v>51183</v>
      </c>
    </row>
    <row r="6261" spans="30:30" ht="14" thickBot="1" x14ac:dyDescent="0.2">
      <c r="AD6261" s="98">
        <f t="shared" si="304"/>
        <v>51184</v>
      </c>
    </row>
    <row r="6262" spans="30:30" ht="14" thickBot="1" x14ac:dyDescent="0.2">
      <c r="AD6262" s="98">
        <f t="shared" si="304"/>
        <v>51185</v>
      </c>
    </row>
    <row r="6263" spans="30:30" ht="14" thickBot="1" x14ac:dyDescent="0.2">
      <c r="AD6263" s="98">
        <f t="shared" si="304"/>
        <v>51186</v>
      </c>
    </row>
    <row r="6264" spans="30:30" ht="14" thickBot="1" x14ac:dyDescent="0.2">
      <c r="AD6264" s="98">
        <f t="shared" si="304"/>
        <v>51187</v>
      </c>
    </row>
    <row r="6265" spans="30:30" ht="14" thickBot="1" x14ac:dyDescent="0.2">
      <c r="AD6265" s="98">
        <f t="shared" si="304"/>
        <v>51188</v>
      </c>
    </row>
    <row r="6266" spans="30:30" ht="14" thickBot="1" x14ac:dyDescent="0.2">
      <c r="AD6266" s="98">
        <f t="shared" si="304"/>
        <v>51189</v>
      </c>
    </row>
    <row r="6267" spans="30:30" ht="14" thickBot="1" x14ac:dyDescent="0.2">
      <c r="AD6267" s="98">
        <f t="shared" si="304"/>
        <v>51190</v>
      </c>
    </row>
    <row r="6268" spans="30:30" ht="14" thickBot="1" x14ac:dyDescent="0.2">
      <c r="AD6268" s="98">
        <f t="shared" si="304"/>
        <v>51191</v>
      </c>
    </row>
    <row r="6269" spans="30:30" ht="14" thickBot="1" x14ac:dyDescent="0.2">
      <c r="AD6269" s="98">
        <f t="shared" si="304"/>
        <v>51192</v>
      </c>
    </row>
    <row r="6270" spans="30:30" ht="14" thickBot="1" x14ac:dyDescent="0.2">
      <c r="AD6270" s="98">
        <f t="shared" si="304"/>
        <v>51193</v>
      </c>
    </row>
    <row r="6271" spans="30:30" ht="14" thickBot="1" x14ac:dyDescent="0.2">
      <c r="AD6271" s="98">
        <f t="shared" si="304"/>
        <v>51194</v>
      </c>
    </row>
    <row r="6272" spans="30:30" ht="14" thickBot="1" x14ac:dyDescent="0.2">
      <c r="AD6272" s="98">
        <f t="shared" si="304"/>
        <v>51195</v>
      </c>
    </row>
    <row r="6273" spans="30:30" ht="14" thickBot="1" x14ac:dyDescent="0.2">
      <c r="AD6273" s="98">
        <f t="shared" si="304"/>
        <v>51196</v>
      </c>
    </row>
    <row r="6274" spans="30:30" ht="14" thickBot="1" x14ac:dyDescent="0.2">
      <c r="AD6274" s="98">
        <f t="shared" si="304"/>
        <v>51197</v>
      </c>
    </row>
    <row r="6275" spans="30:30" ht="14" thickBot="1" x14ac:dyDescent="0.2">
      <c r="AD6275" s="98">
        <f t="shared" si="304"/>
        <v>51198</v>
      </c>
    </row>
    <row r="6276" spans="30:30" ht="14" thickBot="1" x14ac:dyDescent="0.2">
      <c r="AD6276" s="98">
        <f t="shared" si="304"/>
        <v>51199</v>
      </c>
    </row>
    <row r="6277" spans="30:30" ht="14" thickBot="1" x14ac:dyDescent="0.2">
      <c r="AD6277" s="98">
        <f t="shared" si="304"/>
        <v>51200</v>
      </c>
    </row>
    <row r="6278" spans="30:30" ht="14" thickBot="1" x14ac:dyDescent="0.2">
      <c r="AD6278" s="98">
        <f t="shared" si="304"/>
        <v>51201</v>
      </c>
    </row>
    <row r="6279" spans="30:30" ht="14" thickBot="1" x14ac:dyDescent="0.2">
      <c r="AD6279" s="98">
        <f t="shared" si="304"/>
        <v>51202</v>
      </c>
    </row>
    <row r="6280" spans="30:30" ht="14" thickBot="1" x14ac:dyDescent="0.2">
      <c r="AD6280" s="98">
        <f t="shared" si="304"/>
        <v>51203</v>
      </c>
    </row>
    <row r="6281" spans="30:30" ht="14" thickBot="1" x14ac:dyDescent="0.2">
      <c r="AD6281" s="98">
        <f t="shared" ref="AD6281:AD6344" si="305">AD6280+1</f>
        <v>51204</v>
      </c>
    </row>
    <row r="6282" spans="30:30" ht="14" thickBot="1" x14ac:dyDescent="0.2">
      <c r="AD6282" s="98">
        <f t="shared" si="305"/>
        <v>51205</v>
      </c>
    </row>
    <row r="6283" spans="30:30" ht="14" thickBot="1" x14ac:dyDescent="0.2">
      <c r="AD6283" s="98">
        <f t="shared" si="305"/>
        <v>51206</v>
      </c>
    </row>
    <row r="6284" spans="30:30" ht="14" thickBot="1" x14ac:dyDescent="0.2">
      <c r="AD6284" s="98">
        <f t="shared" si="305"/>
        <v>51207</v>
      </c>
    </row>
    <row r="6285" spans="30:30" ht="14" thickBot="1" x14ac:dyDescent="0.2">
      <c r="AD6285" s="98">
        <f t="shared" si="305"/>
        <v>51208</v>
      </c>
    </row>
    <row r="6286" spans="30:30" ht="14" thickBot="1" x14ac:dyDescent="0.2">
      <c r="AD6286" s="98">
        <f t="shared" si="305"/>
        <v>51209</v>
      </c>
    </row>
    <row r="6287" spans="30:30" ht="14" thickBot="1" x14ac:dyDescent="0.2">
      <c r="AD6287" s="98">
        <f t="shared" si="305"/>
        <v>51210</v>
      </c>
    </row>
    <row r="6288" spans="30:30" ht="14" thickBot="1" x14ac:dyDescent="0.2">
      <c r="AD6288" s="98">
        <f t="shared" si="305"/>
        <v>51211</v>
      </c>
    </row>
    <row r="6289" spans="30:30" ht="14" thickBot="1" x14ac:dyDescent="0.2">
      <c r="AD6289" s="98">
        <f t="shared" si="305"/>
        <v>51212</v>
      </c>
    </row>
    <row r="6290" spans="30:30" ht="14" thickBot="1" x14ac:dyDescent="0.2">
      <c r="AD6290" s="98">
        <f t="shared" si="305"/>
        <v>51213</v>
      </c>
    </row>
    <row r="6291" spans="30:30" ht="14" thickBot="1" x14ac:dyDescent="0.2">
      <c r="AD6291" s="98">
        <f t="shared" si="305"/>
        <v>51214</v>
      </c>
    </row>
    <row r="6292" spans="30:30" ht="14" thickBot="1" x14ac:dyDescent="0.2">
      <c r="AD6292" s="98">
        <f t="shared" si="305"/>
        <v>51215</v>
      </c>
    </row>
    <row r="6293" spans="30:30" ht="14" thickBot="1" x14ac:dyDescent="0.2">
      <c r="AD6293" s="98">
        <f t="shared" si="305"/>
        <v>51216</v>
      </c>
    </row>
    <row r="6294" spans="30:30" ht="14" thickBot="1" x14ac:dyDescent="0.2">
      <c r="AD6294" s="98">
        <f t="shared" si="305"/>
        <v>51217</v>
      </c>
    </row>
    <row r="6295" spans="30:30" ht="14" thickBot="1" x14ac:dyDescent="0.2">
      <c r="AD6295" s="98">
        <f t="shared" si="305"/>
        <v>51218</v>
      </c>
    </row>
    <row r="6296" spans="30:30" ht="14" thickBot="1" x14ac:dyDescent="0.2">
      <c r="AD6296" s="98">
        <f t="shared" si="305"/>
        <v>51219</v>
      </c>
    </row>
    <row r="6297" spans="30:30" ht="14" thickBot="1" x14ac:dyDescent="0.2">
      <c r="AD6297" s="98">
        <f t="shared" si="305"/>
        <v>51220</v>
      </c>
    </row>
    <row r="6298" spans="30:30" ht="14" thickBot="1" x14ac:dyDescent="0.2">
      <c r="AD6298" s="98">
        <f t="shared" si="305"/>
        <v>51221</v>
      </c>
    </row>
    <row r="6299" spans="30:30" ht="14" thickBot="1" x14ac:dyDescent="0.2">
      <c r="AD6299" s="98">
        <f t="shared" si="305"/>
        <v>51222</v>
      </c>
    </row>
    <row r="6300" spans="30:30" ht="14" thickBot="1" x14ac:dyDescent="0.2">
      <c r="AD6300" s="98">
        <f t="shared" si="305"/>
        <v>51223</v>
      </c>
    </row>
    <row r="6301" spans="30:30" ht="14" thickBot="1" x14ac:dyDescent="0.2">
      <c r="AD6301" s="98">
        <f t="shared" si="305"/>
        <v>51224</v>
      </c>
    </row>
    <row r="6302" spans="30:30" ht="14" thickBot="1" x14ac:dyDescent="0.2">
      <c r="AD6302" s="98">
        <f t="shared" si="305"/>
        <v>51225</v>
      </c>
    </row>
    <row r="6303" spans="30:30" ht="14" thickBot="1" x14ac:dyDescent="0.2">
      <c r="AD6303" s="98">
        <f t="shared" si="305"/>
        <v>51226</v>
      </c>
    </row>
    <row r="6304" spans="30:30" ht="14" thickBot="1" x14ac:dyDescent="0.2">
      <c r="AD6304" s="98">
        <f t="shared" si="305"/>
        <v>51227</v>
      </c>
    </row>
    <row r="6305" spans="30:30" ht="14" thickBot="1" x14ac:dyDescent="0.2">
      <c r="AD6305" s="98">
        <f t="shared" si="305"/>
        <v>51228</v>
      </c>
    </row>
    <row r="6306" spans="30:30" ht="14" thickBot="1" x14ac:dyDescent="0.2">
      <c r="AD6306" s="98">
        <f t="shared" si="305"/>
        <v>51229</v>
      </c>
    </row>
    <row r="6307" spans="30:30" ht="14" thickBot="1" x14ac:dyDescent="0.2">
      <c r="AD6307" s="98">
        <f t="shared" si="305"/>
        <v>51230</v>
      </c>
    </row>
    <row r="6308" spans="30:30" ht="14" thickBot="1" x14ac:dyDescent="0.2">
      <c r="AD6308" s="98">
        <f t="shared" si="305"/>
        <v>51231</v>
      </c>
    </row>
    <row r="6309" spans="30:30" ht="14" thickBot="1" x14ac:dyDescent="0.2">
      <c r="AD6309" s="98">
        <f t="shared" si="305"/>
        <v>51232</v>
      </c>
    </row>
    <row r="6310" spans="30:30" ht="14" thickBot="1" x14ac:dyDescent="0.2">
      <c r="AD6310" s="98">
        <f t="shared" si="305"/>
        <v>51233</v>
      </c>
    </row>
    <row r="6311" spans="30:30" ht="14" thickBot="1" x14ac:dyDescent="0.2">
      <c r="AD6311" s="98">
        <f t="shared" si="305"/>
        <v>51234</v>
      </c>
    </row>
    <row r="6312" spans="30:30" ht="14" thickBot="1" x14ac:dyDescent="0.2">
      <c r="AD6312" s="98">
        <f t="shared" si="305"/>
        <v>51235</v>
      </c>
    </row>
    <row r="6313" spans="30:30" ht="14" thickBot="1" x14ac:dyDescent="0.2">
      <c r="AD6313" s="98">
        <f t="shared" si="305"/>
        <v>51236</v>
      </c>
    </row>
    <row r="6314" spans="30:30" ht="14" thickBot="1" x14ac:dyDescent="0.2">
      <c r="AD6314" s="98">
        <f t="shared" si="305"/>
        <v>51237</v>
      </c>
    </row>
    <row r="6315" spans="30:30" ht="14" thickBot="1" x14ac:dyDescent="0.2">
      <c r="AD6315" s="98">
        <f t="shared" si="305"/>
        <v>51238</v>
      </c>
    </row>
    <row r="6316" spans="30:30" ht="14" thickBot="1" x14ac:dyDescent="0.2">
      <c r="AD6316" s="98">
        <f t="shared" si="305"/>
        <v>51239</v>
      </c>
    </row>
    <row r="6317" spans="30:30" ht="14" thickBot="1" x14ac:dyDescent="0.2">
      <c r="AD6317" s="98">
        <f t="shared" si="305"/>
        <v>51240</v>
      </c>
    </row>
    <row r="6318" spans="30:30" ht="14" thickBot="1" x14ac:dyDescent="0.2">
      <c r="AD6318" s="98">
        <f t="shared" si="305"/>
        <v>51241</v>
      </c>
    </row>
    <row r="6319" spans="30:30" ht="14" thickBot="1" x14ac:dyDescent="0.2">
      <c r="AD6319" s="98">
        <f t="shared" si="305"/>
        <v>51242</v>
      </c>
    </row>
    <row r="6320" spans="30:30" ht="14" thickBot="1" x14ac:dyDescent="0.2">
      <c r="AD6320" s="98">
        <f t="shared" si="305"/>
        <v>51243</v>
      </c>
    </row>
    <row r="6321" spans="30:30" ht="14" thickBot="1" x14ac:dyDescent="0.2">
      <c r="AD6321" s="98">
        <f t="shared" si="305"/>
        <v>51244</v>
      </c>
    </row>
    <row r="6322" spans="30:30" ht="14" thickBot="1" x14ac:dyDescent="0.2">
      <c r="AD6322" s="98">
        <f t="shared" si="305"/>
        <v>51245</v>
      </c>
    </row>
    <row r="6323" spans="30:30" ht="14" thickBot="1" x14ac:dyDescent="0.2">
      <c r="AD6323" s="98">
        <f t="shared" si="305"/>
        <v>51246</v>
      </c>
    </row>
    <row r="6324" spans="30:30" ht="14" thickBot="1" x14ac:dyDescent="0.2">
      <c r="AD6324" s="98">
        <f t="shared" si="305"/>
        <v>51247</v>
      </c>
    </row>
    <row r="6325" spans="30:30" ht="14" thickBot="1" x14ac:dyDescent="0.2">
      <c r="AD6325" s="98">
        <f t="shared" si="305"/>
        <v>51248</v>
      </c>
    </row>
    <row r="6326" spans="30:30" ht="14" thickBot="1" x14ac:dyDescent="0.2">
      <c r="AD6326" s="98">
        <f t="shared" si="305"/>
        <v>51249</v>
      </c>
    </row>
    <row r="6327" spans="30:30" ht="14" thickBot="1" x14ac:dyDescent="0.2">
      <c r="AD6327" s="98">
        <f t="shared" si="305"/>
        <v>51250</v>
      </c>
    </row>
    <row r="6328" spans="30:30" ht="14" thickBot="1" x14ac:dyDescent="0.2">
      <c r="AD6328" s="98">
        <f t="shared" si="305"/>
        <v>51251</v>
      </c>
    </row>
    <row r="6329" spans="30:30" ht="14" thickBot="1" x14ac:dyDescent="0.2">
      <c r="AD6329" s="98">
        <f t="shared" si="305"/>
        <v>51252</v>
      </c>
    </row>
    <row r="6330" spans="30:30" ht="14" thickBot="1" x14ac:dyDescent="0.2">
      <c r="AD6330" s="98">
        <f t="shared" si="305"/>
        <v>51253</v>
      </c>
    </row>
    <row r="6331" spans="30:30" ht="14" thickBot="1" x14ac:dyDescent="0.2">
      <c r="AD6331" s="98">
        <f t="shared" si="305"/>
        <v>51254</v>
      </c>
    </row>
    <row r="6332" spans="30:30" ht="14" thickBot="1" x14ac:dyDescent="0.2">
      <c r="AD6332" s="98">
        <f t="shared" si="305"/>
        <v>51255</v>
      </c>
    </row>
    <row r="6333" spans="30:30" ht="14" thickBot="1" x14ac:dyDescent="0.2">
      <c r="AD6333" s="98">
        <f t="shared" si="305"/>
        <v>51256</v>
      </c>
    </row>
    <row r="6334" spans="30:30" ht="14" thickBot="1" x14ac:dyDescent="0.2">
      <c r="AD6334" s="98">
        <f t="shared" si="305"/>
        <v>51257</v>
      </c>
    </row>
    <row r="6335" spans="30:30" ht="14" thickBot="1" x14ac:dyDescent="0.2">
      <c r="AD6335" s="98">
        <f t="shared" si="305"/>
        <v>51258</v>
      </c>
    </row>
    <row r="6336" spans="30:30" ht="14" thickBot="1" x14ac:dyDescent="0.2">
      <c r="AD6336" s="98">
        <f t="shared" si="305"/>
        <v>51259</v>
      </c>
    </row>
    <row r="6337" spans="30:30" ht="14" thickBot="1" x14ac:dyDescent="0.2">
      <c r="AD6337" s="98">
        <f t="shared" si="305"/>
        <v>51260</v>
      </c>
    </row>
    <row r="6338" spans="30:30" ht="14" thickBot="1" x14ac:dyDescent="0.2">
      <c r="AD6338" s="98">
        <f t="shared" si="305"/>
        <v>51261</v>
      </c>
    </row>
    <row r="6339" spans="30:30" ht="14" thickBot="1" x14ac:dyDescent="0.2">
      <c r="AD6339" s="98">
        <f t="shared" si="305"/>
        <v>51262</v>
      </c>
    </row>
    <row r="6340" spans="30:30" ht="14" thickBot="1" x14ac:dyDescent="0.2">
      <c r="AD6340" s="98">
        <f t="shared" si="305"/>
        <v>51263</v>
      </c>
    </row>
    <row r="6341" spans="30:30" ht="14" thickBot="1" x14ac:dyDescent="0.2">
      <c r="AD6341" s="98">
        <f t="shared" si="305"/>
        <v>51264</v>
      </c>
    </row>
    <row r="6342" spans="30:30" ht="14" thickBot="1" x14ac:dyDescent="0.2">
      <c r="AD6342" s="98">
        <f t="shared" si="305"/>
        <v>51265</v>
      </c>
    </row>
    <row r="6343" spans="30:30" ht="14" thickBot="1" x14ac:dyDescent="0.2">
      <c r="AD6343" s="98">
        <f t="shared" si="305"/>
        <v>51266</v>
      </c>
    </row>
    <row r="6344" spans="30:30" ht="14" thickBot="1" x14ac:dyDescent="0.2">
      <c r="AD6344" s="98">
        <f t="shared" si="305"/>
        <v>51267</v>
      </c>
    </row>
    <row r="6345" spans="30:30" ht="14" thickBot="1" x14ac:dyDescent="0.2">
      <c r="AD6345" s="98">
        <f t="shared" ref="AD6345:AD6408" si="306">AD6344+1</f>
        <v>51268</v>
      </c>
    </row>
    <row r="6346" spans="30:30" ht="14" thickBot="1" x14ac:dyDescent="0.2">
      <c r="AD6346" s="98">
        <f t="shared" si="306"/>
        <v>51269</v>
      </c>
    </row>
    <row r="6347" spans="30:30" ht="14" thickBot="1" x14ac:dyDescent="0.2">
      <c r="AD6347" s="98">
        <f t="shared" si="306"/>
        <v>51270</v>
      </c>
    </row>
    <row r="6348" spans="30:30" ht="14" thickBot="1" x14ac:dyDescent="0.2">
      <c r="AD6348" s="98">
        <f t="shared" si="306"/>
        <v>51271</v>
      </c>
    </row>
    <row r="6349" spans="30:30" ht="14" thickBot="1" x14ac:dyDescent="0.2">
      <c r="AD6349" s="98">
        <f t="shared" si="306"/>
        <v>51272</v>
      </c>
    </row>
    <row r="6350" spans="30:30" ht="14" thickBot="1" x14ac:dyDescent="0.2">
      <c r="AD6350" s="98">
        <f t="shared" si="306"/>
        <v>51273</v>
      </c>
    </row>
    <row r="6351" spans="30:30" ht="14" thickBot="1" x14ac:dyDescent="0.2">
      <c r="AD6351" s="98">
        <f t="shared" si="306"/>
        <v>51274</v>
      </c>
    </row>
    <row r="6352" spans="30:30" ht="14" thickBot="1" x14ac:dyDescent="0.2">
      <c r="AD6352" s="98">
        <f t="shared" si="306"/>
        <v>51275</v>
      </c>
    </row>
    <row r="6353" spans="30:30" ht="14" thickBot="1" x14ac:dyDescent="0.2">
      <c r="AD6353" s="98">
        <f t="shared" si="306"/>
        <v>51276</v>
      </c>
    </row>
    <row r="6354" spans="30:30" ht="14" thickBot="1" x14ac:dyDescent="0.2">
      <c r="AD6354" s="98">
        <f t="shared" si="306"/>
        <v>51277</v>
      </c>
    </row>
    <row r="6355" spans="30:30" ht="14" thickBot="1" x14ac:dyDescent="0.2">
      <c r="AD6355" s="98">
        <f t="shared" si="306"/>
        <v>51278</v>
      </c>
    </row>
    <row r="6356" spans="30:30" ht="14" thickBot="1" x14ac:dyDescent="0.2">
      <c r="AD6356" s="98">
        <f t="shared" si="306"/>
        <v>51279</v>
      </c>
    </row>
    <row r="6357" spans="30:30" ht="14" thickBot="1" x14ac:dyDescent="0.2">
      <c r="AD6357" s="98">
        <f t="shared" si="306"/>
        <v>51280</v>
      </c>
    </row>
    <row r="6358" spans="30:30" ht="14" thickBot="1" x14ac:dyDescent="0.2">
      <c r="AD6358" s="98">
        <f t="shared" si="306"/>
        <v>51281</v>
      </c>
    </row>
    <row r="6359" spans="30:30" ht="14" thickBot="1" x14ac:dyDescent="0.2">
      <c r="AD6359" s="98">
        <f t="shared" si="306"/>
        <v>51282</v>
      </c>
    </row>
    <row r="6360" spans="30:30" ht="14" thickBot="1" x14ac:dyDescent="0.2">
      <c r="AD6360" s="98">
        <f t="shared" si="306"/>
        <v>51283</v>
      </c>
    </row>
    <row r="6361" spans="30:30" ht="14" thickBot="1" x14ac:dyDescent="0.2">
      <c r="AD6361" s="98">
        <f t="shared" si="306"/>
        <v>51284</v>
      </c>
    </row>
    <row r="6362" spans="30:30" ht="14" thickBot="1" x14ac:dyDescent="0.2">
      <c r="AD6362" s="98">
        <f t="shared" si="306"/>
        <v>51285</v>
      </c>
    </row>
    <row r="6363" spans="30:30" ht="14" thickBot="1" x14ac:dyDescent="0.2">
      <c r="AD6363" s="98">
        <f t="shared" si="306"/>
        <v>51286</v>
      </c>
    </row>
    <row r="6364" spans="30:30" ht="14" thickBot="1" x14ac:dyDescent="0.2">
      <c r="AD6364" s="98">
        <f t="shared" si="306"/>
        <v>51287</v>
      </c>
    </row>
    <row r="6365" spans="30:30" ht="14" thickBot="1" x14ac:dyDescent="0.2">
      <c r="AD6365" s="98">
        <f t="shared" si="306"/>
        <v>51288</v>
      </c>
    </row>
    <row r="6366" spans="30:30" ht="14" thickBot="1" x14ac:dyDescent="0.2">
      <c r="AD6366" s="98">
        <f t="shared" si="306"/>
        <v>51289</v>
      </c>
    </row>
    <row r="6367" spans="30:30" ht="14" thickBot="1" x14ac:dyDescent="0.2">
      <c r="AD6367" s="98">
        <f t="shared" si="306"/>
        <v>51290</v>
      </c>
    </row>
    <row r="6368" spans="30:30" ht="14" thickBot="1" x14ac:dyDescent="0.2">
      <c r="AD6368" s="98">
        <f t="shared" si="306"/>
        <v>51291</v>
      </c>
    </row>
    <row r="6369" spans="30:30" ht="14" thickBot="1" x14ac:dyDescent="0.2">
      <c r="AD6369" s="98">
        <f t="shared" si="306"/>
        <v>51292</v>
      </c>
    </row>
    <row r="6370" spans="30:30" ht="14" thickBot="1" x14ac:dyDescent="0.2">
      <c r="AD6370" s="98">
        <f t="shared" si="306"/>
        <v>51293</v>
      </c>
    </row>
    <row r="6371" spans="30:30" ht="14" thickBot="1" x14ac:dyDescent="0.2">
      <c r="AD6371" s="98">
        <f t="shared" si="306"/>
        <v>51294</v>
      </c>
    </row>
    <row r="6372" spans="30:30" ht="14" thickBot="1" x14ac:dyDescent="0.2">
      <c r="AD6372" s="98">
        <f t="shared" si="306"/>
        <v>51295</v>
      </c>
    </row>
    <row r="6373" spans="30:30" ht="14" thickBot="1" x14ac:dyDescent="0.2">
      <c r="AD6373" s="98">
        <f t="shared" si="306"/>
        <v>51296</v>
      </c>
    </row>
    <row r="6374" spans="30:30" ht="14" thickBot="1" x14ac:dyDescent="0.2">
      <c r="AD6374" s="98">
        <f t="shared" si="306"/>
        <v>51297</v>
      </c>
    </row>
    <row r="6375" spans="30:30" ht="14" thickBot="1" x14ac:dyDescent="0.2">
      <c r="AD6375" s="98">
        <f t="shared" si="306"/>
        <v>51298</v>
      </c>
    </row>
    <row r="6376" spans="30:30" ht="14" thickBot="1" x14ac:dyDescent="0.2">
      <c r="AD6376" s="98">
        <f t="shared" si="306"/>
        <v>51299</v>
      </c>
    </row>
    <row r="6377" spans="30:30" ht="14" thickBot="1" x14ac:dyDescent="0.2">
      <c r="AD6377" s="98">
        <f t="shared" si="306"/>
        <v>51300</v>
      </c>
    </row>
    <row r="6378" spans="30:30" ht="14" thickBot="1" x14ac:dyDescent="0.2">
      <c r="AD6378" s="98">
        <f t="shared" si="306"/>
        <v>51301</v>
      </c>
    </row>
    <row r="6379" spans="30:30" ht="14" thickBot="1" x14ac:dyDescent="0.2">
      <c r="AD6379" s="98">
        <f t="shared" si="306"/>
        <v>51302</v>
      </c>
    </row>
    <row r="6380" spans="30:30" ht="14" thickBot="1" x14ac:dyDescent="0.2">
      <c r="AD6380" s="98">
        <f t="shared" si="306"/>
        <v>51303</v>
      </c>
    </row>
    <row r="6381" spans="30:30" ht="14" thickBot="1" x14ac:dyDescent="0.2">
      <c r="AD6381" s="98">
        <f t="shared" si="306"/>
        <v>51304</v>
      </c>
    </row>
    <row r="6382" spans="30:30" ht="14" thickBot="1" x14ac:dyDescent="0.2">
      <c r="AD6382" s="98">
        <f t="shared" si="306"/>
        <v>51305</v>
      </c>
    </row>
    <row r="6383" spans="30:30" ht="14" thickBot="1" x14ac:dyDescent="0.2">
      <c r="AD6383" s="98">
        <f t="shared" si="306"/>
        <v>51306</v>
      </c>
    </row>
    <row r="6384" spans="30:30" ht="14" thickBot="1" x14ac:dyDescent="0.2">
      <c r="AD6384" s="98">
        <f t="shared" si="306"/>
        <v>51307</v>
      </c>
    </row>
    <row r="6385" spans="30:30" ht="14" thickBot="1" x14ac:dyDescent="0.2">
      <c r="AD6385" s="98">
        <f t="shared" si="306"/>
        <v>51308</v>
      </c>
    </row>
    <row r="6386" spans="30:30" ht="14" thickBot="1" x14ac:dyDescent="0.2">
      <c r="AD6386" s="98">
        <f t="shared" si="306"/>
        <v>51309</v>
      </c>
    </row>
    <row r="6387" spans="30:30" ht="14" thickBot="1" x14ac:dyDescent="0.2">
      <c r="AD6387" s="98">
        <f t="shared" si="306"/>
        <v>51310</v>
      </c>
    </row>
    <row r="6388" spans="30:30" ht="14" thickBot="1" x14ac:dyDescent="0.2">
      <c r="AD6388" s="98">
        <f t="shared" si="306"/>
        <v>51311</v>
      </c>
    </row>
    <row r="6389" spans="30:30" ht="14" thickBot="1" x14ac:dyDescent="0.2">
      <c r="AD6389" s="98">
        <f t="shared" si="306"/>
        <v>51312</v>
      </c>
    </row>
    <row r="6390" spans="30:30" ht="14" thickBot="1" x14ac:dyDescent="0.2">
      <c r="AD6390" s="98">
        <f t="shared" si="306"/>
        <v>51313</v>
      </c>
    </row>
    <row r="6391" spans="30:30" ht="14" thickBot="1" x14ac:dyDescent="0.2">
      <c r="AD6391" s="98">
        <f t="shared" si="306"/>
        <v>51314</v>
      </c>
    </row>
    <row r="6392" spans="30:30" ht="14" thickBot="1" x14ac:dyDescent="0.2">
      <c r="AD6392" s="98">
        <f t="shared" si="306"/>
        <v>51315</v>
      </c>
    </row>
    <row r="6393" spans="30:30" ht="14" thickBot="1" x14ac:dyDescent="0.2">
      <c r="AD6393" s="98">
        <f t="shared" si="306"/>
        <v>51316</v>
      </c>
    </row>
    <row r="6394" spans="30:30" ht="14" thickBot="1" x14ac:dyDescent="0.2">
      <c r="AD6394" s="98">
        <f t="shared" si="306"/>
        <v>51317</v>
      </c>
    </row>
    <row r="6395" spans="30:30" ht="14" thickBot="1" x14ac:dyDescent="0.2">
      <c r="AD6395" s="98">
        <f t="shared" si="306"/>
        <v>51318</v>
      </c>
    </row>
    <row r="6396" spans="30:30" ht="14" thickBot="1" x14ac:dyDescent="0.2">
      <c r="AD6396" s="98">
        <f t="shared" si="306"/>
        <v>51319</v>
      </c>
    </row>
    <row r="6397" spans="30:30" ht="14" thickBot="1" x14ac:dyDescent="0.2">
      <c r="AD6397" s="98">
        <f t="shared" si="306"/>
        <v>51320</v>
      </c>
    </row>
    <row r="6398" spans="30:30" ht="14" thickBot="1" x14ac:dyDescent="0.2">
      <c r="AD6398" s="98">
        <f t="shared" si="306"/>
        <v>51321</v>
      </c>
    </row>
    <row r="6399" spans="30:30" ht="14" thickBot="1" x14ac:dyDescent="0.2">
      <c r="AD6399" s="98">
        <f t="shared" si="306"/>
        <v>51322</v>
      </c>
    </row>
    <row r="6400" spans="30:30" ht="14" thickBot="1" x14ac:dyDescent="0.2">
      <c r="AD6400" s="98">
        <f t="shared" si="306"/>
        <v>51323</v>
      </c>
    </row>
    <row r="6401" spans="30:30" ht="14" thickBot="1" x14ac:dyDescent="0.2">
      <c r="AD6401" s="98">
        <f t="shared" si="306"/>
        <v>51324</v>
      </c>
    </row>
    <row r="6402" spans="30:30" ht="14" thickBot="1" x14ac:dyDescent="0.2">
      <c r="AD6402" s="98">
        <f t="shared" si="306"/>
        <v>51325</v>
      </c>
    </row>
    <row r="6403" spans="30:30" ht="14" thickBot="1" x14ac:dyDescent="0.2">
      <c r="AD6403" s="98">
        <f t="shared" si="306"/>
        <v>51326</v>
      </c>
    </row>
    <row r="6404" spans="30:30" ht="14" thickBot="1" x14ac:dyDescent="0.2">
      <c r="AD6404" s="98">
        <f t="shared" si="306"/>
        <v>51327</v>
      </c>
    </row>
    <row r="6405" spans="30:30" ht="14" thickBot="1" x14ac:dyDescent="0.2">
      <c r="AD6405" s="98">
        <f t="shared" si="306"/>
        <v>51328</v>
      </c>
    </row>
    <row r="6406" spans="30:30" ht="14" thickBot="1" x14ac:dyDescent="0.2">
      <c r="AD6406" s="98">
        <f t="shared" si="306"/>
        <v>51329</v>
      </c>
    </row>
    <row r="6407" spans="30:30" ht="14" thickBot="1" x14ac:dyDescent="0.2">
      <c r="AD6407" s="98">
        <f t="shared" si="306"/>
        <v>51330</v>
      </c>
    </row>
    <row r="6408" spans="30:30" ht="14" thickBot="1" x14ac:dyDescent="0.2">
      <c r="AD6408" s="98">
        <f t="shared" si="306"/>
        <v>51331</v>
      </c>
    </row>
    <row r="6409" spans="30:30" ht="14" thickBot="1" x14ac:dyDescent="0.2">
      <c r="AD6409" s="98">
        <f t="shared" ref="AD6409:AD6472" si="307">AD6408+1</f>
        <v>51332</v>
      </c>
    </row>
    <row r="6410" spans="30:30" ht="14" thickBot="1" x14ac:dyDescent="0.2">
      <c r="AD6410" s="98">
        <f t="shared" si="307"/>
        <v>51333</v>
      </c>
    </row>
    <row r="6411" spans="30:30" ht="14" thickBot="1" x14ac:dyDescent="0.2">
      <c r="AD6411" s="98">
        <f t="shared" si="307"/>
        <v>51334</v>
      </c>
    </row>
    <row r="6412" spans="30:30" ht="14" thickBot="1" x14ac:dyDescent="0.2">
      <c r="AD6412" s="98">
        <f t="shared" si="307"/>
        <v>51335</v>
      </c>
    </row>
    <row r="6413" spans="30:30" ht="14" thickBot="1" x14ac:dyDescent="0.2">
      <c r="AD6413" s="98">
        <f t="shared" si="307"/>
        <v>51336</v>
      </c>
    </row>
    <row r="6414" spans="30:30" ht="14" thickBot="1" x14ac:dyDescent="0.2">
      <c r="AD6414" s="98">
        <f t="shared" si="307"/>
        <v>51337</v>
      </c>
    </row>
    <row r="6415" spans="30:30" ht="14" thickBot="1" x14ac:dyDescent="0.2">
      <c r="AD6415" s="98">
        <f t="shared" si="307"/>
        <v>51338</v>
      </c>
    </row>
    <row r="6416" spans="30:30" ht="14" thickBot="1" x14ac:dyDescent="0.2">
      <c r="AD6416" s="98">
        <f t="shared" si="307"/>
        <v>51339</v>
      </c>
    </row>
    <row r="6417" spans="30:30" ht="14" thickBot="1" x14ac:dyDescent="0.2">
      <c r="AD6417" s="98">
        <f t="shared" si="307"/>
        <v>51340</v>
      </c>
    </row>
    <row r="6418" spans="30:30" ht="14" thickBot="1" x14ac:dyDescent="0.2">
      <c r="AD6418" s="98">
        <f t="shared" si="307"/>
        <v>51341</v>
      </c>
    </row>
    <row r="6419" spans="30:30" ht="14" thickBot="1" x14ac:dyDescent="0.2">
      <c r="AD6419" s="98">
        <f t="shared" si="307"/>
        <v>51342</v>
      </c>
    </row>
    <row r="6420" spans="30:30" ht="14" thickBot="1" x14ac:dyDescent="0.2">
      <c r="AD6420" s="98">
        <f t="shared" si="307"/>
        <v>51343</v>
      </c>
    </row>
    <row r="6421" spans="30:30" ht="14" thickBot="1" x14ac:dyDescent="0.2">
      <c r="AD6421" s="98">
        <f t="shared" si="307"/>
        <v>51344</v>
      </c>
    </row>
    <row r="6422" spans="30:30" ht="14" thickBot="1" x14ac:dyDescent="0.2">
      <c r="AD6422" s="98">
        <f t="shared" si="307"/>
        <v>51345</v>
      </c>
    </row>
    <row r="6423" spans="30:30" ht="14" thickBot="1" x14ac:dyDescent="0.2">
      <c r="AD6423" s="98">
        <f t="shared" si="307"/>
        <v>51346</v>
      </c>
    </row>
    <row r="6424" spans="30:30" ht="14" thickBot="1" x14ac:dyDescent="0.2">
      <c r="AD6424" s="98">
        <f t="shared" si="307"/>
        <v>51347</v>
      </c>
    </row>
    <row r="6425" spans="30:30" ht="14" thickBot="1" x14ac:dyDescent="0.2">
      <c r="AD6425" s="98">
        <f t="shared" si="307"/>
        <v>51348</v>
      </c>
    </row>
    <row r="6426" spans="30:30" ht="14" thickBot="1" x14ac:dyDescent="0.2">
      <c r="AD6426" s="98">
        <f t="shared" si="307"/>
        <v>51349</v>
      </c>
    </row>
    <row r="6427" spans="30:30" ht="14" thickBot="1" x14ac:dyDescent="0.2">
      <c r="AD6427" s="98">
        <f t="shared" si="307"/>
        <v>51350</v>
      </c>
    </row>
    <row r="6428" spans="30:30" ht="14" thickBot="1" x14ac:dyDescent="0.2">
      <c r="AD6428" s="98">
        <f t="shared" si="307"/>
        <v>51351</v>
      </c>
    </row>
    <row r="6429" spans="30:30" ht="14" thickBot="1" x14ac:dyDescent="0.2">
      <c r="AD6429" s="98">
        <f t="shared" si="307"/>
        <v>51352</v>
      </c>
    </row>
    <row r="6430" spans="30:30" ht="14" thickBot="1" x14ac:dyDescent="0.2">
      <c r="AD6430" s="98">
        <f t="shared" si="307"/>
        <v>51353</v>
      </c>
    </row>
    <row r="6431" spans="30:30" ht="14" thickBot="1" x14ac:dyDescent="0.2">
      <c r="AD6431" s="98">
        <f t="shared" si="307"/>
        <v>51354</v>
      </c>
    </row>
    <row r="6432" spans="30:30" ht="14" thickBot="1" x14ac:dyDescent="0.2">
      <c r="AD6432" s="98">
        <f t="shared" si="307"/>
        <v>51355</v>
      </c>
    </row>
    <row r="6433" spans="30:30" ht="14" thickBot="1" x14ac:dyDescent="0.2">
      <c r="AD6433" s="98">
        <f t="shared" si="307"/>
        <v>51356</v>
      </c>
    </row>
    <row r="6434" spans="30:30" ht="14" thickBot="1" x14ac:dyDescent="0.2">
      <c r="AD6434" s="98">
        <f t="shared" si="307"/>
        <v>51357</v>
      </c>
    </row>
    <row r="6435" spans="30:30" ht="14" thickBot="1" x14ac:dyDescent="0.2">
      <c r="AD6435" s="98">
        <f t="shared" si="307"/>
        <v>51358</v>
      </c>
    </row>
    <row r="6436" spans="30:30" ht="14" thickBot="1" x14ac:dyDescent="0.2">
      <c r="AD6436" s="98">
        <f t="shared" si="307"/>
        <v>51359</v>
      </c>
    </row>
    <row r="6437" spans="30:30" ht="14" thickBot="1" x14ac:dyDescent="0.2">
      <c r="AD6437" s="98">
        <f t="shared" si="307"/>
        <v>51360</v>
      </c>
    </row>
    <row r="6438" spans="30:30" ht="14" thickBot="1" x14ac:dyDescent="0.2">
      <c r="AD6438" s="98">
        <f t="shared" si="307"/>
        <v>51361</v>
      </c>
    </row>
    <row r="6439" spans="30:30" ht="14" thickBot="1" x14ac:dyDescent="0.2">
      <c r="AD6439" s="98">
        <f t="shared" si="307"/>
        <v>51362</v>
      </c>
    </row>
    <row r="6440" spans="30:30" ht="14" thickBot="1" x14ac:dyDescent="0.2">
      <c r="AD6440" s="98">
        <f t="shared" si="307"/>
        <v>51363</v>
      </c>
    </row>
    <row r="6441" spans="30:30" ht="14" thickBot="1" x14ac:dyDescent="0.2">
      <c r="AD6441" s="98">
        <f t="shared" si="307"/>
        <v>51364</v>
      </c>
    </row>
    <row r="6442" spans="30:30" ht="14" thickBot="1" x14ac:dyDescent="0.2">
      <c r="AD6442" s="98">
        <f t="shared" si="307"/>
        <v>51365</v>
      </c>
    </row>
    <row r="6443" spans="30:30" ht="14" thickBot="1" x14ac:dyDescent="0.2">
      <c r="AD6443" s="98">
        <f t="shared" si="307"/>
        <v>51366</v>
      </c>
    </row>
    <row r="6444" spans="30:30" ht="14" thickBot="1" x14ac:dyDescent="0.2">
      <c r="AD6444" s="98">
        <f t="shared" si="307"/>
        <v>51367</v>
      </c>
    </row>
    <row r="6445" spans="30:30" ht="14" thickBot="1" x14ac:dyDescent="0.2">
      <c r="AD6445" s="98">
        <f t="shared" si="307"/>
        <v>51368</v>
      </c>
    </row>
    <row r="6446" spans="30:30" ht="14" thickBot="1" x14ac:dyDescent="0.2">
      <c r="AD6446" s="98">
        <f t="shared" si="307"/>
        <v>51369</v>
      </c>
    </row>
    <row r="6447" spans="30:30" ht="14" thickBot="1" x14ac:dyDescent="0.2">
      <c r="AD6447" s="98">
        <f t="shared" si="307"/>
        <v>51370</v>
      </c>
    </row>
    <row r="6448" spans="30:30" ht="14" thickBot="1" x14ac:dyDescent="0.2">
      <c r="AD6448" s="98">
        <f t="shared" si="307"/>
        <v>51371</v>
      </c>
    </row>
    <row r="6449" spans="30:30" ht="14" thickBot="1" x14ac:dyDescent="0.2">
      <c r="AD6449" s="98">
        <f t="shared" si="307"/>
        <v>51372</v>
      </c>
    </row>
    <row r="6450" spans="30:30" ht="14" thickBot="1" x14ac:dyDescent="0.2">
      <c r="AD6450" s="98">
        <f t="shared" si="307"/>
        <v>51373</v>
      </c>
    </row>
    <row r="6451" spans="30:30" ht="14" thickBot="1" x14ac:dyDescent="0.2">
      <c r="AD6451" s="98">
        <f t="shared" si="307"/>
        <v>51374</v>
      </c>
    </row>
    <row r="6452" spans="30:30" ht="14" thickBot="1" x14ac:dyDescent="0.2">
      <c r="AD6452" s="98">
        <f t="shared" si="307"/>
        <v>51375</v>
      </c>
    </row>
    <row r="6453" spans="30:30" ht="14" thickBot="1" x14ac:dyDescent="0.2">
      <c r="AD6453" s="98">
        <f t="shared" si="307"/>
        <v>51376</v>
      </c>
    </row>
    <row r="6454" spans="30:30" ht="14" thickBot="1" x14ac:dyDescent="0.2">
      <c r="AD6454" s="98">
        <f t="shared" si="307"/>
        <v>51377</v>
      </c>
    </row>
    <row r="6455" spans="30:30" ht="14" thickBot="1" x14ac:dyDescent="0.2">
      <c r="AD6455" s="98">
        <f t="shared" si="307"/>
        <v>51378</v>
      </c>
    </row>
    <row r="6456" spans="30:30" ht="14" thickBot="1" x14ac:dyDescent="0.2">
      <c r="AD6456" s="98">
        <f t="shared" si="307"/>
        <v>51379</v>
      </c>
    </row>
    <row r="6457" spans="30:30" ht="14" thickBot="1" x14ac:dyDescent="0.2">
      <c r="AD6457" s="98">
        <f t="shared" si="307"/>
        <v>51380</v>
      </c>
    </row>
    <row r="6458" spans="30:30" ht="14" thickBot="1" x14ac:dyDescent="0.2">
      <c r="AD6458" s="98">
        <f t="shared" si="307"/>
        <v>51381</v>
      </c>
    </row>
    <row r="6459" spans="30:30" ht="14" thickBot="1" x14ac:dyDescent="0.2">
      <c r="AD6459" s="98">
        <f t="shared" si="307"/>
        <v>51382</v>
      </c>
    </row>
    <row r="6460" spans="30:30" ht="14" thickBot="1" x14ac:dyDescent="0.2">
      <c r="AD6460" s="98">
        <f t="shared" si="307"/>
        <v>51383</v>
      </c>
    </row>
    <row r="6461" spans="30:30" ht="14" thickBot="1" x14ac:dyDescent="0.2">
      <c r="AD6461" s="98">
        <f t="shared" si="307"/>
        <v>51384</v>
      </c>
    </row>
    <row r="6462" spans="30:30" ht="14" thickBot="1" x14ac:dyDescent="0.2">
      <c r="AD6462" s="98">
        <f t="shared" si="307"/>
        <v>51385</v>
      </c>
    </row>
    <row r="6463" spans="30:30" ht="14" thickBot="1" x14ac:dyDescent="0.2">
      <c r="AD6463" s="98">
        <f t="shared" si="307"/>
        <v>51386</v>
      </c>
    </row>
    <row r="6464" spans="30:30" ht="14" thickBot="1" x14ac:dyDescent="0.2">
      <c r="AD6464" s="98">
        <f t="shared" si="307"/>
        <v>51387</v>
      </c>
    </row>
    <row r="6465" spans="30:30" ht="14" thickBot="1" x14ac:dyDescent="0.2">
      <c r="AD6465" s="98">
        <f t="shared" si="307"/>
        <v>51388</v>
      </c>
    </row>
    <row r="6466" spans="30:30" ht="14" thickBot="1" x14ac:dyDescent="0.2">
      <c r="AD6466" s="98">
        <f t="shared" si="307"/>
        <v>51389</v>
      </c>
    </row>
    <row r="6467" spans="30:30" ht="14" thickBot="1" x14ac:dyDescent="0.2">
      <c r="AD6467" s="98">
        <f t="shared" si="307"/>
        <v>51390</v>
      </c>
    </row>
    <row r="6468" spans="30:30" ht="14" thickBot="1" x14ac:dyDescent="0.2">
      <c r="AD6468" s="98">
        <f t="shared" si="307"/>
        <v>51391</v>
      </c>
    </row>
    <row r="6469" spans="30:30" ht="14" thickBot="1" x14ac:dyDescent="0.2">
      <c r="AD6469" s="98">
        <f t="shared" si="307"/>
        <v>51392</v>
      </c>
    </row>
    <row r="6470" spans="30:30" ht="14" thickBot="1" x14ac:dyDescent="0.2">
      <c r="AD6470" s="98">
        <f t="shared" si="307"/>
        <v>51393</v>
      </c>
    </row>
    <row r="6471" spans="30:30" ht="14" thickBot="1" x14ac:dyDescent="0.2">
      <c r="AD6471" s="98">
        <f t="shared" si="307"/>
        <v>51394</v>
      </c>
    </row>
    <row r="6472" spans="30:30" ht="14" thickBot="1" x14ac:dyDescent="0.2">
      <c r="AD6472" s="98">
        <f t="shared" si="307"/>
        <v>51395</v>
      </c>
    </row>
    <row r="6473" spans="30:30" ht="14" thickBot="1" x14ac:dyDescent="0.2">
      <c r="AD6473" s="98">
        <f t="shared" ref="AD6473:AD6536" si="308">AD6472+1</f>
        <v>51396</v>
      </c>
    </row>
    <row r="6474" spans="30:30" ht="14" thickBot="1" x14ac:dyDescent="0.2">
      <c r="AD6474" s="98">
        <f t="shared" si="308"/>
        <v>51397</v>
      </c>
    </row>
    <row r="6475" spans="30:30" ht="14" thickBot="1" x14ac:dyDescent="0.2">
      <c r="AD6475" s="98">
        <f t="shared" si="308"/>
        <v>51398</v>
      </c>
    </row>
    <row r="6476" spans="30:30" ht="14" thickBot="1" x14ac:dyDescent="0.2">
      <c r="AD6476" s="98">
        <f t="shared" si="308"/>
        <v>51399</v>
      </c>
    </row>
    <row r="6477" spans="30:30" ht="14" thickBot="1" x14ac:dyDescent="0.2">
      <c r="AD6477" s="98">
        <f t="shared" si="308"/>
        <v>51400</v>
      </c>
    </row>
    <row r="6478" spans="30:30" ht="14" thickBot="1" x14ac:dyDescent="0.2">
      <c r="AD6478" s="98">
        <f t="shared" si="308"/>
        <v>51401</v>
      </c>
    </row>
    <row r="6479" spans="30:30" ht="14" thickBot="1" x14ac:dyDescent="0.2">
      <c r="AD6479" s="98">
        <f t="shared" si="308"/>
        <v>51402</v>
      </c>
    </row>
    <row r="6480" spans="30:30" ht="14" thickBot="1" x14ac:dyDescent="0.2">
      <c r="AD6480" s="98">
        <f t="shared" si="308"/>
        <v>51403</v>
      </c>
    </row>
    <row r="6481" spans="30:30" ht="14" thickBot="1" x14ac:dyDescent="0.2">
      <c r="AD6481" s="98">
        <f t="shared" si="308"/>
        <v>51404</v>
      </c>
    </row>
    <row r="6482" spans="30:30" ht="14" thickBot="1" x14ac:dyDescent="0.2">
      <c r="AD6482" s="98">
        <f t="shared" si="308"/>
        <v>51405</v>
      </c>
    </row>
    <row r="6483" spans="30:30" ht="14" thickBot="1" x14ac:dyDescent="0.2">
      <c r="AD6483" s="98">
        <f t="shared" si="308"/>
        <v>51406</v>
      </c>
    </row>
    <row r="6484" spans="30:30" ht="14" thickBot="1" x14ac:dyDescent="0.2">
      <c r="AD6484" s="98">
        <f t="shared" si="308"/>
        <v>51407</v>
      </c>
    </row>
    <row r="6485" spans="30:30" ht="14" thickBot="1" x14ac:dyDescent="0.2">
      <c r="AD6485" s="98">
        <f t="shared" si="308"/>
        <v>51408</v>
      </c>
    </row>
    <row r="6486" spans="30:30" ht="14" thickBot="1" x14ac:dyDescent="0.2">
      <c r="AD6486" s="98">
        <f t="shared" si="308"/>
        <v>51409</v>
      </c>
    </row>
    <row r="6487" spans="30:30" ht="14" thickBot="1" x14ac:dyDescent="0.2">
      <c r="AD6487" s="98">
        <f t="shared" si="308"/>
        <v>51410</v>
      </c>
    </row>
    <row r="6488" spans="30:30" ht="14" thickBot="1" x14ac:dyDescent="0.2">
      <c r="AD6488" s="98">
        <f t="shared" si="308"/>
        <v>51411</v>
      </c>
    </row>
    <row r="6489" spans="30:30" ht="14" thickBot="1" x14ac:dyDescent="0.2">
      <c r="AD6489" s="98">
        <f t="shared" si="308"/>
        <v>51412</v>
      </c>
    </row>
    <row r="6490" spans="30:30" ht="14" thickBot="1" x14ac:dyDescent="0.2">
      <c r="AD6490" s="98">
        <f t="shared" si="308"/>
        <v>51413</v>
      </c>
    </row>
    <row r="6491" spans="30:30" ht="14" thickBot="1" x14ac:dyDescent="0.2">
      <c r="AD6491" s="98">
        <f t="shared" si="308"/>
        <v>51414</v>
      </c>
    </row>
    <row r="6492" spans="30:30" ht="14" thickBot="1" x14ac:dyDescent="0.2">
      <c r="AD6492" s="98">
        <f t="shared" si="308"/>
        <v>51415</v>
      </c>
    </row>
    <row r="6493" spans="30:30" ht="14" thickBot="1" x14ac:dyDescent="0.2">
      <c r="AD6493" s="98">
        <f t="shared" si="308"/>
        <v>51416</v>
      </c>
    </row>
    <row r="6494" spans="30:30" ht="14" thickBot="1" x14ac:dyDescent="0.2">
      <c r="AD6494" s="98">
        <f t="shared" si="308"/>
        <v>51417</v>
      </c>
    </row>
    <row r="6495" spans="30:30" ht="14" thickBot="1" x14ac:dyDescent="0.2">
      <c r="AD6495" s="98">
        <f t="shared" si="308"/>
        <v>51418</v>
      </c>
    </row>
    <row r="6496" spans="30:30" ht="14" thickBot="1" x14ac:dyDescent="0.2">
      <c r="AD6496" s="98">
        <f t="shared" si="308"/>
        <v>51419</v>
      </c>
    </row>
    <row r="6497" spans="30:30" ht="14" thickBot="1" x14ac:dyDescent="0.2">
      <c r="AD6497" s="98">
        <f t="shared" si="308"/>
        <v>51420</v>
      </c>
    </row>
    <row r="6498" spans="30:30" ht="14" thickBot="1" x14ac:dyDescent="0.2">
      <c r="AD6498" s="98">
        <f t="shared" si="308"/>
        <v>51421</v>
      </c>
    </row>
    <row r="6499" spans="30:30" ht="14" thickBot="1" x14ac:dyDescent="0.2">
      <c r="AD6499" s="98">
        <f t="shared" si="308"/>
        <v>51422</v>
      </c>
    </row>
    <row r="6500" spans="30:30" ht="14" thickBot="1" x14ac:dyDescent="0.2">
      <c r="AD6500" s="98">
        <f t="shared" si="308"/>
        <v>51423</v>
      </c>
    </row>
    <row r="6501" spans="30:30" ht="14" thickBot="1" x14ac:dyDescent="0.2">
      <c r="AD6501" s="98">
        <f t="shared" si="308"/>
        <v>51424</v>
      </c>
    </row>
    <row r="6502" spans="30:30" ht="14" thickBot="1" x14ac:dyDescent="0.2">
      <c r="AD6502" s="98">
        <f t="shared" si="308"/>
        <v>51425</v>
      </c>
    </row>
    <row r="6503" spans="30:30" ht="14" thickBot="1" x14ac:dyDescent="0.2">
      <c r="AD6503" s="98">
        <f t="shared" si="308"/>
        <v>51426</v>
      </c>
    </row>
    <row r="6504" spans="30:30" ht="14" thickBot="1" x14ac:dyDescent="0.2">
      <c r="AD6504" s="98">
        <f t="shared" si="308"/>
        <v>51427</v>
      </c>
    </row>
    <row r="6505" spans="30:30" ht="14" thickBot="1" x14ac:dyDescent="0.2">
      <c r="AD6505" s="98">
        <f t="shared" si="308"/>
        <v>51428</v>
      </c>
    </row>
    <row r="6506" spans="30:30" ht="14" thickBot="1" x14ac:dyDescent="0.2">
      <c r="AD6506" s="98">
        <f t="shared" si="308"/>
        <v>51429</v>
      </c>
    </row>
    <row r="6507" spans="30:30" ht="14" thickBot="1" x14ac:dyDescent="0.2">
      <c r="AD6507" s="98">
        <f t="shared" si="308"/>
        <v>51430</v>
      </c>
    </row>
    <row r="6508" spans="30:30" ht="14" thickBot="1" x14ac:dyDescent="0.2">
      <c r="AD6508" s="98">
        <f t="shared" si="308"/>
        <v>51431</v>
      </c>
    </row>
    <row r="6509" spans="30:30" ht="14" thickBot="1" x14ac:dyDescent="0.2">
      <c r="AD6509" s="98">
        <f t="shared" si="308"/>
        <v>51432</v>
      </c>
    </row>
    <row r="6510" spans="30:30" ht="14" thickBot="1" x14ac:dyDescent="0.2">
      <c r="AD6510" s="98">
        <f t="shared" si="308"/>
        <v>51433</v>
      </c>
    </row>
    <row r="6511" spans="30:30" ht="14" thickBot="1" x14ac:dyDescent="0.2">
      <c r="AD6511" s="98">
        <f t="shared" si="308"/>
        <v>51434</v>
      </c>
    </row>
    <row r="6512" spans="30:30" ht="14" thickBot="1" x14ac:dyDescent="0.2">
      <c r="AD6512" s="98">
        <f t="shared" si="308"/>
        <v>51435</v>
      </c>
    </row>
    <row r="6513" spans="30:30" ht="14" thickBot="1" x14ac:dyDescent="0.2">
      <c r="AD6513" s="98">
        <f t="shared" si="308"/>
        <v>51436</v>
      </c>
    </row>
    <row r="6514" spans="30:30" ht="14" thickBot="1" x14ac:dyDescent="0.2">
      <c r="AD6514" s="98">
        <f t="shared" si="308"/>
        <v>51437</v>
      </c>
    </row>
    <row r="6515" spans="30:30" ht="14" thickBot="1" x14ac:dyDescent="0.2">
      <c r="AD6515" s="98">
        <f t="shared" si="308"/>
        <v>51438</v>
      </c>
    </row>
    <row r="6516" spans="30:30" ht="14" thickBot="1" x14ac:dyDescent="0.2">
      <c r="AD6516" s="98">
        <f t="shared" si="308"/>
        <v>51439</v>
      </c>
    </row>
    <row r="6517" spans="30:30" ht="14" thickBot="1" x14ac:dyDescent="0.2">
      <c r="AD6517" s="98">
        <f t="shared" si="308"/>
        <v>51440</v>
      </c>
    </row>
    <row r="6518" spans="30:30" ht="14" thickBot="1" x14ac:dyDescent="0.2">
      <c r="AD6518" s="98">
        <f t="shared" si="308"/>
        <v>51441</v>
      </c>
    </row>
    <row r="6519" spans="30:30" ht="14" thickBot="1" x14ac:dyDescent="0.2">
      <c r="AD6519" s="98">
        <f t="shared" si="308"/>
        <v>51442</v>
      </c>
    </row>
    <row r="6520" spans="30:30" ht="14" thickBot="1" x14ac:dyDescent="0.2">
      <c r="AD6520" s="98">
        <f t="shared" si="308"/>
        <v>51443</v>
      </c>
    </row>
    <row r="6521" spans="30:30" ht="14" thickBot="1" x14ac:dyDescent="0.2">
      <c r="AD6521" s="98">
        <f t="shared" si="308"/>
        <v>51444</v>
      </c>
    </row>
    <row r="6522" spans="30:30" ht="14" thickBot="1" x14ac:dyDescent="0.2">
      <c r="AD6522" s="98">
        <f t="shared" si="308"/>
        <v>51445</v>
      </c>
    </row>
    <row r="6523" spans="30:30" ht="14" thickBot="1" x14ac:dyDescent="0.2">
      <c r="AD6523" s="98">
        <f t="shared" si="308"/>
        <v>51446</v>
      </c>
    </row>
    <row r="6524" spans="30:30" ht="14" thickBot="1" x14ac:dyDescent="0.2">
      <c r="AD6524" s="98">
        <f t="shared" si="308"/>
        <v>51447</v>
      </c>
    </row>
    <row r="6525" spans="30:30" ht="14" thickBot="1" x14ac:dyDescent="0.2">
      <c r="AD6525" s="98">
        <f t="shared" si="308"/>
        <v>51448</v>
      </c>
    </row>
    <row r="6526" spans="30:30" ht="14" thickBot="1" x14ac:dyDescent="0.2">
      <c r="AD6526" s="98">
        <f t="shared" si="308"/>
        <v>51449</v>
      </c>
    </row>
    <row r="6527" spans="30:30" ht="14" thickBot="1" x14ac:dyDescent="0.2">
      <c r="AD6527" s="98">
        <f t="shared" si="308"/>
        <v>51450</v>
      </c>
    </row>
    <row r="6528" spans="30:30" ht="14" thickBot="1" x14ac:dyDescent="0.2">
      <c r="AD6528" s="98">
        <f t="shared" si="308"/>
        <v>51451</v>
      </c>
    </row>
    <row r="6529" spans="30:30" ht="14" thickBot="1" x14ac:dyDescent="0.2">
      <c r="AD6529" s="98">
        <f t="shared" si="308"/>
        <v>51452</v>
      </c>
    </row>
    <row r="6530" spans="30:30" ht="14" thickBot="1" x14ac:dyDescent="0.2">
      <c r="AD6530" s="98">
        <f t="shared" si="308"/>
        <v>51453</v>
      </c>
    </row>
    <row r="6531" spans="30:30" ht="14" thickBot="1" x14ac:dyDescent="0.2">
      <c r="AD6531" s="98">
        <f t="shared" si="308"/>
        <v>51454</v>
      </c>
    </row>
    <row r="6532" spans="30:30" ht="14" thickBot="1" x14ac:dyDescent="0.2">
      <c r="AD6532" s="98">
        <f t="shared" si="308"/>
        <v>51455</v>
      </c>
    </row>
    <row r="6533" spans="30:30" ht="14" thickBot="1" x14ac:dyDescent="0.2">
      <c r="AD6533" s="98">
        <f t="shared" si="308"/>
        <v>51456</v>
      </c>
    </row>
    <row r="6534" spans="30:30" ht="14" thickBot="1" x14ac:dyDescent="0.2">
      <c r="AD6534" s="98">
        <f t="shared" si="308"/>
        <v>51457</v>
      </c>
    </row>
    <row r="6535" spans="30:30" ht="14" thickBot="1" x14ac:dyDescent="0.2">
      <c r="AD6535" s="98">
        <f t="shared" si="308"/>
        <v>51458</v>
      </c>
    </row>
    <row r="6536" spans="30:30" ht="14" thickBot="1" x14ac:dyDescent="0.2">
      <c r="AD6536" s="98">
        <f t="shared" si="308"/>
        <v>51459</v>
      </c>
    </row>
    <row r="6537" spans="30:30" ht="14" thickBot="1" x14ac:dyDescent="0.2">
      <c r="AD6537" s="98">
        <f t="shared" ref="AD6537:AD6600" si="309">AD6536+1</f>
        <v>51460</v>
      </c>
    </row>
    <row r="6538" spans="30:30" ht="14" thickBot="1" x14ac:dyDescent="0.2">
      <c r="AD6538" s="98">
        <f t="shared" si="309"/>
        <v>51461</v>
      </c>
    </row>
    <row r="6539" spans="30:30" ht="14" thickBot="1" x14ac:dyDescent="0.2">
      <c r="AD6539" s="98">
        <f t="shared" si="309"/>
        <v>51462</v>
      </c>
    </row>
    <row r="6540" spans="30:30" ht="14" thickBot="1" x14ac:dyDescent="0.2">
      <c r="AD6540" s="98">
        <f t="shared" si="309"/>
        <v>51463</v>
      </c>
    </row>
    <row r="6541" spans="30:30" ht="14" thickBot="1" x14ac:dyDescent="0.2">
      <c r="AD6541" s="98">
        <f t="shared" si="309"/>
        <v>51464</v>
      </c>
    </row>
    <row r="6542" spans="30:30" ht="14" thickBot="1" x14ac:dyDescent="0.2">
      <c r="AD6542" s="98">
        <f t="shared" si="309"/>
        <v>51465</v>
      </c>
    </row>
    <row r="6543" spans="30:30" ht="14" thickBot="1" x14ac:dyDescent="0.2">
      <c r="AD6543" s="98">
        <f t="shared" si="309"/>
        <v>51466</v>
      </c>
    </row>
    <row r="6544" spans="30:30" ht="14" thickBot="1" x14ac:dyDescent="0.2">
      <c r="AD6544" s="98">
        <f t="shared" si="309"/>
        <v>51467</v>
      </c>
    </row>
    <row r="6545" spans="30:30" ht="14" thickBot="1" x14ac:dyDescent="0.2">
      <c r="AD6545" s="98">
        <f t="shared" si="309"/>
        <v>51468</v>
      </c>
    </row>
    <row r="6546" spans="30:30" ht="14" thickBot="1" x14ac:dyDescent="0.2">
      <c r="AD6546" s="98">
        <f t="shared" si="309"/>
        <v>51469</v>
      </c>
    </row>
    <row r="6547" spans="30:30" ht="14" thickBot="1" x14ac:dyDescent="0.2">
      <c r="AD6547" s="98">
        <f t="shared" si="309"/>
        <v>51470</v>
      </c>
    </row>
    <row r="6548" spans="30:30" ht="14" thickBot="1" x14ac:dyDescent="0.2">
      <c r="AD6548" s="98">
        <f t="shared" si="309"/>
        <v>51471</v>
      </c>
    </row>
    <row r="6549" spans="30:30" ht="14" thickBot="1" x14ac:dyDescent="0.2">
      <c r="AD6549" s="98">
        <f t="shared" si="309"/>
        <v>51472</v>
      </c>
    </row>
    <row r="6550" spans="30:30" ht="14" thickBot="1" x14ac:dyDescent="0.2">
      <c r="AD6550" s="98">
        <f t="shared" si="309"/>
        <v>51473</v>
      </c>
    </row>
    <row r="6551" spans="30:30" ht="14" thickBot="1" x14ac:dyDescent="0.2">
      <c r="AD6551" s="98">
        <f t="shared" si="309"/>
        <v>51474</v>
      </c>
    </row>
    <row r="6552" spans="30:30" ht="14" thickBot="1" x14ac:dyDescent="0.2">
      <c r="AD6552" s="98">
        <f t="shared" si="309"/>
        <v>51475</v>
      </c>
    </row>
    <row r="6553" spans="30:30" ht="14" thickBot="1" x14ac:dyDescent="0.2">
      <c r="AD6553" s="98">
        <f t="shared" si="309"/>
        <v>51476</v>
      </c>
    </row>
    <row r="6554" spans="30:30" ht="14" thickBot="1" x14ac:dyDescent="0.2">
      <c r="AD6554" s="98">
        <f t="shared" si="309"/>
        <v>51477</v>
      </c>
    </row>
    <row r="6555" spans="30:30" ht="14" thickBot="1" x14ac:dyDescent="0.2">
      <c r="AD6555" s="98">
        <f t="shared" si="309"/>
        <v>51478</v>
      </c>
    </row>
    <row r="6556" spans="30:30" ht="14" thickBot="1" x14ac:dyDescent="0.2">
      <c r="AD6556" s="98">
        <f t="shared" si="309"/>
        <v>51479</v>
      </c>
    </row>
    <row r="6557" spans="30:30" ht="14" thickBot="1" x14ac:dyDescent="0.2">
      <c r="AD6557" s="98">
        <f t="shared" si="309"/>
        <v>51480</v>
      </c>
    </row>
    <row r="6558" spans="30:30" ht="14" thickBot="1" x14ac:dyDescent="0.2">
      <c r="AD6558" s="98">
        <f t="shared" si="309"/>
        <v>51481</v>
      </c>
    </row>
    <row r="6559" spans="30:30" ht="14" thickBot="1" x14ac:dyDescent="0.2">
      <c r="AD6559" s="98">
        <f t="shared" si="309"/>
        <v>51482</v>
      </c>
    </row>
    <row r="6560" spans="30:30" ht="14" thickBot="1" x14ac:dyDescent="0.2">
      <c r="AD6560" s="98">
        <f t="shared" si="309"/>
        <v>51483</v>
      </c>
    </row>
    <row r="6561" spans="30:30" ht="14" thickBot="1" x14ac:dyDescent="0.2">
      <c r="AD6561" s="98">
        <f t="shared" si="309"/>
        <v>51484</v>
      </c>
    </row>
    <row r="6562" spans="30:30" ht="14" thickBot="1" x14ac:dyDescent="0.2">
      <c r="AD6562" s="98">
        <f t="shared" si="309"/>
        <v>51485</v>
      </c>
    </row>
    <row r="6563" spans="30:30" ht="14" thickBot="1" x14ac:dyDescent="0.2">
      <c r="AD6563" s="98">
        <f t="shared" si="309"/>
        <v>51486</v>
      </c>
    </row>
    <row r="6564" spans="30:30" ht="14" thickBot="1" x14ac:dyDescent="0.2">
      <c r="AD6564" s="98">
        <f t="shared" si="309"/>
        <v>51487</v>
      </c>
    </row>
    <row r="6565" spans="30:30" ht="14" thickBot="1" x14ac:dyDescent="0.2">
      <c r="AD6565" s="98">
        <f t="shared" si="309"/>
        <v>51488</v>
      </c>
    </row>
    <row r="6566" spans="30:30" ht="14" thickBot="1" x14ac:dyDescent="0.2">
      <c r="AD6566" s="98">
        <f t="shared" si="309"/>
        <v>51489</v>
      </c>
    </row>
    <row r="6567" spans="30:30" ht="14" thickBot="1" x14ac:dyDescent="0.2">
      <c r="AD6567" s="98">
        <f t="shared" si="309"/>
        <v>51490</v>
      </c>
    </row>
    <row r="6568" spans="30:30" ht="14" thickBot="1" x14ac:dyDescent="0.2">
      <c r="AD6568" s="98">
        <f t="shared" si="309"/>
        <v>51491</v>
      </c>
    </row>
    <row r="6569" spans="30:30" ht="14" thickBot="1" x14ac:dyDescent="0.2">
      <c r="AD6569" s="98">
        <f t="shared" si="309"/>
        <v>51492</v>
      </c>
    </row>
    <row r="6570" spans="30:30" ht="14" thickBot="1" x14ac:dyDescent="0.2">
      <c r="AD6570" s="98">
        <f t="shared" si="309"/>
        <v>51493</v>
      </c>
    </row>
    <row r="6571" spans="30:30" ht="14" thickBot="1" x14ac:dyDescent="0.2">
      <c r="AD6571" s="98">
        <f t="shared" si="309"/>
        <v>51494</v>
      </c>
    </row>
    <row r="6572" spans="30:30" ht="14" thickBot="1" x14ac:dyDescent="0.2">
      <c r="AD6572" s="98">
        <f t="shared" si="309"/>
        <v>51495</v>
      </c>
    </row>
    <row r="6573" spans="30:30" ht="14" thickBot="1" x14ac:dyDescent="0.2">
      <c r="AD6573" s="98">
        <f t="shared" si="309"/>
        <v>51496</v>
      </c>
    </row>
    <row r="6574" spans="30:30" ht="14" thickBot="1" x14ac:dyDescent="0.2">
      <c r="AD6574" s="98">
        <f t="shared" si="309"/>
        <v>51497</v>
      </c>
    </row>
    <row r="6575" spans="30:30" ht="14" thickBot="1" x14ac:dyDescent="0.2">
      <c r="AD6575" s="98">
        <f t="shared" si="309"/>
        <v>51498</v>
      </c>
    </row>
    <row r="6576" spans="30:30" ht="14" thickBot="1" x14ac:dyDescent="0.2">
      <c r="AD6576" s="98">
        <f t="shared" si="309"/>
        <v>51499</v>
      </c>
    </row>
    <row r="6577" spans="30:30" ht="14" thickBot="1" x14ac:dyDescent="0.2">
      <c r="AD6577" s="98">
        <f t="shared" si="309"/>
        <v>51500</v>
      </c>
    </row>
    <row r="6578" spans="30:30" ht="14" thickBot="1" x14ac:dyDescent="0.2">
      <c r="AD6578" s="98">
        <f t="shared" si="309"/>
        <v>51501</v>
      </c>
    </row>
    <row r="6579" spans="30:30" ht="14" thickBot="1" x14ac:dyDescent="0.2">
      <c r="AD6579" s="98">
        <f t="shared" si="309"/>
        <v>51502</v>
      </c>
    </row>
    <row r="6580" spans="30:30" ht="14" thickBot="1" x14ac:dyDescent="0.2">
      <c r="AD6580" s="98">
        <f t="shared" si="309"/>
        <v>51503</v>
      </c>
    </row>
    <row r="6581" spans="30:30" ht="14" thickBot="1" x14ac:dyDescent="0.2">
      <c r="AD6581" s="98">
        <f t="shared" si="309"/>
        <v>51504</v>
      </c>
    </row>
    <row r="6582" spans="30:30" ht="14" thickBot="1" x14ac:dyDescent="0.2">
      <c r="AD6582" s="98">
        <f t="shared" si="309"/>
        <v>51505</v>
      </c>
    </row>
    <row r="6583" spans="30:30" ht="14" thickBot="1" x14ac:dyDescent="0.2">
      <c r="AD6583" s="98">
        <f t="shared" si="309"/>
        <v>51506</v>
      </c>
    </row>
    <row r="6584" spans="30:30" ht="14" thickBot="1" x14ac:dyDescent="0.2">
      <c r="AD6584" s="98">
        <f t="shared" si="309"/>
        <v>51507</v>
      </c>
    </row>
    <row r="6585" spans="30:30" ht="14" thickBot="1" x14ac:dyDescent="0.2">
      <c r="AD6585" s="98">
        <f t="shared" si="309"/>
        <v>51508</v>
      </c>
    </row>
    <row r="6586" spans="30:30" ht="14" thickBot="1" x14ac:dyDescent="0.2">
      <c r="AD6586" s="98">
        <f t="shared" si="309"/>
        <v>51509</v>
      </c>
    </row>
    <row r="6587" spans="30:30" ht="14" thickBot="1" x14ac:dyDescent="0.2">
      <c r="AD6587" s="98">
        <f t="shared" si="309"/>
        <v>51510</v>
      </c>
    </row>
    <row r="6588" spans="30:30" ht="14" thickBot="1" x14ac:dyDescent="0.2">
      <c r="AD6588" s="98">
        <f t="shared" si="309"/>
        <v>51511</v>
      </c>
    </row>
    <row r="6589" spans="30:30" ht="14" thickBot="1" x14ac:dyDescent="0.2">
      <c r="AD6589" s="98">
        <f t="shared" si="309"/>
        <v>51512</v>
      </c>
    </row>
    <row r="6590" spans="30:30" ht="14" thickBot="1" x14ac:dyDescent="0.2">
      <c r="AD6590" s="98">
        <f t="shared" si="309"/>
        <v>51513</v>
      </c>
    </row>
    <row r="6591" spans="30:30" ht="14" thickBot="1" x14ac:dyDescent="0.2">
      <c r="AD6591" s="98">
        <f t="shared" si="309"/>
        <v>51514</v>
      </c>
    </row>
    <row r="6592" spans="30:30" ht="14" thickBot="1" x14ac:dyDescent="0.2">
      <c r="AD6592" s="98">
        <f t="shared" si="309"/>
        <v>51515</v>
      </c>
    </row>
    <row r="6593" spans="30:30" ht="14" thickBot="1" x14ac:dyDescent="0.2">
      <c r="AD6593" s="98">
        <f t="shared" si="309"/>
        <v>51516</v>
      </c>
    </row>
    <row r="6594" spans="30:30" ht="14" thickBot="1" x14ac:dyDescent="0.2">
      <c r="AD6594" s="98">
        <f t="shared" si="309"/>
        <v>51517</v>
      </c>
    </row>
    <row r="6595" spans="30:30" ht="14" thickBot="1" x14ac:dyDescent="0.2">
      <c r="AD6595" s="98">
        <f t="shared" si="309"/>
        <v>51518</v>
      </c>
    </row>
    <row r="6596" spans="30:30" ht="14" thickBot="1" x14ac:dyDescent="0.2">
      <c r="AD6596" s="98">
        <f t="shared" si="309"/>
        <v>51519</v>
      </c>
    </row>
    <row r="6597" spans="30:30" ht="14" thickBot="1" x14ac:dyDescent="0.2">
      <c r="AD6597" s="98">
        <f t="shared" si="309"/>
        <v>51520</v>
      </c>
    </row>
    <row r="6598" spans="30:30" ht="14" thickBot="1" x14ac:dyDescent="0.2">
      <c r="AD6598" s="98">
        <f t="shared" si="309"/>
        <v>51521</v>
      </c>
    </row>
    <row r="6599" spans="30:30" ht="14" thickBot="1" x14ac:dyDescent="0.2">
      <c r="AD6599" s="98">
        <f t="shared" si="309"/>
        <v>51522</v>
      </c>
    </row>
    <row r="6600" spans="30:30" ht="14" thickBot="1" x14ac:dyDescent="0.2">
      <c r="AD6600" s="98">
        <f t="shared" si="309"/>
        <v>51523</v>
      </c>
    </row>
    <row r="6601" spans="30:30" ht="14" thickBot="1" x14ac:dyDescent="0.2">
      <c r="AD6601" s="98">
        <f t="shared" ref="AD6601:AD6664" si="310">AD6600+1</f>
        <v>51524</v>
      </c>
    </row>
    <row r="6602" spans="30:30" ht="14" thickBot="1" x14ac:dyDescent="0.2">
      <c r="AD6602" s="98">
        <f t="shared" si="310"/>
        <v>51525</v>
      </c>
    </row>
    <row r="6603" spans="30:30" ht="14" thickBot="1" x14ac:dyDescent="0.2">
      <c r="AD6603" s="98">
        <f t="shared" si="310"/>
        <v>51526</v>
      </c>
    </row>
    <row r="6604" spans="30:30" ht="14" thickBot="1" x14ac:dyDescent="0.2">
      <c r="AD6604" s="98">
        <f t="shared" si="310"/>
        <v>51527</v>
      </c>
    </row>
    <row r="6605" spans="30:30" ht="14" thickBot="1" x14ac:dyDescent="0.2">
      <c r="AD6605" s="98">
        <f t="shared" si="310"/>
        <v>51528</v>
      </c>
    </row>
    <row r="6606" spans="30:30" ht="14" thickBot="1" x14ac:dyDescent="0.2">
      <c r="AD6606" s="98">
        <f t="shared" si="310"/>
        <v>51529</v>
      </c>
    </row>
    <row r="6607" spans="30:30" ht="14" thickBot="1" x14ac:dyDescent="0.2">
      <c r="AD6607" s="98">
        <f t="shared" si="310"/>
        <v>51530</v>
      </c>
    </row>
    <row r="6608" spans="30:30" ht="14" thickBot="1" x14ac:dyDescent="0.2">
      <c r="AD6608" s="98">
        <f t="shared" si="310"/>
        <v>51531</v>
      </c>
    </row>
    <row r="6609" spans="30:30" ht="14" thickBot="1" x14ac:dyDescent="0.2">
      <c r="AD6609" s="98">
        <f t="shared" si="310"/>
        <v>51532</v>
      </c>
    </row>
    <row r="6610" spans="30:30" ht="14" thickBot="1" x14ac:dyDescent="0.2">
      <c r="AD6610" s="98">
        <f t="shared" si="310"/>
        <v>51533</v>
      </c>
    </row>
    <row r="6611" spans="30:30" ht="14" thickBot="1" x14ac:dyDescent="0.2">
      <c r="AD6611" s="98">
        <f t="shared" si="310"/>
        <v>51534</v>
      </c>
    </row>
    <row r="6612" spans="30:30" ht="14" thickBot="1" x14ac:dyDescent="0.2">
      <c r="AD6612" s="98">
        <f t="shared" si="310"/>
        <v>51535</v>
      </c>
    </row>
    <row r="6613" spans="30:30" ht="14" thickBot="1" x14ac:dyDescent="0.2">
      <c r="AD6613" s="98">
        <f t="shared" si="310"/>
        <v>51536</v>
      </c>
    </row>
    <row r="6614" spans="30:30" ht="14" thickBot="1" x14ac:dyDescent="0.2">
      <c r="AD6614" s="98">
        <f t="shared" si="310"/>
        <v>51537</v>
      </c>
    </row>
    <row r="6615" spans="30:30" ht="14" thickBot="1" x14ac:dyDescent="0.2">
      <c r="AD6615" s="98">
        <f t="shared" si="310"/>
        <v>51538</v>
      </c>
    </row>
    <row r="6616" spans="30:30" ht="14" thickBot="1" x14ac:dyDescent="0.2">
      <c r="AD6616" s="98">
        <f t="shared" si="310"/>
        <v>51539</v>
      </c>
    </row>
    <row r="6617" spans="30:30" ht="14" thickBot="1" x14ac:dyDescent="0.2">
      <c r="AD6617" s="98">
        <f t="shared" si="310"/>
        <v>51540</v>
      </c>
    </row>
    <row r="6618" spans="30:30" ht="14" thickBot="1" x14ac:dyDescent="0.2">
      <c r="AD6618" s="98">
        <f t="shared" si="310"/>
        <v>51541</v>
      </c>
    </row>
    <row r="6619" spans="30:30" ht="14" thickBot="1" x14ac:dyDescent="0.2">
      <c r="AD6619" s="98">
        <f t="shared" si="310"/>
        <v>51542</v>
      </c>
    </row>
    <row r="6620" spans="30:30" ht="14" thickBot="1" x14ac:dyDescent="0.2">
      <c r="AD6620" s="98">
        <f t="shared" si="310"/>
        <v>51543</v>
      </c>
    </row>
    <row r="6621" spans="30:30" ht="14" thickBot="1" x14ac:dyDescent="0.2">
      <c r="AD6621" s="98">
        <f t="shared" si="310"/>
        <v>51544</v>
      </c>
    </row>
    <row r="6622" spans="30:30" ht="14" thickBot="1" x14ac:dyDescent="0.2">
      <c r="AD6622" s="98">
        <f t="shared" si="310"/>
        <v>51545</v>
      </c>
    </row>
    <row r="6623" spans="30:30" ht="14" thickBot="1" x14ac:dyDescent="0.2">
      <c r="AD6623" s="98">
        <f t="shared" si="310"/>
        <v>51546</v>
      </c>
    </row>
    <row r="6624" spans="30:30" ht="14" thickBot="1" x14ac:dyDescent="0.2">
      <c r="AD6624" s="98">
        <f t="shared" si="310"/>
        <v>51547</v>
      </c>
    </row>
    <row r="6625" spans="30:30" ht="14" thickBot="1" x14ac:dyDescent="0.2">
      <c r="AD6625" s="98">
        <f t="shared" si="310"/>
        <v>51548</v>
      </c>
    </row>
    <row r="6626" spans="30:30" ht="14" thickBot="1" x14ac:dyDescent="0.2">
      <c r="AD6626" s="98">
        <f t="shared" si="310"/>
        <v>51549</v>
      </c>
    </row>
    <row r="6627" spans="30:30" ht="14" thickBot="1" x14ac:dyDescent="0.2">
      <c r="AD6627" s="98">
        <f t="shared" si="310"/>
        <v>51550</v>
      </c>
    </row>
    <row r="6628" spans="30:30" ht="14" thickBot="1" x14ac:dyDescent="0.2">
      <c r="AD6628" s="98">
        <f t="shared" si="310"/>
        <v>51551</v>
      </c>
    </row>
    <row r="6629" spans="30:30" ht="14" thickBot="1" x14ac:dyDescent="0.2">
      <c r="AD6629" s="98">
        <f t="shared" si="310"/>
        <v>51552</v>
      </c>
    </row>
    <row r="6630" spans="30:30" ht="14" thickBot="1" x14ac:dyDescent="0.2">
      <c r="AD6630" s="98">
        <f t="shared" si="310"/>
        <v>51553</v>
      </c>
    </row>
    <row r="6631" spans="30:30" ht="14" thickBot="1" x14ac:dyDescent="0.2">
      <c r="AD6631" s="98">
        <f t="shared" si="310"/>
        <v>51554</v>
      </c>
    </row>
    <row r="6632" spans="30:30" ht="14" thickBot="1" x14ac:dyDescent="0.2">
      <c r="AD6632" s="98">
        <f t="shared" si="310"/>
        <v>51555</v>
      </c>
    </row>
    <row r="6633" spans="30:30" ht="14" thickBot="1" x14ac:dyDescent="0.2">
      <c r="AD6633" s="98">
        <f t="shared" si="310"/>
        <v>51556</v>
      </c>
    </row>
    <row r="6634" spans="30:30" ht="14" thickBot="1" x14ac:dyDescent="0.2">
      <c r="AD6634" s="98">
        <f t="shared" si="310"/>
        <v>51557</v>
      </c>
    </row>
    <row r="6635" spans="30:30" ht="14" thickBot="1" x14ac:dyDescent="0.2">
      <c r="AD6635" s="98">
        <f t="shared" si="310"/>
        <v>51558</v>
      </c>
    </row>
    <row r="6636" spans="30:30" ht="14" thickBot="1" x14ac:dyDescent="0.2">
      <c r="AD6636" s="98">
        <f t="shared" si="310"/>
        <v>51559</v>
      </c>
    </row>
    <row r="6637" spans="30:30" ht="14" thickBot="1" x14ac:dyDescent="0.2">
      <c r="AD6637" s="98">
        <f t="shared" si="310"/>
        <v>51560</v>
      </c>
    </row>
    <row r="6638" spans="30:30" ht="14" thickBot="1" x14ac:dyDescent="0.2">
      <c r="AD6638" s="98">
        <f t="shared" si="310"/>
        <v>51561</v>
      </c>
    </row>
    <row r="6639" spans="30:30" ht="14" thickBot="1" x14ac:dyDescent="0.2">
      <c r="AD6639" s="98">
        <f t="shared" si="310"/>
        <v>51562</v>
      </c>
    </row>
    <row r="6640" spans="30:30" ht="14" thickBot="1" x14ac:dyDescent="0.2">
      <c r="AD6640" s="98">
        <f t="shared" si="310"/>
        <v>51563</v>
      </c>
    </row>
    <row r="6641" spans="30:30" ht="14" thickBot="1" x14ac:dyDescent="0.2">
      <c r="AD6641" s="98">
        <f t="shared" si="310"/>
        <v>51564</v>
      </c>
    </row>
    <row r="6642" spans="30:30" ht="14" thickBot="1" x14ac:dyDescent="0.2">
      <c r="AD6642" s="98">
        <f t="shared" si="310"/>
        <v>51565</v>
      </c>
    </row>
    <row r="6643" spans="30:30" ht="14" thickBot="1" x14ac:dyDescent="0.2">
      <c r="AD6643" s="98">
        <f t="shared" si="310"/>
        <v>51566</v>
      </c>
    </row>
    <row r="6644" spans="30:30" ht="14" thickBot="1" x14ac:dyDescent="0.2">
      <c r="AD6644" s="98">
        <f t="shared" si="310"/>
        <v>51567</v>
      </c>
    </row>
    <row r="6645" spans="30:30" ht="14" thickBot="1" x14ac:dyDescent="0.2">
      <c r="AD6645" s="98">
        <f t="shared" si="310"/>
        <v>51568</v>
      </c>
    </row>
    <row r="6646" spans="30:30" ht="14" thickBot="1" x14ac:dyDescent="0.2">
      <c r="AD6646" s="98">
        <f t="shared" si="310"/>
        <v>51569</v>
      </c>
    </row>
    <row r="6647" spans="30:30" ht="14" thickBot="1" x14ac:dyDescent="0.2">
      <c r="AD6647" s="98">
        <f t="shared" si="310"/>
        <v>51570</v>
      </c>
    </row>
    <row r="6648" spans="30:30" ht="14" thickBot="1" x14ac:dyDescent="0.2">
      <c r="AD6648" s="98">
        <f t="shared" si="310"/>
        <v>51571</v>
      </c>
    </row>
    <row r="6649" spans="30:30" ht="14" thickBot="1" x14ac:dyDescent="0.2">
      <c r="AD6649" s="98">
        <f t="shared" si="310"/>
        <v>51572</v>
      </c>
    </row>
    <row r="6650" spans="30:30" ht="14" thickBot="1" x14ac:dyDescent="0.2">
      <c r="AD6650" s="98">
        <f t="shared" si="310"/>
        <v>51573</v>
      </c>
    </row>
    <row r="6651" spans="30:30" ht="14" thickBot="1" x14ac:dyDescent="0.2">
      <c r="AD6651" s="98">
        <f t="shared" si="310"/>
        <v>51574</v>
      </c>
    </row>
    <row r="6652" spans="30:30" ht="14" thickBot="1" x14ac:dyDescent="0.2">
      <c r="AD6652" s="98">
        <f t="shared" si="310"/>
        <v>51575</v>
      </c>
    </row>
    <row r="6653" spans="30:30" ht="14" thickBot="1" x14ac:dyDescent="0.2">
      <c r="AD6653" s="98">
        <f t="shared" si="310"/>
        <v>51576</v>
      </c>
    </row>
    <row r="6654" spans="30:30" ht="14" thickBot="1" x14ac:dyDescent="0.2">
      <c r="AD6654" s="98">
        <f t="shared" si="310"/>
        <v>51577</v>
      </c>
    </row>
    <row r="6655" spans="30:30" ht="14" thickBot="1" x14ac:dyDescent="0.2">
      <c r="AD6655" s="98">
        <f t="shared" si="310"/>
        <v>51578</v>
      </c>
    </row>
    <row r="6656" spans="30:30" ht="14" thickBot="1" x14ac:dyDescent="0.2">
      <c r="AD6656" s="98">
        <f t="shared" si="310"/>
        <v>51579</v>
      </c>
    </row>
    <row r="6657" spans="30:30" ht="14" thickBot="1" x14ac:dyDescent="0.2">
      <c r="AD6657" s="98">
        <f t="shared" si="310"/>
        <v>51580</v>
      </c>
    </row>
    <row r="6658" spans="30:30" ht="14" thickBot="1" x14ac:dyDescent="0.2">
      <c r="AD6658" s="98">
        <f t="shared" si="310"/>
        <v>51581</v>
      </c>
    </row>
    <row r="6659" spans="30:30" ht="14" thickBot="1" x14ac:dyDescent="0.2">
      <c r="AD6659" s="98">
        <f t="shared" si="310"/>
        <v>51582</v>
      </c>
    </row>
    <row r="6660" spans="30:30" ht="14" thickBot="1" x14ac:dyDescent="0.2">
      <c r="AD6660" s="98">
        <f t="shared" si="310"/>
        <v>51583</v>
      </c>
    </row>
    <row r="6661" spans="30:30" ht="14" thickBot="1" x14ac:dyDescent="0.2">
      <c r="AD6661" s="98">
        <f t="shared" si="310"/>
        <v>51584</v>
      </c>
    </row>
    <row r="6662" spans="30:30" ht="14" thickBot="1" x14ac:dyDescent="0.2">
      <c r="AD6662" s="98">
        <f t="shared" si="310"/>
        <v>51585</v>
      </c>
    </row>
    <row r="6663" spans="30:30" ht="14" thickBot="1" x14ac:dyDescent="0.2">
      <c r="AD6663" s="98">
        <f t="shared" si="310"/>
        <v>51586</v>
      </c>
    </row>
    <row r="6664" spans="30:30" ht="14" thickBot="1" x14ac:dyDescent="0.2">
      <c r="AD6664" s="98">
        <f t="shared" si="310"/>
        <v>51587</v>
      </c>
    </row>
    <row r="6665" spans="30:30" ht="14" thickBot="1" x14ac:dyDescent="0.2">
      <c r="AD6665" s="98">
        <f t="shared" ref="AD6665:AD6728" si="311">AD6664+1</f>
        <v>51588</v>
      </c>
    </row>
    <row r="6666" spans="30:30" ht="14" thickBot="1" x14ac:dyDescent="0.2">
      <c r="AD6666" s="98">
        <f t="shared" si="311"/>
        <v>51589</v>
      </c>
    </row>
    <row r="6667" spans="30:30" ht="14" thickBot="1" x14ac:dyDescent="0.2">
      <c r="AD6667" s="98">
        <f t="shared" si="311"/>
        <v>51590</v>
      </c>
    </row>
    <row r="6668" spans="30:30" ht="14" thickBot="1" x14ac:dyDescent="0.2">
      <c r="AD6668" s="98">
        <f t="shared" si="311"/>
        <v>51591</v>
      </c>
    </row>
    <row r="6669" spans="30:30" ht="14" thickBot="1" x14ac:dyDescent="0.2">
      <c r="AD6669" s="98">
        <f t="shared" si="311"/>
        <v>51592</v>
      </c>
    </row>
    <row r="6670" spans="30:30" ht="14" thickBot="1" x14ac:dyDescent="0.2">
      <c r="AD6670" s="98">
        <f t="shared" si="311"/>
        <v>51593</v>
      </c>
    </row>
    <row r="6671" spans="30:30" ht="14" thickBot="1" x14ac:dyDescent="0.2">
      <c r="AD6671" s="98">
        <f t="shared" si="311"/>
        <v>51594</v>
      </c>
    </row>
    <row r="6672" spans="30:30" ht="14" thickBot="1" x14ac:dyDescent="0.2">
      <c r="AD6672" s="98">
        <f t="shared" si="311"/>
        <v>51595</v>
      </c>
    </row>
    <row r="6673" spans="30:30" ht="14" thickBot="1" x14ac:dyDescent="0.2">
      <c r="AD6673" s="98">
        <f t="shared" si="311"/>
        <v>51596</v>
      </c>
    </row>
    <row r="6674" spans="30:30" ht="14" thickBot="1" x14ac:dyDescent="0.2">
      <c r="AD6674" s="98">
        <f t="shared" si="311"/>
        <v>51597</v>
      </c>
    </row>
    <row r="6675" spans="30:30" ht="14" thickBot="1" x14ac:dyDescent="0.2">
      <c r="AD6675" s="98">
        <f t="shared" si="311"/>
        <v>51598</v>
      </c>
    </row>
    <row r="6676" spans="30:30" ht="14" thickBot="1" x14ac:dyDescent="0.2">
      <c r="AD6676" s="98">
        <f t="shared" si="311"/>
        <v>51599</v>
      </c>
    </row>
    <row r="6677" spans="30:30" ht="14" thickBot="1" x14ac:dyDescent="0.2">
      <c r="AD6677" s="98">
        <f t="shared" si="311"/>
        <v>51600</v>
      </c>
    </row>
    <row r="6678" spans="30:30" ht="14" thickBot="1" x14ac:dyDescent="0.2">
      <c r="AD6678" s="98">
        <f t="shared" si="311"/>
        <v>51601</v>
      </c>
    </row>
    <row r="6679" spans="30:30" ht="14" thickBot="1" x14ac:dyDescent="0.2">
      <c r="AD6679" s="98">
        <f t="shared" si="311"/>
        <v>51602</v>
      </c>
    </row>
    <row r="6680" spans="30:30" ht="14" thickBot="1" x14ac:dyDescent="0.2">
      <c r="AD6680" s="98">
        <f t="shared" si="311"/>
        <v>51603</v>
      </c>
    </row>
    <row r="6681" spans="30:30" ht="14" thickBot="1" x14ac:dyDescent="0.2">
      <c r="AD6681" s="98">
        <f t="shared" si="311"/>
        <v>51604</v>
      </c>
    </row>
    <row r="6682" spans="30:30" ht="14" thickBot="1" x14ac:dyDescent="0.2">
      <c r="AD6682" s="98">
        <f t="shared" si="311"/>
        <v>51605</v>
      </c>
    </row>
    <row r="6683" spans="30:30" ht="14" thickBot="1" x14ac:dyDescent="0.2">
      <c r="AD6683" s="98">
        <f t="shared" si="311"/>
        <v>51606</v>
      </c>
    </row>
    <row r="6684" spans="30:30" ht="14" thickBot="1" x14ac:dyDescent="0.2">
      <c r="AD6684" s="98">
        <f t="shared" si="311"/>
        <v>51607</v>
      </c>
    </row>
    <row r="6685" spans="30:30" ht="14" thickBot="1" x14ac:dyDescent="0.2">
      <c r="AD6685" s="98">
        <f t="shared" si="311"/>
        <v>51608</v>
      </c>
    </row>
    <row r="6686" spans="30:30" ht="14" thickBot="1" x14ac:dyDescent="0.2">
      <c r="AD6686" s="98">
        <f t="shared" si="311"/>
        <v>51609</v>
      </c>
    </row>
    <row r="6687" spans="30:30" ht="14" thickBot="1" x14ac:dyDescent="0.2">
      <c r="AD6687" s="98">
        <f t="shared" si="311"/>
        <v>51610</v>
      </c>
    </row>
    <row r="6688" spans="30:30" ht="14" thickBot="1" x14ac:dyDescent="0.2">
      <c r="AD6688" s="98">
        <f t="shared" si="311"/>
        <v>51611</v>
      </c>
    </row>
    <row r="6689" spans="30:30" ht="14" thickBot="1" x14ac:dyDescent="0.2">
      <c r="AD6689" s="98">
        <f t="shared" si="311"/>
        <v>51612</v>
      </c>
    </row>
    <row r="6690" spans="30:30" ht="14" thickBot="1" x14ac:dyDescent="0.2">
      <c r="AD6690" s="98">
        <f t="shared" si="311"/>
        <v>51613</v>
      </c>
    </row>
    <row r="6691" spans="30:30" ht="14" thickBot="1" x14ac:dyDescent="0.2">
      <c r="AD6691" s="98">
        <f t="shared" si="311"/>
        <v>51614</v>
      </c>
    </row>
    <row r="6692" spans="30:30" ht="14" thickBot="1" x14ac:dyDescent="0.2">
      <c r="AD6692" s="98">
        <f t="shared" si="311"/>
        <v>51615</v>
      </c>
    </row>
    <row r="6693" spans="30:30" ht="14" thickBot="1" x14ac:dyDescent="0.2">
      <c r="AD6693" s="98">
        <f t="shared" si="311"/>
        <v>51616</v>
      </c>
    </row>
    <row r="6694" spans="30:30" ht="14" thickBot="1" x14ac:dyDescent="0.2">
      <c r="AD6694" s="98">
        <f t="shared" si="311"/>
        <v>51617</v>
      </c>
    </row>
    <row r="6695" spans="30:30" ht="14" thickBot="1" x14ac:dyDescent="0.2">
      <c r="AD6695" s="98">
        <f t="shared" si="311"/>
        <v>51618</v>
      </c>
    </row>
    <row r="6696" spans="30:30" ht="14" thickBot="1" x14ac:dyDescent="0.2">
      <c r="AD6696" s="98">
        <f t="shared" si="311"/>
        <v>51619</v>
      </c>
    </row>
    <row r="6697" spans="30:30" ht="14" thickBot="1" x14ac:dyDescent="0.2">
      <c r="AD6697" s="98">
        <f t="shared" si="311"/>
        <v>51620</v>
      </c>
    </row>
    <row r="6698" spans="30:30" ht="14" thickBot="1" x14ac:dyDescent="0.2">
      <c r="AD6698" s="98">
        <f t="shared" si="311"/>
        <v>51621</v>
      </c>
    </row>
    <row r="6699" spans="30:30" ht="14" thickBot="1" x14ac:dyDescent="0.2">
      <c r="AD6699" s="98">
        <f t="shared" si="311"/>
        <v>51622</v>
      </c>
    </row>
    <row r="6700" spans="30:30" ht="14" thickBot="1" x14ac:dyDescent="0.2">
      <c r="AD6700" s="98">
        <f t="shared" si="311"/>
        <v>51623</v>
      </c>
    </row>
    <row r="6701" spans="30:30" ht="14" thickBot="1" x14ac:dyDescent="0.2">
      <c r="AD6701" s="98">
        <f t="shared" si="311"/>
        <v>51624</v>
      </c>
    </row>
    <row r="6702" spans="30:30" ht="14" thickBot="1" x14ac:dyDescent="0.2">
      <c r="AD6702" s="98">
        <f t="shared" si="311"/>
        <v>51625</v>
      </c>
    </row>
    <row r="6703" spans="30:30" ht="14" thickBot="1" x14ac:dyDescent="0.2">
      <c r="AD6703" s="98">
        <f t="shared" si="311"/>
        <v>51626</v>
      </c>
    </row>
    <row r="6704" spans="30:30" ht="14" thickBot="1" x14ac:dyDescent="0.2">
      <c r="AD6704" s="98">
        <f t="shared" si="311"/>
        <v>51627</v>
      </c>
    </row>
    <row r="6705" spans="30:30" ht="14" thickBot="1" x14ac:dyDescent="0.2">
      <c r="AD6705" s="98">
        <f t="shared" si="311"/>
        <v>51628</v>
      </c>
    </row>
    <row r="6706" spans="30:30" ht="14" thickBot="1" x14ac:dyDescent="0.2">
      <c r="AD6706" s="98">
        <f t="shared" si="311"/>
        <v>51629</v>
      </c>
    </row>
    <row r="6707" spans="30:30" ht="14" thickBot="1" x14ac:dyDescent="0.2">
      <c r="AD6707" s="98">
        <f t="shared" si="311"/>
        <v>51630</v>
      </c>
    </row>
    <row r="6708" spans="30:30" ht="14" thickBot="1" x14ac:dyDescent="0.2">
      <c r="AD6708" s="98">
        <f t="shared" si="311"/>
        <v>51631</v>
      </c>
    </row>
    <row r="6709" spans="30:30" ht="14" thickBot="1" x14ac:dyDescent="0.2">
      <c r="AD6709" s="98">
        <f t="shared" si="311"/>
        <v>51632</v>
      </c>
    </row>
    <row r="6710" spans="30:30" ht="14" thickBot="1" x14ac:dyDescent="0.2">
      <c r="AD6710" s="98">
        <f t="shared" si="311"/>
        <v>51633</v>
      </c>
    </row>
    <row r="6711" spans="30:30" ht="14" thickBot="1" x14ac:dyDescent="0.2">
      <c r="AD6711" s="98">
        <f t="shared" si="311"/>
        <v>51634</v>
      </c>
    </row>
    <row r="6712" spans="30:30" ht="14" thickBot="1" x14ac:dyDescent="0.2">
      <c r="AD6712" s="98">
        <f t="shared" si="311"/>
        <v>51635</v>
      </c>
    </row>
    <row r="6713" spans="30:30" ht="14" thickBot="1" x14ac:dyDescent="0.2">
      <c r="AD6713" s="98">
        <f t="shared" si="311"/>
        <v>51636</v>
      </c>
    </row>
    <row r="6714" spans="30:30" ht="14" thickBot="1" x14ac:dyDescent="0.2">
      <c r="AD6714" s="98">
        <f t="shared" si="311"/>
        <v>51637</v>
      </c>
    </row>
    <row r="6715" spans="30:30" ht="14" thickBot="1" x14ac:dyDescent="0.2">
      <c r="AD6715" s="98">
        <f t="shared" si="311"/>
        <v>51638</v>
      </c>
    </row>
    <row r="6716" spans="30:30" ht="14" thickBot="1" x14ac:dyDescent="0.2">
      <c r="AD6716" s="98">
        <f t="shared" si="311"/>
        <v>51639</v>
      </c>
    </row>
    <row r="6717" spans="30:30" ht="14" thickBot="1" x14ac:dyDescent="0.2">
      <c r="AD6717" s="98">
        <f t="shared" si="311"/>
        <v>51640</v>
      </c>
    </row>
    <row r="6718" spans="30:30" ht="14" thickBot="1" x14ac:dyDescent="0.2">
      <c r="AD6718" s="98">
        <f t="shared" si="311"/>
        <v>51641</v>
      </c>
    </row>
    <row r="6719" spans="30:30" ht="14" thickBot="1" x14ac:dyDescent="0.2">
      <c r="AD6719" s="98">
        <f t="shared" si="311"/>
        <v>51642</v>
      </c>
    </row>
    <row r="6720" spans="30:30" ht="14" thickBot="1" x14ac:dyDescent="0.2">
      <c r="AD6720" s="98">
        <f t="shared" si="311"/>
        <v>51643</v>
      </c>
    </row>
    <row r="6721" spans="30:30" ht="14" thickBot="1" x14ac:dyDescent="0.2">
      <c r="AD6721" s="98">
        <f t="shared" si="311"/>
        <v>51644</v>
      </c>
    </row>
    <row r="6722" spans="30:30" ht="14" thickBot="1" x14ac:dyDescent="0.2">
      <c r="AD6722" s="98">
        <f t="shared" si="311"/>
        <v>51645</v>
      </c>
    </row>
    <row r="6723" spans="30:30" ht="14" thickBot="1" x14ac:dyDescent="0.2">
      <c r="AD6723" s="98">
        <f t="shared" si="311"/>
        <v>51646</v>
      </c>
    </row>
    <row r="6724" spans="30:30" ht="14" thickBot="1" x14ac:dyDescent="0.2">
      <c r="AD6724" s="98">
        <f t="shared" si="311"/>
        <v>51647</v>
      </c>
    </row>
    <row r="6725" spans="30:30" ht="14" thickBot="1" x14ac:dyDescent="0.2">
      <c r="AD6725" s="98">
        <f t="shared" si="311"/>
        <v>51648</v>
      </c>
    </row>
    <row r="6726" spans="30:30" ht="14" thickBot="1" x14ac:dyDescent="0.2">
      <c r="AD6726" s="98">
        <f t="shared" si="311"/>
        <v>51649</v>
      </c>
    </row>
    <row r="6727" spans="30:30" ht="14" thickBot="1" x14ac:dyDescent="0.2">
      <c r="AD6727" s="98">
        <f t="shared" si="311"/>
        <v>51650</v>
      </c>
    </row>
    <row r="6728" spans="30:30" ht="14" thickBot="1" x14ac:dyDescent="0.2">
      <c r="AD6728" s="98">
        <f t="shared" si="311"/>
        <v>51651</v>
      </c>
    </row>
    <row r="6729" spans="30:30" ht="14" thickBot="1" x14ac:dyDescent="0.2">
      <c r="AD6729" s="98">
        <f t="shared" ref="AD6729:AD6792" si="312">AD6728+1</f>
        <v>51652</v>
      </c>
    </row>
    <row r="6730" spans="30:30" ht="14" thickBot="1" x14ac:dyDescent="0.2">
      <c r="AD6730" s="98">
        <f t="shared" si="312"/>
        <v>51653</v>
      </c>
    </row>
    <row r="6731" spans="30:30" ht="14" thickBot="1" x14ac:dyDescent="0.2">
      <c r="AD6731" s="98">
        <f t="shared" si="312"/>
        <v>51654</v>
      </c>
    </row>
    <row r="6732" spans="30:30" ht="14" thickBot="1" x14ac:dyDescent="0.2">
      <c r="AD6732" s="98">
        <f t="shared" si="312"/>
        <v>51655</v>
      </c>
    </row>
    <row r="6733" spans="30:30" ht="14" thickBot="1" x14ac:dyDescent="0.2">
      <c r="AD6733" s="98">
        <f t="shared" si="312"/>
        <v>51656</v>
      </c>
    </row>
    <row r="6734" spans="30:30" ht="14" thickBot="1" x14ac:dyDescent="0.2">
      <c r="AD6734" s="98">
        <f t="shared" si="312"/>
        <v>51657</v>
      </c>
    </row>
    <row r="6735" spans="30:30" ht="14" thickBot="1" x14ac:dyDescent="0.2">
      <c r="AD6735" s="98">
        <f t="shared" si="312"/>
        <v>51658</v>
      </c>
    </row>
    <row r="6736" spans="30:30" ht="14" thickBot="1" x14ac:dyDescent="0.2">
      <c r="AD6736" s="98">
        <f t="shared" si="312"/>
        <v>51659</v>
      </c>
    </row>
    <row r="6737" spans="30:30" ht="14" thickBot="1" x14ac:dyDescent="0.2">
      <c r="AD6737" s="98">
        <f t="shared" si="312"/>
        <v>51660</v>
      </c>
    </row>
    <row r="6738" spans="30:30" ht="14" thickBot="1" x14ac:dyDescent="0.2">
      <c r="AD6738" s="98">
        <f t="shared" si="312"/>
        <v>51661</v>
      </c>
    </row>
    <row r="6739" spans="30:30" ht="14" thickBot="1" x14ac:dyDescent="0.2">
      <c r="AD6739" s="98">
        <f t="shared" si="312"/>
        <v>51662</v>
      </c>
    </row>
    <row r="6740" spans="30:30" ht="14" thickBot="1" x14ac:dyDescent="0.2">
      <c r="AD6740" s="98">
        <f t="shared" si="312"/>
        <v>51663</v>
      </c>
    </row>
    <row r="6741" spans="30:30" ht="14" thickBot="1" x14ac:dyDescent="0.2">
      <c r="AD6741" s="98">
        <f t="shared" si="312"/>
        <v>51664</v>
      </c>
    </row>
    <row r="6742" spans="30:30" ht="14" thickBot="1" x14ac:dyDescent="0.2">
      <c r="AD6742" s="98">
        <f t="shared" si="312"/>
        <v>51665</v>
      </c>
    </row>
    <row r="6743" spans="30:30" ht="14" thickBot="1" x14ac:dyDescent="0.2">
      <c r="AD6743" s="98">
        <f t="shared" si="312"/>
        <v>51666</v>
      </c>
    </row>
    <row r="6744" spans="30:30" ht="14" thickBot="1" x14ac:dyDescent="0.2">
      <c r="AD6744" s="98">
        <f t="shared" si="312"/>
        <v>51667</v>
      </c>
    </row>
    <row r="6745" spans="30:30" ht="14" thickBot="1" x14ac:dyDescent="0.2">
      <c r="AD6745" s="98">
        <f t="shared" si="312"/>
        <v>51668</v>
      </c>
    </row>
    <row r="6746" spans="30:30" ht="14" thickBot="1" x14ac:dyDescent="0.2">
      <c r="AD6746" s="98">
        <f t="shared" si="312"/>
        <v>51669</v>
      </c>
    </row>
    <row r="6747" spans="30:30" ht="14" thickBot="1" x14ac:dyDescent="0.2">
      <c r="AD6747" s="98">
        <f t="shared" si="312"/>
        <v>51670</v>
      </c>
    </row>
    <row r="6748" spans="30:30" ht="14" thickBot="1" x14ac:dyDescent="0.2">
      <c r="AD6748" s="98">
        <f t="shared" si="312"/>
        <v>51671</v>
      </c>
    </row>
    <row r="6749" spans="30:30" ht="14" thickBot="1" x14ac:dyDescent="0.2">
      <c r="AD6749" s="98">
        <f t="shared" si="312"/>
        <v>51672</v>
      </c>
    </row>
    <row r="6750" spans="30:30" ht="14" thickBot="1" x14ac:dyDescent="0.2">
      <c r="AD6750" s="98">
        <f t="shared" si="312"/>
        <v>51673</v>
      </c>
    </row>
    <row r="6751" spans="30:30" ht="14" thickBot="1" x14ac:dyDescent="0.2">
      <c r="AD6751" s="98">
        <f t="shared" si="312"/>
        <v>51674</v>
      </c>
    </row>
    <row r="6752" spans="30:30" ht="14" thickBot="1" x14ac:dyDescent="0.2">
      <c r="AD6752" s="98">
        <f t="shared" si="312"/>
        <v>51675</v>
      </c>
    </row>
    <row r="6753" spans="30:30" ht="14" thickBot="1" x14ac:dyDescent="0.2">
      <c r="AD6753" s="98">
        <f t="shared" si="312"/>
        <v>51676</v>
      </c>
    </row>
    <row r="6754" spans="30:30" ht="14" thickBot="1" x14ac:dyDescent="0.2">
      <c r="AD6754" s="98">
        <f t="shared" si="312"/>
        <v>51677</v>
      </c>
    </row>
    <row r="6755" spans="30:30" ht="14" thickBot="1" x14ac:dyDescent="0.2">
      <c r="AD6755" s="98">
        <f t="shared" si="312"/>
        <v>51678</v>
      </c>
    </row>
    <row r="6756" spans="30:30" ht="14" thickBot="1" x14ac:dyDescent="0.2">
      <c r="AD6756" s="98">
        <f t="shared" si="312"/>
        <v>51679</v>
      </c>
    </row>
    <row r="6757" spans="30:30" ht="14" thickBot="1" x14ac:dyDescent="0.2">
      <c r="AD6757" s="98">
        <f t="shared" si="312"/>
        <v>51680</v>
      </c>
    </row>
    <row r="6758" spans="30:30" ht="14" thickBot="1" x14ac:dyDescent="0.2">
      <c r="AD6758" s="98">
        <f t="shared" si="312"/>
        <v>51681</v>
      </c>
    </row>
    <row r="6759" spans="30:30" ht="14" thickBot="1" x14ac:dyDescent="0.2">
      <c r="AD6759" s="98">
        <f t="shared" si="312"/>
        <v>51682</v>
      </c>
    </row>
    <row r="6760" spans="30:30" ht="14" thickBot="1" x14ac:dyDescent="0.2">
      <c r="AD6760" s="98">
        <f t="shared" si="312"/>
        <v>51683</v>
      </c>
    </row>
    <row r="6761" spans="30:30" ht="14" thickBot="1" x14ac:dyDescent="0.2">
      <c r="AD6761" s="98">
        <f t="shared" si="312"/>
        <v>51684</v>
      </c>
    </row>
    <row r="6762" spans="30:30" ht="14" thickBot="1" x14ac:dyDescent="0.2">
      <c r="AD6762" s="98">
        <f t="shared" si="312"/>
        <v>51685</v>
      </c>
    </row>
    <row r="6763" spans="30:30" ht="14" thickBot="1" x14ac:dyDescent="0.2">
      <c r="AD6763" s="98">
        <f t="shared" si="312"/>
        <v>51686</v>
      </c>
    </row>
    <row r="6764" spans="30:30" ht="14" thickBot="1" x14ac:dyDescent="0.2">
      <c r="AD6764" s="98">
        <f t="shared" si="312"/>
        <v>51687</v>
      </c>
    </row>
    <row r="6765" spans="30:30" ht="14" thickBot="1" x14ac:dyDescent="0.2">
      <c r="AD6765" s="98">
        <f t="shared" si="312"/>
        <v>51688</v>
      </c>
    </row>
    <row r="6766" spans="30:30" ht="14" thickBot="1" x14ac:dyDescent="0.2">
      <c r="AD6766" s="98">
        <f t="shared" si="312"/>
        <v>51689</v>
      </c>
    </row>
    <row r="6767" spans="30:30" ht="14" thickBot="1" x14ac:dyDescent="0.2">
      <c r="AD6767" s="98">
        <f t="shared" si="312"/>
        <v>51690</v>
      </c>
    </row>
    <row r="6768" spans="30:30" ht="14" thickBot="1" x14ac:dyDescent="0.2">
      <c r="AD6768" s="98">
        <f t="shared" si="312"/>
        <v>51691</v>
      </c>
    </row>
    <row r="6769" spans="30:30" ht="14" thickBot="1" x14ac:dyDescent="0.2">
      <c r="AD6769" s="98">
        <f t="shared" si="312"/>
        <v>51692</v>
      </c>
    </row>
    <row r="6770" spans="30:30" ht="14" thickBot="1" x14ac:dyDescent="0.2">
      <c r="AD6770" s="98">
        <f t="shared" si="312"/>
        <v>51693</v>
      </c>
    </row>
    <row r="6771" spans="30:30" ht="14" thickBot="1" x14ac:dyDescent="0.2">
      <c r="AD6771" s="98">
        <f t="shared" si="312"/>
        <v>51694</v>
      </c>
    </row>
    <row r="6772" spans="30:30" ht="14" thickBot="1" x14ac:dyDescent="0.2">
      <c r="AD6772" s="98">
        <f t="shared" si="312"/>
        <v>51695</v>
      </c>
    </row>
    <row r="6773" spans="30:30" ht="14" thickBot="1" x14ac:dyDescent="0.2">
      <c r="AD6773" s="98">
        <f t="shared" si="312"/>
        <v>51696</v>
      </c>
    </row>
    <row r="6774" spans="30:30" ht="14" thickBot="1" x14ac:dyDescent="0.2">
      <c r="AD6774" s="98">
        <f t="shared" si="312"/>
        <v>51697</v>
      </c>
    </row>
    <row r="6775" spans="30:30" ht="14" thickBot="1" x14ac:dyDescent="0.2">
      <c r="AD6775" s="98">
        <f t="shared" si="312"/>
        <v>51698</v>
      </c>
    </row>
    <row r="6776" spans="30:30" ht="14" thickBot="1" x14ac:dyDescent="0.2">
      <c r="AD6776" s="98">
        <f t="shared" si="312"/>
        <v>51699</v>
      </c>
    </row>
    <row r="6777" spans="30:30" ht="14" thickBot="1" x14ac:dyDescent="0.2">
      <c r="AD6777" s="98">
        <f t="shared" si="312"/>
        <v>51700</v>
      </c>
    </row>
    <row r="6778" spans="30:30" ht="14" thickBot="1" x14ac:dyDescent="0.2">
      <c r="AD6778" s="98">
        <f t="shared" si="312"/>
        <v>51701</v>
      </c>
    </row>
    <row r="6779" spans="30:30" ht="14" thickBot="1" x14ac:dyDescent="0.2">
      <c r="AD6779" s="98">
        <f t="shared" si="312"/>
        <v>51702</v>
      </c>
    </row>
    <row r="6780" spans="30:30" ht="14" thickBot="1" x14ac:dyDescent="0.2">
      <c r="AD6780" s="98">
        <f t="shared" si="312"/>
        <v>51703</v>
      </c>
    </row>
    <row r="6781" spans="30:30" ht="14" thickBot="1" x14ac:dyDescent="0.2">
      <c r="AD6781" s="98">
        <f t="shared" si="312"/>
        <v>51704</v>
      </c>
    </row>
    <row r="6782" spans="30:30" ht="14" thickBot="1" x14ac:dyDescent="0.2">
      <c r="AD6782" s="98">
        <f t="shared" si="312"/>
        <v>51705</v>
      </c>
    </row>
    <row r="6783" spans="30:30" ht="14" thickBot="1" x14ac:dyDescent="0.2">
      <c r="AD6783" s="98">
        <f t="shared" si="312"/>
        <v>51706</v>
      </c>
    </row>
    <row r="6784" spans="30:30" ht="14" thickBot="1" x14ac:dyDescent="0.2">
      <c r="AD6784" s="98">
        <f t="shared" si="312"/>
        <v>51707</v>
      </c>
    </row>
    <row r="6785" spans="30:30" ht="14" thickBot="1" x14ac:dyDescent="0.2">
      <c r="AD6785" s="98">
        <f t="shared" si="312"/>
        <v>51708</v>
      </c>
    </row>
    <row r="6786" spans="30:30" ht="14" thickBot="1" x14ac:dyDescent="0.2">
      <c r="AD6786" s="98">
        <f t="shared" si="312"/>
        <v>51709</v>
      </c>
    </row>
    <row r="6787" spans="30:30" ht="14" thickBot="1" x14ac:dyDescent="0.2">
      <c r="AD6787" s="98">
        <f t="shared" si="312"/>
        <v>51710</v>
      </c>
    </row>
    <row r="6788" spans="30:30" ht="14" thickBot="1" x14ac:dyDescent="0.2">
      <c r="AD6788" s="98">
        <f t="shared" si="312"/>
        <v>51711</v>
      </c>
    </row>
    <row r="6789" spans="30:30" ht="14" thickBot="1" x14ac:dyDescent="0.2">
      <c r="AD6789" s="98">
        <f t="shared" si="312"/>
        <v>51712</v>
      </c>
    </row>
    <row r="6790" spans="30:30" ht="14" thickBot="1" x14ac:dyDescent="0.2">
      <c r="AD6790" s="98">
        <f t="shared" si="312"/>
        <v>51713</v>
      </c>
    </row>
    <row r="6791" spans="30:30" ht="14" thickBot="1" x14ac:dyDescent="0.2">
      <c r="AD6791" s="98">
        <f t="shared" si="312"/>
        <v>51714</v>
      </c>
    </row>
    <row r="6792" spans="30:30" ht="14" thickBot="1" x14ac:dyDescent="0.2">
      <c r="AD6792" s="98">
        <f t="shared" si="312"/>
        <v>51715</v>
      </c>
    </row>
    <row r="6793" spans="30:30" ht="14" thickBot="1" x14ac:dyDescent="0.2">
      <c r="AD6793" s="98">
        <f t="shared" ref="AD6793:AD6856" si="313">AD6792+1</f>
        <v>51716</v>
      </c>
    </row>
    <row r="6794" spans="30:30" ht="14" thickBot="1" x14ac:dyDescent="0.2">
      <c r="AD6794" s="98">
        <f t="shared" si="313"/>
        <v>51717</v>
      </c>
    </row>
    <row r="6795" spans="30:30" ht="14" thickBot="1" x14ac:dyDescent="0.2">
      <c r="AD6795" s="98">
        <f t="shared" si="313"/>
        <v>51718</v>
      </c>
    </row>
    <row r="6796" spans="30:30" ht="14" thickBot="1" x14ac:dyDescent="0.2">
      <c r="AD6796" s="98">
        <f t="shared" si="313"/>
        <v>51719</v>
      </c>
    </row>
    <row r="6797" spans="30:30" ht="14" thickBot="1" x14ac:dyDescent="0.2">
      <c r="AD6797" s="98">
        <f t="shared" si="313"/>
        <v>51720</v>
      </c>
    </row>
    <row r="6798" spans="30:30" ht="14" thickBot="1" x14ac:dyDescent="0.2">
      <c r="AD6798" s="98">
        <f t="shared" si="313"/>
        <v>51721</v>
      </c>
    </row>
    <row r="6799" spans="30:30" ht="14" thickBot="1" x14ac:dyDescent="0.2">
      <c r="AD6799" s="98">
        <f t="shared" si="313"/>
        <v>51722</v>
      </c>
    </row>
    <row r="6800" spans="30:30" ht="14" thickBot="1" x14ac:dyDescent="0.2">
      <c r="AD6800" s="98">
        <f t="shared" si="313"/>
        <v>51723</v>
      </c>
    </row>
    <row r="6801" spans="30:30" ht="14" thickBot="1" x14ac:dyDescent="0.2">
      <c r="AD6801" s="98">
        <f t="shared" si="313"/>
        <v>51724</v>
      </c>
    </row>
    <row r="6802" spans="30:30" ht="14" thickBot="1" x14ac:dyDescent="0.2">
      <c r="AD6802" s="98">
        <f t="shared" si="313"/>
        <v>51725</v>
      </c>
    </row>
    <row r="6803" spans="30:30" ht="14" thickBot="1" x14ac:dyDescent="0.2">
      <c r="AD6803" s="98">
        <f t="shared" si="313"/>
        <v>51726</v>
      </c>
    </row>
    <row r="6804" spans="30:30" ht="14" thickBot="1" x14ac:dyDescent="0.2">
      <c r="AD6804" s="98">
        <f t="shared" si="313"/>
        <v>51727</v>
      </c>
    </row>
    <row r="6805" spans="30:30" ht="14" thickBot="1" x14ac:dyDescent="0.2">
      <c r="AD6805" s="98">
        <f t="shared" si="313"/>
        <v>51728</v>
      </c>
    </row>
    <row r="6806" spans="30:30" ht="14" thickBot="1" x14ac:dyDescent="0.2">
      <c r="AD6806" s="98">
        <f t="shared" si="313"/>
        <v>51729</v>
      </c>
    </row>
    <row r="6807" spans="30:30" ht="14" thickBot="1" x14ac:dyDescent="0.2">
      <c r="AD6807" s="98">
        <f t="shared" si="313"/>
        <v>51730</v>
      </c>
    </row>
    <row r="6808" spans="30:30" ht="14" thickBot="1" x14ac:dyDescent="0.2">
      <c r="AD6808" s="98">
        <f t="shared" si="313"/>
        <v>51731</v>
      </c>
    </row>
    <row r="6809" spans="30:30" ht="14" thickBot="1" x14ac:dyDescent="0.2">
      <c r="AD6809" s="98">
        <f t="shared" si="313"/>
        <v>51732</v>
      </c>
    </row>
    <row r="6810" spans="30:30" ht="14" thickBot="1" x14ac:dyDescent="0.2">
      <c r="AD6810" s="98">
        <f t="shared" si="313"/>
        <v>51733</v>
      </c>
    </row>
    <row r="6811" spans="30:30" ht="14" thickBot="1" x14ac:dyDescent="0.2">
      <c r="AD6811" s="98">
        <f t="shared" si="313"/>
        <v>51734</v>
      </c>
    </row>
    <row r="6812" spans="30:30" ht="14" thickBot="1" x14ac:dyDescent="0.2">
      <c r="AD6812" s="98">
        <f t="shared" si="313"/>
        <v>51735</v>
      </c>
    </row>
    <row r="6813" spans="30:30" ht="14" thickBot="1" x14ac:dyDescent="0.2">
      <c r="AD6813" s="98">
        <f t="shared" si="313"/>
        <v>51736</v>
      </c>
    </row>
    <row r="6814" spans="30:30" ht="14" thickBot="1" x14ac:dyDescent="0.2">
      <c r="AD6814" s="98">
        <f t="shared" si="313"/>
        <v>51737</v>
      </c>
    </row>
    <row r="6815" spans="30:30" ht="14" thickBot="1" x14ac:dyDescent="0.2">
      <c r="AD6815" s="98">
        <f t="shared" si="313"/>
        <v>51738</v>
      </c>
    </row>
    <row r="6816" spans="30:30" ht="14" thickBot="1" x14ac:dyDescent="0.2">
      <c r="AD6816" s="98">
        <f t="shared" si="313"/>
        <v>51739</v>
      </c>
    </row>
    <row r="6817" spans="30:30" ht="14" thickBot="1" x14ac:dyDescent="0.2">
      <c r="AD6817" s="98">
        <f t="shared" si="313"/>
        <v>51740</v>
      </c>
    </row>
    <row r="6818" spans="30:30" ht="14" thickBot="1" x14ac:dyDescent="0.2">
      <c r="AD6818" s="98">
        <f t="shared" si="313"/>
        <v>51741</v>
      </c>
    </row>
    <row r="6819" spans="30:30" ht="14" thickBot="1" x14ac:dyDescent="0.2">
      <c r="AD6819" s="98">
        <f t="shared" si="313"/>
        <v>51742</v>
      </c>
    </row>
    <row r="6820" spans="30:30" ht="14" thickBot="1" x14ac:dyDescent="0.2">
      <c r="AD6820" s="98">
        <f t="shared" si="313"/>
        <v>51743</v>
      </c>
    </row>
    <row r="6821" spans="30:30" ht="14" thickBot="1" x14ac:dyDescent="0.2">
      <c r="AD6821" s="98">
        <f t="shared" si="313"/>
        <v>51744</v>
      </c>
    </row>
    <row r="6822" spans="30:30" ht="14" thickBot="1" x14ac:dyDescent="0.2">
      <c r="AD6822" s="98">
        <f t="shared" si="313"/>
        <v>51745</v>
      </c>
    </row>
    <row r="6823" spans="30:30" ht="14" thickBot="1" x14ac:dyDescent="0.2">
      <c r="AD6823" s="98">
        <f t="shared" si="313"/>
        <v>51746</v>
      </c>
    </row>
    <row r="6824" spans="30:30" ht="14" thickBot="1" x14ac:dyDescent="0.2">
      <c r="AD6824" s="98">
        <f t="shared" si="313"/>
        <v>51747</v>
      </c>
    </row>
    <row r="6825" spans="30:30" ht="14" thickBot="1" x14ac:dyDescent="0.2">
      <c r="AD6825" s="98">
        <f t="shared" si="313"/>
        <v>51748</v>
      </c>
    </row>
    <row r="6826" spans="30:30" ht="14" thickBot="1" x14ac:dyDescent="0.2">
      <c r="AD6826" s="98">
        <f t="shared" si="313"/>
        <v>51749</v>
      </c>
    </row>
    <row r="6827" spans="30:30" ht="14" thickBot="1" x14ac:dyDescent="0.2">
      <c r="AD6827" s="98">
        <f t="shared" si="313"/>
        <v>51750</v>
      </c>
    </row>
    <row r="6828" spans="30:30" ht="14" thickBot="1" x14ac:dyDescent="0.2">
      <c r="AD6828" s="98">
        <f t="shared" si="313"/>
        <v>51751</v>
      </c>
    </row>
    <row r="6829" spans="30:30" ht="14" thickBot="1" x14ac:dyDescent="0.2">
      <c r="AD6829" s="98">
        <f t="shared" si="313"/>
        <v>51752</v>
      </c>
    </row>
    <row r="6830" spans="30:30" ht="14" thickBot="1" x14ac:dyDescent="0.2">
      <c r="AD6830" s="98">
        <f t="shared" si="313"/>
        <v>51753</v>
      </c>
    </row>
    <row r="6831" spans="30:30" ht="14" thickBot="1" x14ac:dyDescent="0.2">
      <c r="AD6831" s="98">
        <f t="shared" si="313"/>
        <v>51754</v>
      </c>
    </row>
    <row r="6832" spans="30:30" ht="14" thickBot="1" x14ac:dyDescent="0.2">
      <c r="AD6832" s="98">
        <f t="shared" si="313"/>
        <v>51755</v>
      </c>
    </row>
    <row r="6833" spans="30:30" ht="14" thickBot="1" x14ac:dyDescent="0.2">
      <c r="AD6833" s="98">
        <f t="shared" si="313"/>
        <v>51756</v>
      </c>
    </row>
    <row r="6834" spans="30:30" ht="14" thickBot="1" x14ac:dyDescent="0.2">
      <c r="AD6834" s="98">
        <f t="shared" si="313"/>
        <v>51757</v>
      </c>
    </row>
    <row r="6835" spans="30:30" ht="14" thickBot="1" x14ac:dyDescent="0.2">
      <c r="AD6835" s="98">
        <f t="shared" si="313"/>
        <v>51758</v>
      </c>
    </row>
    <row r="6836" spans="30:30" ht="14" thickBot="1" x14ac:dyDescent="0.2">
      <c r="AD6836" s="98">
        <f t="shared" si="313"/>
        <v>51759</v>
      </c>
    </row>
    <row r="6837" spans="30:30" ht="14" thickBot="1" x14ac:dyDescent="0.2">
      <c r="AD6837" s="98">
        <f t="shared" si="313"/>
        <v>51760</v>
      </c>
    </row>
    <row r="6838" spans="30:30" ht="14" thickBot="1" x14ac:dyDescent="0.2">
      <c r="AD6838" s="98">
        <f t="shared" si="313"/>
        <v>51761</v>
      </c>
    </row>
    <row r="6839" spans="30:30" ht="14" thickBot="1" x14ac:dyDescent="0.2">
      <c r="AD6839" s="98">
        <f t="shared" si="313"/>
        <v>51762</v>
      </c>
    </row>
    <row r="6840" spans="30:30" ht="14" thickBot="1" x14ac:dyDescent="0.2">
      <c r="AD6840" s="98">
        <f t="shared" si="313"/>
        <v>51763</v>
      </c>
    </row>
    <row r="6841" spans="30:30" ht="14" thickBot="1" x14ac:dyDescent="0.2">
      <c r="AD6841" s="98">
        <f t="shared" si="313"/>
        <v>51764</v>
      </c>
    </row>
    <row r="6842" spans="30:30" ht="14" thickBot="1" x14ac:dyDescent="0.2">
      <c r="AD6842" s="98">
        <f t="shared" si="313"/>
        <v>51765</v>
      </c>
    </row>
    <row r="6843" spans="30:30" ht="14" thickBot="1" x14ac:dyDescent="0.2">
      <c r="AD6843" s="98">
        <f t="shared" si="313"/>
        <v>51766</v>
      </c>
    </row>
    <row r="6844" spans="30:30" ht="14" thickBot="1" x14ac:dyDescent="0.2">
      <c r="AD6844" s="98">
        <f t="shared" si="313"/>
        <v>51767</v>
      </c>
    </row>
    <row r="6845" spans="30:30" ht="14" thickBot="1" x14ac:dyDescent="0.2">
      <c r="AD6845" s="98">
        <f t="shared" si="313"/>
        <v>51768</v>
      </c>
    </row>
    <row r="6846" spans="30:30" ht="14" thickBot="1" x14ac:dyDescent="0.2">
      <c r="AD6846" s="98">
        <f t="shared" si="313"/>
        <v>51769</v>
      </c>
    </row>
    <row r="6847" spans="30:30" ht="14" thickBot="1" x14ac:dyDescent="0.2">
      <c r="AD6847" s="98">
        <f t="shared" si="313"/>
        <v>51770</v>
      </c>
    </row>
    <row r="6848" spans="30:30" ht="14" thickBot="1" x14ac:dyDescent="0.2">
      <c r="AD6848" s="98">
        <f t="shared" si="313"/>
        <v>51771</v>
      </c>
    </row>
    <row r="6849" spans="30:30" ht="14" thickBot="1" x14ac:dyDescent="0.2">
      <c r="AD6849" s="98">
        <f t="shared" si="313"/>
        <v>51772</v>
      </c>
    </row>
    <row r="6850" spans="30:30" ht="14" thickBot="1" x14ac:dyDescent="0.2">
      <c r="AD6850" s="98">
        <f t="shared" si="313"/>
        <v>51773</v>
      </c>
    </row>
    <row r="6851" spans="30:30" ht="14" thickBot="1" x14ac:dyDescent="0.2">
      <c r="AD6851" s="98">
        <f t="shared" si="313"/>
        <v>51774</v>
      </c>
    </row>
    <row r="6852" spans="30:30" ht="14" thickBot="1" x14ac:dyDescent="0.2">
      <c r="AD6852" s="98">
        <f t="shared" si="313"/>
        <v>51775</v>
      </c>
    </row>
    <row r="6853" spans="30:30" ht="14" thickBot="1" x14ac:dyDescent="0.2">
      <c r="AD6853" s="98">
        <f t="shared" si="313"/>
        <v>51776</v>
      </c>
    </row>
    <row r="6854" spans="30:30" ht="14" thickBot="1" x14ac:dyDescent="0.2">
      <c r="AD6854" s="98">
        <f t="shared" si="313"/>
        <v>51777</v>
      </c>
    </row>
    <row r="6855" spans="30:30" ht="14" thickBot="1" x14ac:dyDescent="0.2">
      <c r="AD6855" s="98">
        <f t="shared" si="313"/>
        <v>51778</v>
      </c>
    </row>
    <row r="6856" spans="30:30" ht="14" thickBot="1" x14ac:dyDescent="0.2">
      <c r="AD6856" s="98">
        <f t="shared" si="313"/>
        <v>51779</v>
      </c>
    </row>
    <row r="6857" spans="30:30" ht="14" thickBot="1" x14ac:dyDescent="0.2">
      <c r="AD6857" s="98">
        <f t="shared" ref="AD6857:AD6920" si="314">AD6856+1</f>
        <v>51780</v>
      </c>
    </row>
    <row r="6858" spans="30:30" ht="14" thickBot="1" x14ac:dyDescent="0.2">
      <c r="AD6858" s="98">
        <f t="shared" si="314"/>
        <v>51781</v>
      </c>
    </row>
    <row r="6859" spans="30:30" ht="14" thickBot="1" x14ac:dyDescent="0.2">
      <c r="AD6859" s="98">
        <f t="shared" si="314"/>
        <v>51782</v>
      </c>
    </row>
    <row r="6860" spans="30:30" ht="14" thickBot="1" x14ac:dyDescent="0.2">
      <c r="AD6860" s="98">
        <f t="shared" si="314"/>
        <v>51783</v>
      </c>
    </row>
    <row r="6861" spans="30:30" ht="14" thickBot="1" x14ac:dyDescent="0.2">
      <c r="AD6861" s="98">
        <f t="shared" si="314"/>
        <v>51784</v>
      </c>
    </row>
    <row r="6862" spans="30:30" ht="14" thickBot="1" x14ac:dyDescent="0.2">
      <c r="AD6862" s="98">
        <f t="shared" si="314"/>
        <v>51785</v>
      </c>
    </row>
    <row r="6863" spans="30:30" ht="14" thickBot="1" x14ac:dyDescent="0.2">
      <c r="AD6863" s="98">
        <f t="shared" si="314"/>
        <v>51786</v>
      </c>
    </row>
    <row r="6864" spans="30:30" ht="14" thickBot="1" x14ac:dyDescent="0.2">
      <c r="AD6864" s="98">
        <f t="shared" si="314"/>
        <v>51787</v>
      </c>
    </row>
    <row r="6865" spans="30:30" ht="14" thickBot="1" x14ac:dyDescent="0.2">
      <c r="AD6865" s="98">
        <f t="shared" si="314"/>
        <v>51788</v>
      </c>
    </row>
    <row r="6866" spans="30:30" ht="14" thickBot="1" x14ac:dyDescent="0.2">
      <c r="AD6866" s="98">
        <f t="shared" si="314"/>
        <v>51789</v>
      </c>
    </row>
    <row r="6867" spans="30:30" ht="14" thickBot="1" x14ac:dyDescent="0.2">
      <c r="AD6867" s="98">
        <f t="shared" si="314"/>
        <v>51790</v>
      </c>
    </row>
    <row r="6868" spans="30:30" ht="14" thickBot="1" x14ac:dyDescent="0.2">
      <c r="AD6868" s="98">
        <f t="shared" si="314"/>
        <v>51791</v>
      </c>
    </row>
    <row r="6869" spans="30:30" ht="14" thickBot="1" x14ac:dyDescent="0.2">
      <c r="AD6869" s="98">
        <f t="shared" si="314"/>
        <v>51792</v>
      </c>
    </row>
    <row r="6870" spans="30:30" ht="14" thickBot="1" x14ac:dyDescent="0.2">
      <c r="AD6870" s="98">
        <f t="shared" si="314"/>
        <v>51793</v>
      </c>
    </row>
    <row r="6871" spans="30:30" ht="14" thickBot="1" x14ac:dyDescent="0.2">
      <c r="AD6871" s="98">
        <f t="shared" si="314"/>
        <v>51794</v>
      </c>
    </row>
    <row r="6872" spans="30:30" ht="14" thickBot="1" x14ac:dyDescent="0.2">
      <c r="AD6872" s="98">
        <f t="shared" si="314"/>
        <v>51795</v>
      </c>
    </row>
    <row r="6873" spans="30:30" ht="14" thickBot="1" x14ac:dyDescent="0.2">
      <c r="AD6873" s="98">
        <f t="shared" si="314"/>
        <v>51796</v>
      </c>
    </row>
    <row r="6874" spans="30:30" ht="14" thickBot="1" x14ac:dyDescent="0.2">
      <c r="AD6874" s="98">
        <f t="shared" si="314"/>
        <v>51797</v>
      </c>
    </row>
    <row r="6875" spans="30:30" ht="14" thickBot="1" x14ac:dyDescent="0.2">
      <c r="AD6875" s="98">
        <f t="shared" si="314"/>
        <v>51798</v>
      </c>
    </row>
    <row r="6876" spans="30:30" ht="14" thickBot="1" x14ac:dyDescent="0.2">
      <c r="AD6876" s="98">
        <f t="shared" si="314"/>
        <v>51799</v>
      </c>
    </row>
    <row r="6877" spans="30:30" ht="14" thickBot="1" x14ac:dyDescent="0.2">
      <c r="AD6877" s="98">
        <f t="shared" si="314"/>
        <v>51800</v>
      </c>
    </row>
    <row r="6878" spans="30:30" ht="14" thickBot="1" x14ac:dyDescent="0.2">
      <c r="AD6878" s="98">
        <f t="shared" si="314"/>
        <v>51801</v>
      </c>
    </row>
    <row r="6879" spans="30:30" ht="14" thickBot="1" x14ac:dyDescent="0.2">
      <c r="AD6879" s="98">
        <f t="shared" si="314"/>
        <v>51802</v>
      </c>
    </row>
    <row r="6880" spans="30:30" ht="14" thickBot="1" x14ac:dyDescent="0.2">
      <c r="AD6880" s="98">
        <f t="shared" si="314"/>
        <v>51803</v>
      </c>
    </row>
    <row r="6881" spans="30:30" ht="14" thickBot="1" x14ac:dyDescent="0.2">
      <c r="AD6881" s="98">
        <f t="shared" si="314"/>
        <v>51804</v>
      </c>
    </row>
    <row r="6882" spans="30:30" ht="14" thickBot="1" x14ac:dyDescent="0.2">
      <c r="AD6882" s="98">
        <f t="shared" si="314"/>
        <v>51805</v>
      </c>
    </row>
    <row r="6883" spans="30:30" ht="14" thickBot="1" x14ac:dyDescent="0.2">
      <c r="AD6883" s="98">
        <f t="shared" si="314"/>
        <v>51806</v>
      </c>
    </row>
    <row r="6884" spans="30:30" ht="14" thickBot="1" x14ac:dyDescent="0.2">
      <c r="AD6884" s="98">
        <f t="shared" si="314"/>
        <v>51807</v>
      </c>
    </row>
    <row r="6885" spans="30:30" ht="14" thickBot="1" x14ac:dyDescent="0.2">
      <c r="AD6885" s="98">
        <f t="shared" si="314"/>
        <v>51808</v>
      </c>
    </row>
    <row r="6886" spans="30:30" ht="14" thickBot="1" x14ac:dyDescent="0.2">
      <c r="AD6886" s="98">
        <f t="shared" si="314"/>
        <v>51809</v>
      </c>
    </row>
    <row r="6887" spans="30:30" ht="14" thickBot="1" x14ac:dyDescent="0.2">
      <c r="AD6887" s="98">
        <f t="shared" si="314"/>
        <v>51810</v>
      </c>
    </row>
    <row r="6888" spans="30:30" ht="14" thickBot="1" x14ac:dyDescent="0.2">
      <c r="AD6888" s="98">
        <f t="shared" si="314"/>
        <v>51811</v>
      </c>
    </row>
    <row r="6889" spans="30:30" ht="14" thickBot="1" x14ac:dyDescent="0.2">
      <c r="AD6889" s="98">
        <f t="shared" si="314"/>
        <v>51812</v>
      </c>
    </row>
    <row r="6890" spans="30:30" ht="14" thickBot="1" x14ac:dyDescent="0.2">
      <c r="AD6890" s="98">
        <f t="shared" si="314"/>
        <v>51813</v>
      </c>
    </row>
    <row r="6891" spans="30:30" ht="14" thickBot="1" x14ac:dyDescent="0.2">
      <c r="AD6891" s="98">
        <f t="shared" si="314"/>
        <v>51814</v>
      </c>
    </row>
    <row r="6892" spans="30:30" ht="14" thickBot="1" x14ac:dyDescent="0.2">
      <c r="AD6892" s="98">
        <f t="shared" si="314"/>
        <v>51815</v>
      </c>
    </row>
    <row r="6893" spans="30:30" ht="14" thickBot="1" x14ac:dyDescent="0.2">
      <c r="AD6893" s="98">
        <f t="shared" si="314"/>
        <v>51816</v>
      </c>
    </row>
    <row r="6894" spans="30:30" ht="14" thickBot="1" x14ac:dyDescent="0.2">
      <c r="AD6894" s="98">
        <f t="shared" si="314"/>
        <v>51817</v>
      </c>
    </row>
    <row r="6895" spans="30:30" ht="14" thickBot="1" x14ac:dyDescent="0.2">
      <c r="AD6895" s="98">
        <f t="shared" si="314"/>
        <v>51818</v>
      </c>
    </row>
    <row r="6896" spans="30:30" ht="14" thickBot="1" x14ac:dyDescent="0.2">
      <c r="AD6896" s="98">
        <f t="shared" si="314"/>
        <v>51819</v>
      </c>
    </row>
    <row r="6897" spans="30:30" ht="14" thickBot="1" x14ac:dyDescent="0.2">
      <c r="AD6897" s="98">
        <f t="shared" si="314"/>
        <v>51820</v>
      </c>
    </row>
    <row r="6898" spans="30:30" ht="14" thickBot="1" x14ac:dyDescent="0.2">
      <c r="AD6898" s="98">
        <f t="shared" si="314"/>
        <v>51821</v>
      </c>
    </row>
    <row r="6899" spans="30:30" ht="14" thickBot="1" x14ac:dyDescent="0.2">
      <c r="AD6899" s="98">
        <f t="shared" si="314"/>
        <v>51822</v>
      </c>
    </row>
    <row r="6900" spans="30:30" ht="14" thickBot="1" x14ac:dyDescent="0.2">
      <c r="AD6900" s="98">
        <f t="shared" si="314"/>
        <v>51823</v>
      </c>
    </row>
    <row r="6901" spans="30:30" ht="14" thickBot="1" x14ac:dyDescent="0.2">
      <c r="AD6901" s="98">
        <f t="shared" si="314"/>
        <v>51824</v>
      </c>
    </row>
    <row r="6902" spans="30:30" ht="14" thickBot="1" x14ac:dyDescent="0.2">
      <c r="AD6902" s="98">
        <f t="shared" si="314"/>
        <v>51825</v>
      </c>
    </row>
    <row r="6903" spans="30:30" ht="14" thickBot="1" x14ac:dyDescent="0.2">
      <c r="AD6903" s="98">
        <f t="shared" si="314"/>
        <v>51826</v>
      </c>
    </row>
    <row r="6904" spans="30:30" ht="14" thickBot="1" x14ac:dyDescent="0.2">
      <c r="AD6904" s="98">
        <f t="shared" si="314"/>
        <v>51827</v>
      </c>
    </row>
    <row r="6905" spans="30:30" ht="14" thickBot="1" x14ac:dyDescent="0.2">
      <c r="AD6905" s="98">
        <f t="shared" si="314"/>
        <v>51828</v>
      </c>
    </row>
    <row r="6906" spans="30:30" ht="14" thickBot="1" x14ac:dyDescent="0.2">
      <c r="AD6906" s="98">
        <f t="shared" si="314"/>
        <v>51829</v>
      </c>
    </row>
    <row r="6907" spans="30:30" ht="14" thickBot="1" x14ac:dyDescent="0.2">
      <c r="AD6907" s="98">
        <f t="shared" si="314"/>
        <v>51830</v>
      </c>
    </row>
    <row r="6908" spans="30:30" ht="14" thickBot="1" x14ac:dyDescent="0.2">
      <c r="AD6908" s="98">
        <f t="shared" si="314"/>
        <v>51831</v>
      </c>
    </row>
    <row r="6909" spans="30:30" ht="14" thickBot="1" x14ac:dyDescent="0.2">
      <c r="AD6909" s="98">
        <f t="shared" si="314"/>
        <v>51832</v>
      </c>
    </row>
    <row r="6910" spans="30:30" ht="14" thickBot="1" x14ac:dyDescent="0.2">
      <c r="AD6910" s="98">
        <f t="shared" si="314"/>
        <v>51833</v>
      </c>
    </row>
    <row r="6911" spans="30:30" ht="14" thickBot="1" x14ac:dyDescent="0.2">
      <c r="AD6911" s="98">
        <f t="shared" si="314"/>
        <v>51834</v>
      </c>
    </row>
    <row r="6912" spans="30:30" ht="14" thickBot="1" x14ac:dyDescent="0.2">
      <c r="AD6912" s="98">
        <f t="shared" si="314"/>
        <v>51835</v>
      </c>
    </row>
    <row r="6913" spans="30:30" ht="14" thickBot="1" x14ac:dyDescent="0.2">
      <c r="AD6913" s="98">
        <f t="shared" si="314"/>
        <v>51836</v>
      </c>
    </row>
    <row r="6914" spans="30:30" ht="14" thickBot="1" x14ac:dyDescent="0.2">
      <c r="AD6914" s="98">
        <f t="shared" si="314"/>
        <v>51837</v>
      </c>
    </row>
    <row r="6915" spans="30:30" ht="14" thickBot="1" x14ac:dyDescent="0.2">
      <c r="AD6915" s="98">
        <f t="shared" si="314"/>
        <v>51838</v>
      </c>
    </row>
    <row r="6916" spans="30:30" ht="14" thickBot="1" x14ac:dyDescent="0.2">
      <c r="AD6916" s="98">
        <f t="shared" si="314"/>
        <v>51839</v>
      </c>
    </row>
    <row r="6917" spans="30:30" ht="14" thickBot="1" x14ac:dyDescent="0.2">
      <c r="AD6917" s="98">
        <f t="shared" si="314"/>
        <v>51840</v>
      </c>
    </row>
    <row r="6918" spans="30:30" ht="14" thickBot="1" x14ac:dyDescent="0.2">
      <c r="AD6918" s="98">
        <f t="shared" si="314"/>
        <v>51841</v>
      </c>
    </row>
    <row r="6919" spans="30:30" ht="14" thickBot="1" x14ac:dyDescent="0.2">
      <c r="AD6919" s="98">
        <f t="shared" si="314"/>
        <v>51842</v>
      </c>
    </row>
    <row r="6920" spans="30:30" ht="14" thickBot="1" x14ac:dyDescent="0.2">
      <c r="AD6920" s="98">
        <f t="shared" si="314"/>
        <v>51843</v>
      </c>
    </row>
    <row r="6921" spans="30:30" ht="14" thickBot="1" x14ac:dyDescent="0.2">
      <c r="AD6921" s="98">
        <f t="shared" ref="AD6921:AD6984" si="315">AD6920+1</f>
        <v>51844</v>
      </c>
    </row>
    <row r="6922" spans="30:30" ht="14" thickBot="1" x14ac:dyDescent="0.2">
      <c r="AD6922" s="98">
        <f t="shared" si="315"/>
        <v>51845</v>
      </c>
    </row>
    <row r="6923" spans="30:30" ht="14" thickBot="1" x14ac:dyDescent="0.2">
      <c r="AD6923" s="98">
        <f t="shared" si="315"/>
        <v>51846</v>
      </c>
    </row>
    <row r="6924" spans="30:30" ht="14" thickBot="1" x14ac:dyDescent="0.2">
      <c r="AD6924" s="98">
        <f t="shared" si="315"/>
        <v>51847</v>
      </c>
    </row>
    <row r="6925" spans="30:30" ht="14" thickBot="1" x14ac:dyDescent="0.2">
      <c r="AD6925" s="98">
        <f t="shared" si="315"/>
        <v>51848</v>
      </c>
    </row>
    <row r="6926" spans="30:30" ht="14" thickBot="1" x14ac:dyDescent="0.2">
      <c r="AD6926" s="98">
        <f t="shared" si="315"/>
        <v>51849</v>
      </c>
    </row>
    <row r="6927" spans="30:30" ht="14" thickBot="1" x14ac:dyDescent="0.2">
      <c r="AD6927" s="98">
        <f t="shared" si="315"/>
        <v>51850</v>
      </c>
    </row>
    <row r="6928" spans="30:30" ht="14" thickBot="1" x14ac:dyDescent="0.2">
      <c r="AD6928" s="98">
        <f t="shared" si="315"/>
        <v>51851</v>
      </c>
    </row>
    <row r="6929" spans="30:30" ht="14" thickBot="1" x14ac:dyDescent="0.2">
      <c r="AD6929" s="98">
        <f t="shared" si="315"/>
        <v>51852</v>
      </c>
    </row>
    <row r="6930" spans="30:30" ht="14" thickBot="1" x14ac:dyDescent="0.2">
      <c r="AD6930" s="98">
        <f t="shared" si="315"/>
        <v>51853</v>
      </c>
    </row>
    <row r="6931" spans="30:30" ht="14" thickBot="1" x14ac:dyDescent="0.2">
      <c r="AD6931" s="98">
        <f t="shared" si="315"/>
        <v>51854</v>
      </c>
    </row>
    <row r="6932" spans="30:30" ht="14" thickBot="1" x14ac:dyDescent="0.2">
      <c r="AD6932" s="98">
        <f t="shared" si="315"/>
        <v>51855</v>
      </c>
    </row>
    <row r="6933" spans="30:30" ht="14" thickBot="1" x14ac:dyDescent="0.2">
      <c r="AD6933" s="98">
        <f t="shared" si="315"/>
        <v>51856</v>
      </c>
    </row>
    <row r="6934" spans="30:30" ht="14" thickBot="1" x14ac:dyDescent="0.2">
      <c r="AD6934" s="98">
        <f t="shared" si="315"/>
        <v>51857</v>
      </c>
    </row>
    <row r="6935" spans="30:30" ht="14" thickBot="1" x14ac:dyDescent="0.2">
      <c r="AD6935" s="98">
        <f t="shared" si="315"/>
        <v>51858</v>
      </c>
    </row>
    <row r="6936" spans="30:30" ht="14" thickBot="1" x14ac:dyDescent="0.2">
      <c r="AD6936" s="98">
        <f t="shared" si="315"/>
        <v>51859</v>
      </c>
    </row>
    <row r="6937" spans="30:30" ht="14" thickBot="1" x14ac:dyDescent="0.2">
      <c r="AD6937" s="98">
        <f t="shared" si="315"/>
        <v>51860</v>
      </c>
    </row>
    <row r="6938" spans="30:30" ht="14" thickBot="1" x14ac:dyDescent="0.2">
      <c r="AD6938" s="98">
        <f t="shared" si="315"/>
        <v>51861</v>
      </c>
    </row>
    <row r="6939" spans="30:30" ht="14" thickBot="1" x14ac:dyDescent="0.2">
      <c r="AD6939" s="98">
        <f t="shared" si="315"/>
        <v>51862</v>
      </c>
    </row>
    <row r="6940" spans="30:30" ht="14" thickBot="1" x14ac:dyDescent="0.2">
      <c r="AD6940" s="98">
        <f t="shared" si="315"/>
        <v>51863</v>
      </c>
    </row>
    <row r="6941" spans="30:30" ht="14" thickBot="1" x14ac:dyDescent="0.2">
      <c r="AD6941" s="98">
        <f t="shared" si="315"/>
        <v>51864</v>
      </c>
    </row>
    <row r="6942" spans="30:30" ht="14" thickBot="1" x14ac:dyDescent="0.2">
      <c r="AD6942" s="98">
        <f t="shared" si="315"/>
        <v>51865</v>
      </c>
    </row>
    <row r="6943" spans="30:30" ht="14" thickBot="1" x14ac:dyDescent="0.2">
      <c r="AD6943" s="98">
        <f t="shared" si="315"/>
        <v>51866</v>
      </c>
    </row>
    <row r="6944" spans="30:30" ht="14" thickBot="1" x14ac:dyDescent="0.2">
      <c r="AD6944" s="98">
        <f t="shared" si="315"/>
        <v>51867</v>
      </c>
    </row>
    <row r="6945" spans="30:30" ht="14" thickBot="1" x14ac:dyDescent="0.2">
      <c r="AD6945" s="98">
        <f t="shared" si="315"/>
        <v>51868</v>
      </c>
    </row>
    <row r="6946" spans="30:30" ht="14" thickBot="1" x14ac:dyDescent="0.2">
      <c r="AD6946" s="98">
        <f t="shared" si="315"/>
        <v>51869</v>
      </c>
    </row>
    <row r="6947" spans="30:30" ht="14" thickBot="1" x14ac:dyDescent="0.2">
      <c r="AD6947" s="98">
        <f t="shared" si="315"/>
        <v>51870</v>
      </c>
    </row>
    <row r="6948" spans="30:30" ht="14" thickBot="1" x14ac:dyDescent="0.2">
      <c r="AD6948" s="98">
        <f t="shared" si="315"/>
        <v>51871</v>
      </c>
    </row>
    <row r="6949" spans="30:30" ht="14" thickBot="1" x14ac:dyDescent="0.2">
      <c r="AD6949" s="98">
        <f t="shared" si="315"/>
        <v>51872</v>
      </c>
    </row>
    <row r="6950" spans="30:30" ht="14" thickBot="1" x14ac:dyDescent="0.2">
      <c r="AD6950" s="98">
        <f t="shared" si="315"/>
        <v>51873</v>
      </c>
    </row>
    <row r="6951" spans="30:30" ht="14" thickBot="1" x14ac:dyDescent="0.2">
      <c r="AD6951" s="98">
        <f t="shared" si="315"/>
        <v>51874</v>
      </c>
    </row>
    <row r="6952" spans="30:30" ht="14" thickBot="1" x14ac:dyDescent="0.2">
      <c r="AD6952" s="98">
        <f t="shared" si="315"/>
        <v>51875</v>
      </c>
    </row>
    <row r="6953" spans="30:30" ht="14" thickBot="1" x14ac:dyDescent="0.2">
      <c r="AD6953" s="98">
        <f t="shared" si="315"/>
        <v>51876</v>
      </c>
    </row>
    <row r="6954" spans="30:30" ht="14" thickBot="1" x14ac:dyDescent="0.2">
      <c r="AD6954" s="98">
        <f t="shared" si="315"/>
        <v>51877</v>
      </c>
    </row>
    <row r="6955" spans="30:30" ht="14" thickBot="1" x14ac:dyDescent="0.2">
      <c r="AD6955" s="98">
        <f t="shared" si="315"/>
        <v>51878</v>
      </c>
    </row>
    <row r="6956" spans="30:30" ht="14" thickBot="1" x14ac:dyDescent="0.2">
      <c r="AD6956" s="98">
        <f t="shared" si="315"/>
        <v>51879</v>
      </c>
    </row>
    <row r="6957" spans="30:30" ht="14" thickBot="1" x14ac:dyDescent="0.2">
      <c r="AD6957" s="98">
        <f t="shared" si="315"/>
        <v>51880</v>
      </c>
    </row>
    <row r="6958" spans="30:30" ht="14" thickBot="1" x14ac:dyDescent="0.2">
      <c r="AD6958" s="98">
        <f t="shared" si="315"/>
        <v>51881</v>
      </c>
    </row>
    <row r="6959" spans="30:30" ht="14" thickBot="1" x14ac:dyDescent="0.2">
      <c r="AD6959" s="98">
        <f t="shared" si="315"/>
        <v>51882</v>
      </c>
    </row>
    <row r="6960" spans="30:30" ht="14" thickBot="1" x14ac:dyDescent="0.2">
      <c r="AD6960" s="98">
        <f t="shared" si="315"/>
        <v>51883</v>
      </c>
    </row>
    <row r="6961" spans="30:30" ht="14" thickBot="1" x14ac:dyDescent="0.2">
      <c r="AD6961" s="98">
        <f t="shared" si="315"/>
        <v>51884</v>
      </c>
    </row>
    <row r="6962" spans="30:30" ht="14" thickBot="1" x14ac:dyDescent="0.2">
      <c r="AD6962" s="98">
        <f t="shared" si="315"/>
        <v>51885</v>
      </c>
    </row>
    <row r="6963" spans="30:30" ht="14" thickBot="1" x14ac:dyDescent="0.2">
      <c r="AD6963" s="98">
        <f t="shared" si="315"/>
        <v>51886</v>
      </c>
    </row>
    <row r="6964" spans="30:30" ht="14" thickBot="1" x14ac:dyDescent="0.2">
      <c r="AD6964" s="98">
        <f t="shared" si="315"/>
        <v>51887</v>
      </c>
    </row>
    <row r="6965" spans="30:30" ht="14" thickBot="1" x14ac:dyDescent="0.2">
      <c r="AD6965" s="98">
        <f t="shared" si="315"/>
        <v>51888</v>
      </c>
    </row>
    <row r="6966" spans="30:30" ht="14" thickBot="1" x14ac:dyDescent="0.2">
      <c r="AD6966" s="98">
        <f t="shared" si="315"/>
        <v>51889</v>
      </c>
    </row>
    <row r="6967" spans="30:30" ht="14" thickBot="1" x14ac:dyDescent="0.2">
      <c r="AD6967" s="98">
        <f t="shared" si="315"/>
        <v>51890</v>
      </c>
    </row>
    <row r="6968" spans="30:30" ht="14" thickBot="1" x14ac:dyDescent="0.2">
      <c r="AD6968" s="98">
        <f t="shared" si="315"/>
        <v>51891</v>
      </c>
    </row>
    <row r="6969" spans="30:30" ht="14" thickBot="1" x14ac:dyDescent="0.2">
      <c r="AD6969" s="98">
        <f t="shared" si="315"/>
        <v>51892</v>
      </c>
    </row>
    <row r="6970" spans="30:30" ht="14" thickBot="1" x14ac:dyDescent="0.2">
      <c r="AD6970" s="98">
        <f t="shared" si="315"/>
        <v>51893</v>
      </c>
    </row>
    <row r="6971" spans="30:30" ht="14" thickBot="1" x14ac:dyDescent="0.2">
      <c r="AD6971" s="98">
        <f t="shared" si="315"/>
        <v>51894</v>
      </c>
    </row>
    <row r="6972" spans="30:30" ht="14" thickBot="1" x14ac:dyDescent="0.2">
      <c r="AD6972" s="98">
        <f t="shared" si="315"/>
        <v>51895</v>
      </c>
    </row>
    <row r="6973" spans="30:30" ht="14" thickBot="1" x14ac:dyDescent="0.2">
      <c r="AD6973" s="98">
        <f t="shared" si="315"/>
        <v>51896</v>
      </c>
    </row>
    <row r="6974" spans="30:30" ht="14" thickBot="1" x14ac:dyDescent="0.2">
      <c r="AD6974" s="98">
        <f t="shared" si="315"/>
        <v>51897</v>
      </c>
    </row>
    <row r="6975" spans="30:30" ht="14" thickBot="1" x14ac:dyDescent="0.2">
      <c r="AD6975" s="98">
        <f t="shared" si="315"/>
        <v>51898</v>
      </c>
    </row>
    <row r="6976" spans="30:30" ht="14" thickBot="1" x14ac:dyDescent="0.2">
      <c r="AD6976" s="98">
        <f t="shared" si="315"/>
        <v>51899</v>
      </c>
    </row>
    <row r="6977" spans="30:30" ht="14" thickBot="1" x14ac:dyDescent="0.2">
      <c r="AD6977" s="98">
        <f t="shared" si="315"/>
        <v>51900</v>
      </c>
    </row>
    <row r="6978" spans="30:30" ht="14" thickBot="1" x14ac:dyDescent="0.2">
      <c r="AD6978" s="98">
        <f t="shared" si="315"/>
        <v>51901</v>
      </c>
    </row>
    <row r="6979" spans="30:30" ht="14" thickBot="1" x14ac:dyDescent="0.2">
      <c r="AD6979" s="98">
        <f t="shared" si="315"/>
        <v>51902</v>
      </c>
    </row>
    <row r="6980" spans="30:30" ht="14" thickBot="1" x14ac:dyDescent="0.2">
      <c r="AD6980" s="98">
        <f t="shared" si="315"/>
        <v>51903</v>
      </c>
    </row>
    <row r="6981" spans="30:30" ht="14" thickBot="1" x14ac:dyDescent="0.2">
      <c r="AD6981" s="98">
        <f t="shared" si="315"/>
        <v>51904</v>
      </c>
    </row>
    <row r="6982" spans="30:30" ht="14" thickBot="1" x14ac:dyDescent="0.2">
      <c r="AD6982" s="98">
        <f t="shared" si="315"/>
        <v>51905</v>
      </c>
    </row>
    <row r="6983" spans="30:30" ht="14" thickBot="1" x14ac:dyDescent="0.2">
      <c r="AD6983" s="98">
        <f t="shared" si="315"/>
        <v>51906</v>
      </c>
    </row>
    <row r="6984" spans="30:30" ht="14" thickBot="1" x14ac:dyDescent="0.2">
      <c r="AD6984" s="98">
        <f t="shared" si="315"/>
        <v>51907</v>
      </c>
    </row>
    <row r="6985" spans="30:30" ht="14" thickBot="1" x14ac:dyDescent="0.2">
      <c r="AD6985" s="98">
        <f t="shared" ref="AD6985:AD7048" si="316">AD6984+1</f>
        <v>51908</v>
      </c>
    </row>
    <row r="6986" spans="30:30" ht="14" thickBot="1" x14ac:dyDescent="0.2">
      <c r="AD6986" s="98">
        <f t="shared" si="316"/>
        <v>51909</v>
      </c>
    </row>
    <row r="6987" spans="30:30" ht="14" thickBot="1" x14ac:dyDescent="0.2">
      <c r="AD6987" s="98">
        <f t="shared" si="316"/>
        <v>51910</v>
      </c>
    </row>
    <row r="6988" spans="30:30" ht="14" thickBot="1" x14ac:dyDescent="0.2">
      <c r="AD6988" s="98">
        <f t="shared" si="316"/>
        <v>51911</v>
      </c>
    </row>
    <row r="6989" spans="30:30" ht="14" thickBot="1" x14ac:dyDescent="0.2">
      <c r="AD6989" s="98">
        <f t="shared" si="316"/>
        <v>51912</v>
      </c>
    </row>
    <row r="6990" spans="30:30" ht="14" thickBot="1" x14ac:dyDescent="0.2">
      <c r="AD6990" s="98">
        <f t="shared" si="316"/>
        <v>51913</v>
      </c>
    </row>
    <row r="6991" spans="30:30" ht="14" thickBot="1" x14ac:dyDescent="0.2">
      <c r="AD6991" s="98">
        <f t="shared" si="316"/>
        <v>51914</v>
      </c>
    </row>
    <row r="6992" spans="30:30" ht="14" thickBot="1" x14ac:dyDescent="0.2">
      <c r="AD6992" s="98">
        <f t="shared" si="316"/>
        <v>51915</v>
      </c>
    </row>
    <row r="6993" spans="30:30" ht="14" thickBot="1" x14ac:dyDescent="0.2">
      <c r="AD6993" s="98">
        <f t="shared" si="316"/>
        <v>51916</v>
      </c>
    </row>
    <row r="6994" spans="30:30" ht="14" thickBot="1" x14ac:dyDescent="0.2">
      <c r="AD6994" s="98">
        <f t="shared" si="316"/>
        <v>51917</v>
      </c>
    </row>
    <row r="6995" spans="30:30" ht="14" thickBot="1" x14ac:dyDescent="0.2">
      <c r="AD6995" s="98">
        <f t="shared" si="316"/>
        <v>51918</v>
      </c>
    </row>
    <row r="6996" spans="30:30" ht="14" thickBot="1" x14ac:dyDescent="0.2">
      <c r="AD6996" s="98">
        <f t="shared" si="316"/>
        <v>51919</v>
      </c>
    </row>
    <row r="6997" spans="30:30" ht="14" thickBot="1" x14ac:dyDescent="0.2">
      <c r="AD6997" s="98">
        <f t="shared" si="316"/>
        <v>51920</v>
      </c>
    </row>
    <row r="6998" spans="30:30" ht="14" thickBot="1" x14ac:dyDescent="0.2">
      <c r="AD6998" s="98">
        <f t="shared" si="316"/>
        <v>51921</v>
      </c>
    </row>
    <row r="6999" spans="30:30" ht="14" thickBot="1" x14ac:dyDescent="0.2">
      <c r="AD6999" s="98">
        <f t="shared" si="316"/>
        <v>51922</v>
      </c>
    </row>
    <row r="7000" spans="30:30" ht="14" thickBot="1" x14ac:dyDescent="0.2">
      <c r="AD7000" s="98">
        <f t="shared" si="316"/>
        <v>51923</v>
      </c>
    </row>
    <row r="7001" spans="30:30" ht="14" thickBot="1" x14ac:dyDescent="0.2">
      <c r="AD7001" s="98">
        <f t="shared" si="316"/>
        <v>51924</v>
      </c>
    </row>
    <row r="7002" spans="30:30" ht="14" thickBot="1" x14ac:dyDescent="0.2">
      <c r="AD7002" s="98">
        <f t="shared" si="316"/>
        <v>51925</v>
      </c>
    </row>
    <row r="7003" spans="30:30" ht="14" thickBot="1" x14ac:dyDescent="0.2">
      <c r="AD7003" s="98">
        <f t="shared" si="316"/>
        <v>51926</v>
      </c>
    </row>
    <row r="7004" spans="30:30" ht="14" thickBot="1" x14ac:dyDescent="0.2">
      <c r="AD7004" s="98">
        <f t="shared" si="316"/>
        <v>51927</v>
      </c>
    </row>
    <row r="7005" spans="30:30" ht="14" thickBot="1" x14ac:dyDescent="0.2">
      <c r="AD7005" s="98">
        <f t="shared" si="316"/>
        <v>51928</v>
      </c>
    </row>
    <row r="7006" spans="30:30" ht="14" thickBot="1" x14ac:dyDescent="0.2">
      <c r="AD7006" s="98">
        <f t="shared" si="316"/>
        <v>51929</v>
      </c>
    </row>
    <row r="7007" spans="30:30" ht="14" thickBot="1" x14ac:dyDescent="0.2">
      <c r="AD7007" s="98">
        <f t="shared" si="316"/>
        <v>51930</v>
      </c>
    </row>
    <row r="7008" spans="30:30" ht="14" thickBot="1" x14ac:dyDescent="0.2">
      <c r="AD7008" s="98">
        <f t="shared" si="316"/>
        <v>51931</v>
      </c>
    </row>
    <row r="7009" spans="30:30" ht="14" thickBot="1" x14ac:dyDescent="0.2">
      <c r="AD7009" s="98">
        <f t="shared" si="316"/>
        <v>51932</v>
      </c>
    </row>
    <row r="7010" spans="30:30" ht="14" thickBot="1" x14ac:dyDescent="0.2">
      <c r="AD7010" s="98">
        <f t="shared" si="316"/>
        <v>51933</v>
      </c>
    </row>
    <row r="7011" spans="30:30" ht="14" thickBot="1" x14ac:dyDescent="0.2">
      <c r="AD7011" s="98">
        <f t="shared" si="316"/>
        <v>51934</v>
      </c>
    </row>
    <row r="7012" spans="30:30" ht="14" thickBot="1" x14ac:dyDescent="0.2">
      <c r="AD7012" s="98">
        <f t="shared" si="316"/>
        <v>51935</v>
      </c>
    </row>
    <row r="7013" spans="30:30" ht="14" thickBot="1" x14ac:dyDescent="0.2">
      <c r="AD7013" s="98">
        <f t="shared" si="316"/>
        <v>51936</v>
      </c>
    </row>
    <row r="7014" spans="30:30" ht="14" thickBot="1" x14ac:dyDescent="0.2">
      <c r="AD7014" s="98">
        <f t="shared" si="316"/>
        <v>51937</v>
      </c>
    </row>
    <row r="7015" spans="30:30" ht="14" thickBot="1" x14ac:dyDescent="0.2">
      <c r="AD7015" s="98">
        <f t="shared" si="316"/>
        <v>51938</v>
      </c>
    </row>
    <row r="7016" spans="30:30" ht="14" thickBot="1" x14ac:dyDescent="0.2">
      <c r="AD7016" s="98">
        <f t="shared" si="316"/>
        <v>51939</v>
      </c>
    </row>
    <row r="7017" spans="30:30" ht="14" thickBot="1" x14ac:dyDescent="0.2">
      <c r="AD7017" s="98">
        <f t="shared" si="316"/>
        <v>51940</v>
      </c>
    </row>
    <row r="7018" spans="30:30" ht="14" thickBot="1" x14ac:dyDescent="0.2">
      <c r="AD7018" s="98">
        <f t="shared" si="316"/>
        <v>51941</v>
      </c>
    </row>
    <row r="7019" spans="30:30" ht="14" thickBot="1" x14ac:dyDescent="0.2">
      <c r="AD7019" s="98">
        <f t="shared" si="316"/>
        <v>51942</v>
      </c>
    </row>
    <row r="7020" spans="30:30" ht="14" thickBot="1" x14ac:dyDescent="0.2">
      <c r="AD7020" s="98">
        <f t="shared" si="316"/>
        <v>51943</v>
      </c>
    </row>
    <row r="7021" spans="30:30" ht="14" thickBot="1" x14ac:dyDescent="0.2">
      <c r="AD7021" s="98">
        <f t="shared" si="316"/>
        <v>51944</v>
      </c>
    </row>
    <row r="7022" spans="30:30" ht="14" thickBot="1" x14ac:dyDescent="0.2">
      <c r="AD7022" s="98">
        <f t="shared" si="316"/>
        <v>51945</v>
      </c>
    </row>
    <row r="7023" spans="30:30" ht="14" thickBot="1" x14ac:dyDescent="0.2">
      <c r="AD7023" s="98">
        <f t="shared" si="316"/>
        <v>51946</v>
      </c>
    </row>
    <row r="7024" spans="30:30" ht="14" thickBot="1" x14ac:dyDescent="0.2">
      <c r="AD7024" s="98">
        <f t="shared" si="316"/>
        <v>51947</v>
      </c>
    </row>
    <row r="7025" spans="30:30" ht="14" thickBot="1" x14ac:dyDescent="0.2">
      <c r="AD7025" s="98">
        <f t="shared" si="316"/>
        <v>51948</v>
      </c>
    </row>
    <row r="7026" spans="30:30" ht="14" thickBot="1" x14ac:dyDescent="0.2">
      <c r="AD7026" s="98">
        <f t="shared" si="316"/>
        <v>51949</v>
      </c>
    </row>
    <row r="7027" spans="30:30" ht="14" thickBot="1" x14ac:dyDescent="0.2">
      <c r="AD7027" s="98">
        <f t="shared" si="316"/>
        <v>51950</v>
      </c>
    </row>
    <row r="7028" spans="30:30" ht="14" thickBot="1" x14ac:dyDescent="0.2">
      <c r="AD7028" s="98">
        <f t="shared" si="316"/>
        <v>51951</v>
      </c>
    </row>
    <row r="7029" spans="30:30" ht="14" thickBot="1" x14ac:dyDescent="0.2">
      <c r="AD7029" s="98">
        <f t="shared" si="316"/>
        <v>51952</v>
      </c>
    </row>
    <row r="7030" spans="30:30" ht="14" thickBot="1" x14ac:dyDescent="0.2">
      <c r="AD7030" s="98">
        <f t="shared" si="316"/>
        <v>51953</v>
      </c>
    </row>
    <row r="7031" spans="30:30" ht="14" thickBot="1" x14ac:dyDescent="0.2">
      <c r="AD7031" s="98">
        <f t="shared" si="316"/>
        <v>51954</v>
      </c>
    </row>
    <row r="7032" spans="30:30" ht="14" thickBot="1" x14ac:dyDescent="0.2">
      <c r="AD7032" s="98">
        <f t="shared" si="316"/>
        <v>51955</v>
      </c>
    </row>
    <row r="7033" spans="30:30" ht="14" thickBot="1" x14ac:dyDescent="0.2">
      <c r="AD7033" s="98">
        <f t="shared" si="316"/>
        <v>51956</v>
      </c>
    </row>
    <row r="7034" spans="30:30" ht="14" thickBot="1" x14ac:dyDescent="0.2">
      <c r="AD7034" s="98">
        <f t="shared" si="316"/>
        <v>51957</v>
      </c>
    </row>
    <row r="7035" spans="30:30" ht="14" thickBot="1" x14ac:dyDescent="0.2">
      <c r="AD7035" s="98">
        <f t="shared" si="316"/>
        <v>51958</v>
      </c>
    </row>
    <row r="7036" spans="30:30" ht="14" thickBot="1" x14ac:dyDescent="0.2">
      <c r="AD7036" s="98">
        <f t="shared" si="316"/>
        <v>51959</v>
      </c>
    </row>
    <row r="7037" spans="30:30" ht="14" thickBot="1" x14ac:dyDescent="0.2">
      <c r="AD7037" s="98">
        <f t="shared" si="316"/>
        <v>51960</v>
      </c>
    </row>
    <row r="7038" spans="30:30" ht="14" thickBot="1" x14ac:dyDescent="0.2">
      <c r="AD7038" s="98">
        <f t="shared" si="316"/>
        <v>51961</v>
      </c>
    </row>
    <row r="7039" spans="30:30" ht="14" thickBot="1" x14ac:dyDescent="0.2">
      <c r="AD7039" s="98">
        <f t="shared" si="316"/>
        <v>51962</v>
      </c>
    </row>
    <row r="7040" spans="30:30" ht="14" thickBot="1" x14ac:dyDescent="0.2">
      <c r="AD7040" s="98">
        <f t="shared" si="316"/>
        <v>51963</v>
      </c>
    </row>
    <row r="7041" spans="30:30" ht="14" thickBot="1" x14ac:dyDescent="0.2">
      <c r="AD7041" s="98">
        <f t="shared" si="316"/>
        <v>51964</v>
      </c>
    </row>
    <row r="7042" spans="30:30" ht="14" thickBot="1" x14ac:dyDescent="0.2">
      <c r="AD7042" s="98">
        <f t="shared" si="316"/>
        <v>51965</v>
      </c>
    </row>
    <row r="7043" spans="30:30" ht="14" thickBot="1" x14ac:dyDescent="0.2">
      <c r="AD7043" s="98">
        <f t="shared" si="316"/>
        <v>51966</v>
      </c>
    </row>
    <row r="7044" spans="30:30" ht="14" thickBot="1" x14ac:dyDescent="0.2">
      <c r="AD7044" s="98">
        <f t="shared" si="316"/>
        <v>51967</v>
      </c>
    </row>
    <row r="7045" spans="30:30" ht="14" thickBot="1" x14ac:dyDescent="0.2">
      <c r="AD7045" s="98">
        <f t="shared" si="316"/>
        <v>51968</v>
      </c>
    </row>
    <row r="7046" spans="30:30" ht="14" thickBot="1" x14ac:dyDescent="0.2">
      <c r="AD7046" s="98">
        <f t="shared" si="316"/>
        <v>51969</v>
      </c>
    </row>
    <row r="7047" spans="30:30" ht="14" thickBot="1" x14ac:dyDescent="0.2">
      <c r="AD7047" s="98">
        <f t="shared" si="316"/>
        <v>51970</v>
      </c>
    </row>
    <row r="7048" spans="30:30" ht="14" thickBot="1" x14ac:dyDescent="0.2">
      <c r="AD7048" s="98">
        <f t="shared" si="316"/>
        <v>51971</v>
      </c>
    </row>
    <row r="7049" spans="30:30" ht="14" thickBot="1" x14ac:dyDescent="0.2">
      <c r="AD7049" s="98">
        <f t="shared" ref="AD7049:AD7112" si="317">AD7048+1</f>
        <v>51972</v>
      </c>
    </row>
    <row r="7050" spans="30:30" ht="14" thickBot="1" x14ac:dyDescent="0.2">
      <c r="AD7050" s="98">
        <f t="shared" si="317"/>
        <v>51973</v>
      </c>
    </row>
    <row r="7051" spans="30:30" ht="14" thickBot="1" x14ac:dyDescent="0.2">
      <c r="AD7051" s="98">
        <f t="shared" si="317"/>
        <v>51974</v>
      </c>
    </row>
    <row r="7052" spans="30:30" ht="14" thickBot="1" x14ac:dyDescent="0.2">
      <c r="AD7052" s="98">
        <f t="shared" si="317"/>
        <v>51975</v>
      </c>
    </row>
    <row r="7053" spans="30:30" ht="14" thickBot="1" x14ac:dyDescent="0.2">
      <c r="AD7053" s="98">
        <f t="shared" si="317"/>
        <v>51976</v>
      </c>
    </row>
    <row r="7054" spans="30:30" ht="14" thickBot="1" x14ac:dyDescent="0.2">
      <c r="AD7054" s="98">
        <f t="shared" si="317"/>
        <v>51977</v>
      </c>
    </row>
    <row r="7055" spans="30:30" ht="14" thickBot="1" x14ac:dyDescent="0.2">
      <c r="AD7055" s="98">
        <f t="shared" si="317"/>
        <v>51978</v>
      </c>
    </row>
    <row r="7056" spans="30:30" ht="14" thickBot="1" x14ac:dyDescent="0.2">
      <c r="AD7056" s="98">
        <f t="shared" si="317"/>
        <v>51979</v>
      </c>
    </row>
    <row r="7057" spans="30:30" ht="14" thickBot="1" x14ac:dyDescent="0.2">
      <c r="AD7057" s="98">
        <f t="shared" si="317"/>
        <v>51980</v>
      </c>
    </row>
    <row r="7058" spans="30:30" ht="14" thickBot="1" x14ac:dyDescent="0.2">
      <c r="AD7058" s="98">
        <f t="shared" si="317"/>
        <v>51981</v>
      </c>
    </row>
    <row r="7059" spans="30:30" ht="14" thickBot="1" x14ac:dyDescent="0.2">
      <c r="AD7059" s="98">
        <f t="shared" si="317"/>
        <v>51982</v>
      </c>
    </row>
    <row r="7060" spans="30:30" ht="14" thickBot="1" x14ac:dyDescent="0.2">
      <c r="AD7060" s="98">
        <f t="shared" si="317"/>
        <v>51983</v>
      </c>
    </row>
    <row r="7061" spans="30:30" ht="14" thickBot="1" x14ac:dyDescent="0.2">
      <c r="AD7061" s="98">
        <f t="shared" si="317"/>
        <v>51984</v>
      </c>
    </row>
    <row r="7062" spans="30:30" ht="14" thickBot="1" x14ac:dyDescent="0.2">
      <c r="AD7062" s="98">
        <f t="shared" si="317"/>
        <v>51985</v>
      </c>
    </row>
    <row r="7063" spans="30:30" ht="14" thickBot="1" x14ac:dyDescent="0.2">
      <c r="AD7063" s="98">
        <f t="shared" si="317"/>
        <v>51986</v>
      </c>
    </row>
    <row r="7064" spans="30:30" ht="14" thickBot="1" x14ac:dyDescent="0.2">
      <c r="AD7064" s="98">
        <f t="shared" si="317"/>
        <v>51987</v>
      </c>
    </row>
    <row r="7065" spans="30:30" ht="14" thickBot="1" x14ac:dyDescent="0.2">
      <c r="AD7065" s="98">
        <f t="shared" si="317"/>
        <v>51988</v>
      </c>
    </row>
    <row r="7066" spans="30:30" ht="14" thickBot="1" x14ac:dyDescent="0.2">
      <c r="AD7066" s="98">
        <f t="shared" si="317"/>
        <v>51989</v>
      </c>
    </row>
    <row r="7067" spans="30:30" ht="14" thickBot="1" x14ac:dyDescent="0.2">
      <c r="AD7067" s="98">
        <f t="shared" si="317"/>
        <v>51990</v>
      </c>
    </row>
    <row r="7068" spans="30:30" ht="14" thickBot="1" x14ac:dyDescent="0.2">
      <c r="AD7068" s="98">
        <f t="shared" si="317"/>
        <v>51991</v>
      </c>
    </row>
    <row r="7069" spans="30:30" ht="14" thickBot="1" x14ac:dyDescent="0.2">
      <c r="AD7069" s="98">
        <f t="shared" si="317"/>
        <v>51992</v>
      </c>
    </row>
    <row r="7070" spans="30:30" ht="14" thickBot="1" x14ac:dyDescent="0.2">
      <c r="AD7070" s="98">
        <f t="shared" si="317"/>
        <v>51993</v>
      </c>
    </row>
    <row r="7071" spans="30:30" ht="14" thickBot="1" x14ac:dyDescent="0.2">
      <c r="AD7071" s="98">
        <f t="shared" si="317"/>
        <v>51994</v>
      </c>
    </row>
    <row r="7072" spans="30:30" ht="14" thickBot="1" x14ac:dyDescent="0.2">
      <c r="AD7072" s="98">
        <f t="shared" si="317"/>
        <v>51995</v>
      </c>
    </row>
    <row r="7073" spans="30:30" ht="14" thickBot="1" x14ac:dyDescent="0.2">
      <c r="AD7073" s="98">
        <f t="shared" si="317"/>
        <v>51996</v>
      </c>
    </row>
    <row r="7074" spans="30:30" ht="14" thickBot="1" x14ac:dyDescent="0.2">
      <c r="AD7074" s="98">
        <f t="shared" si="317"/>
        <v>51997</v>
      </c>
    </row>
    <row r="7075" spans="30:30" ht="14" thickBot="1" x14ac:dyDescent="0.2">
      <c r="AD7075" s="98">
        <f t="shared" si="317"/>
        <v>51998</v>
      </c>
    </row>
    <row r="7076" spans="30:30" ht="14" thickBot="1" x14ac:dyDescent="0.2">
      <c r="AD7076" s="98">
        <f t="shared" si="317"/>
        <v>51999</v>
      </c>
    </row>
    <row r="7077" spans="30:30" ht="14" thickBot="1" x14ac:dyDescent="0.2">
      <c r="AD7077" s="98">
        <f t="shared" si="317"/>
        <v>52000</v>
      </c>
    </row>
    <row r="7078" spans="30:30" ht="14" thickBot="1" x14ac:dyDescent="0.2">
      <c r="AD7078" s="98">
        <f t="shared" si="317"/>
        <v>52001</v>
      </c>
    </row>
    <row r="7079" spans="30:30" ht="14" thickBot="1" x14ac:dyDescent="0.2">
      <c r="AD7079" s="98">
        <f t="shared" si="317"/>
        <v>52002</v>
      </c>
    </row>
    <row r="7080" spans="30:30" ht="14" thickBot="1" x14ac:dyDescent="0.2">
      <c r="AD7080" s="98">
        <f t="shared" si="317"/>
        <v>52003</v>
      </c>
    </row>
    <row r="7081" spans="30:30" ht="14" thickBot="1" x14ac:dyDescent="0.2">
      <c r="AD7081" s="98">
        <f t="shared" si="317"/>
        <v>52004</v>
      </c>
    </row>
    <row r="7082" spans="30:30" ht="14" thickBot="1" x14ac:dyDescent="0.2">
      <c r="AD7082" s="98">
        <f t="shared" si="317"/>
        <v>52005</v>
      </c>
    </row>
    <row r="7083" spans="30:30" ht="14" thickBot="1" x14ac:dyDescent="0.2">
      <c r="AD7083" s="98">
        <f t="shared" si="317"/>
        <v>52006</v>
      </c>
    </row>
    <row r="7084" spans="30:30" ht="14" thickBot="1" x14ac:dyDescent="0.2">
      <c r="AD7084" s="98">
        <f t="shared" si="317"/>
        <v>52007</v>
      </c>
    </row>
    <row r="7085" spans="30:30" ht="14" thickBot="1" x14ac:dyDescent="0.2">
      <c r="AD7085" s="98">
        <f t="shared" si="317"/>
        <v>52008</v>
      </c>
    </row>
    <row r="7086" spans="30:30" ht="14" thickBot="1" x14ac:dyDescent="0.2">
      <c r="AD7086" s="98">
        <f t="shared" si="317"/>
        <v>52009</v>
      </c>
    </row>
    <row r="7087" spans="30:30" ht="14" thickBot="1" x14ac:dyDescent="0.2">
      <c r="AD7087" s="98">
        <f t="shared" si="317"/>
        <v>52010</v>
      </c>
    </row>
    <row r="7088" spans="30:30" ht="14" thickBot="1" x14ac:dyDescent="0.2">
      <c r="AD7088" s="98">
        <f t="shared" si="317"/>
        <v>52011</v>
      </c>
    </row>
    <row r="7089" spans="30:30" ht="14" thickBot="1" x14ac:dyDescent="0.2">
      <c r="AD7089" s="98">
        <f t="shared" si="317"/>
        <v>52012</v>
      </c>
    </row>
    <row r="7090" spans="30:30" ht="14" thickBot="1" x14ac:dyDescent="0.2">
      <c r="AD7090" s="98">
        <f t="shared" si="317"/>
        <v>52013</v>
      </c>
    </row>
    <row r="7091" spans="30:30" ht="14" thickBot="1" x14ac:dyDescent="0.2">
      <c r="AD7091" s="98">
        <f t="shared" si="317"/>
        <v>52014</v>
      </c>
    </row>
    <row r="7092" spans="30:30" ht="14" thickBot="1" x14ac:dyDescent="0.2">
      <c r="AD7092" s="98">
        <f t="shared" si="317"/>
        <v>52015</v>
      </c>
    </row>
    <row r="7093" spans="30:30" ht="14" thickBot="1" x14ac:dyDescent="0.2">
      <c r="AD7093" s="98">
        <f t="shared" si="317"/>
        <v>52016</v>
      </c>
    </row>
    <row r="7094" spans="30:30" ht="14" thickBot="1" x14ac:dyDescent="0.2">
      <c r="AD7094" s="98">
        <f t="shared" si="317"/>
        <v>52017</v>
      </c>
    </row>
    <row r="7095" spans="30:30" ht="14" thickBot="1" x14ac:dyDescent="0.2">
      <c r="AD7095" s="98">
        <f t="shared" si="317"/>
        <v>52018</v>
      </c>
    </row>
    <row r="7096" spans="30:30" ht="14" thickBot="1" x14ac:dyDescent="0.2">
      <c r="AD7096" s="98">
        <f t="shared" si="317"/>
        <v>52019</v>
      </c>
    </row>
    <row r="7097" spans="30:30" ht="14" thickBot="1" x14ac:dyDescent="0.2">
      <c r="AD7097" s="98">
        <f t="shared" si="317"/>
        <v>52020</v>
      </c>
    </row>
    <row r="7098" spans="30:30" ht="14" thickBot="1" x14ac:dyDescent="0.2">
      <c r="AD7098" s="98">
        <f t="shared" si="317"/>
        <v>52021</v>
      </c>
    </row>
    <row r="7099" spans="30:30" ht="14" thickBot="1" x14ac:dyDescent="0.2">
      <c r="AD7099" s="98">
        <f t="shared" si="317"/>
        <v>52022</v>
      </c>
    </row>
    <row r="7100" spans="30:30" ht="14" thickBot="1" x14ac:dyDescent="0.2">
      <c r="AD7100" s="98">
        <f t="shared" si="317"/>
        <v>52023</v>
      </c>
    </row>
    <row r="7101" spans="30:30" ht="14" thickBot="1" x14ac:dyDescent="0.2">
      <c r="AD7101" s="98">
        <f t="shared" si="317"/>
        <v>52024</v>
      </c>
    </row>
    <row r="7102" spans="30:30" ht="14" thickBot="1" x14ac:dyDescent="0.2">
      <c r="AD7102" s="98">
        <f t="shared" si="317"/>
        <v>52025</v>
      </c>
    </row>
    <row r="7103" spans="30:30" ht="14" thickBot="1" x14ac:dyDescent="0.2">
      <c r="AD7103" s="98">
        <f t="shared" si="317"/>
        <v>52026</v>
      </c>
    </row>
    <row r="7104" spans="30:30" ht="14" thickBot="1" x14ac:dyDescent="0.2">
      <c r="AD7104" s="98">
        <f t="shared" si="317"/>
        <v>52027</v>
      </c>
    </row>
    <row r="7105" spans="30:30" ht="14" thickBot="1" x14ac:dyDescent="0.2">
      <c r="AD7105" s="98">
        <f t="shared" si="317"/>
        <v>52028</v>
      </c>
    </row>
    <row r="7106" spans="30:30" ht="14" thickBot="1" x14ac:dyDescent="0.2">
      <c r="AD7106" s="98">
        <f t="shared" si="317"/>
        <v>52029</v>
      </c>
    </row>
    <row r="7107" spans="30:30" ht="14" thickBot="1" x14ac:dyDescent="0.2">
      <c r="AD7107" s="98">
        <f t="shared" si="317"/>
        <v>52030</v>
      </c>
    </row>
    <row r="7108" spans="30:30" ht="14" thickBot="1" x14ac:dyDescent="0.2">
      <c r="AD7108" s="98">
        <f t="shared" si="317"/>
        <v>52031</v>
      </c>
    </row>
    <row r="7109" spans="30:30" ht="14" thickBot="1" x14ac:dyDescent="0.2">
      <c r="AD7109" s="98">
        <f t="shared" si="317"/>
        <v>52032</v>
      </c>
    </row>
    <row r="7110" spans="30:30" ht="14" thickBot="1" x14ac:dyDescent="0.2">
      <c r="AD7110" s="98">
        <f t="shared" si="317"/>
        <v>52033</v>
      </c>
    </row>
    <row r="7111" spans="30:30" ht="14" thickBot="1" x14ac:dyDescent="0.2">
      <c r="AD7111" s="98">
        <f t="shared" si="317"/>
        <v>52034</v>
      </c>
    </row>
    <row r="7112" spans="30:30" ht="14" thickBot="1" x14ac:dyDescent="0.2">
      <c r="AD7112" s="98">
        <f t="shared" si="317"/>
        <v>52035</v>
      </c>
    </row>
    <row r="7113" spans="30:30" ht="14" thickBot="1" x14ac:dyDescent="0.2">
      <c r="AD7113" s="98">
        <f t="shared" ref="AD7113:AD7176" si="318">AD7112+1</f>
        <v>52036</v>
      </c>
    </row>
    <row r="7114" spans="30:30" ht="14" thickBot="1" x14ac:dyDescent="0.2">
      <c r="AD7114" s="98">
        <f t="shared" si="318"/>
        <v>52037</v>
      </c>
    </row>
    <row r="7115" spans="30:30" ht="14" thickBot="1" x14ac:dyDescent="0.2">
      <c r="AD7115" s="98">
        <f t="shared" si="318"/>
        <v>52038</v>
      </c>
    </row>
    <row r="7116" spans="30:30" ht="14" thickBot="1" x14ac:dyDescent="0.2">
      <c r="AD7116" s="98">
        <f t="shared" si="318"/>
        <v>52039</v>
      </c>
    </row>
    <row r="7117" spans="30:30" ht="14" thickBot="1" x14ac:dyDescent="0.2">
      <c r="AD7117" s="98">
        <f t="shared" si="318"/>
        <v>52040</v>
      </c>
    </row>
    <row r="7118" spans="30:30" ht="14" thickBot="1" x14ac:dyDescent="0.2">
      <c r="AD7118" s="98">
        <f t="shared" si="318"/>
        <v>52041</v>
      </c>
    </row>
    <row r="7119" spans="30:30" ht="14" thickBot="1" x14ac:dyDescent="0.2">
      <c r="AD7119" s="98">
        <f t="shared" si="318"/>
        <v>52042</v>
      </c>
    </row>
    <row r="7120" spans="30:30" ht="14" thickBot="1" x14ac:dyDescent="0.2">
      <c r="AD7120" s="98">
        <f t="shared" si="318"/>
        <v>52043</v>
      </c>
    </row>
    <row r="7121" spans="30:30" ht="14" thickBot="1" x14ac:dyDescent="0.2">
      <c r="AD7121" s="98">
        <f t="shared" si="318"/>
        <v>52044</v>
      </c>
    </row>
    <row r="7122" spans="30:30" ht="14" thickBot="1" x14ac:dyDescent="0.2">
      <c r="AD7122" s="98">
        <f t="shared" si="318"/>
        <v>52045</v>
      </c>
    </row>
    <row r="7123" spans="30:30" ht="14" thickBot="1" x14ac:dyDescent="0.2">
      <c r="AD7123" s="98">
        <f t="shared" si="318"/>
        <v>52046</v>
      </c>
    </row>
    <row r="7124" spans="30:30" ht="14" thickBot="1" x14ac:dyDescent="0.2">
      <c r="AD7124" s="98">
        <f t="shared" si="318"/>
        <v>52047</v>
      </c>
    </row>
    <row r="7125" spans="30:30" ht="14" thickBot="1" x14ac:dyDescent="0.2">
      <c r="AD7125" s="98">
        <f t="shared" si="318"/>
        <v>52048</v>
      </c>
    </row>
    <row r="7126" spans="30:30" ht="14" thickBot="1" x14ac:dyDescent="0.2">
      <c r="AD7126" s="98">
        <f t="shared" si="318"/>
        <v>52049</v>
      </c>
    </row>
    <row r="7127" spans="30:30" ht="14" thickBot="1" x14ac:dyDescent="0.2">
      <c r="AD7127" s="98">
        <f t="shared" si="318"/>
        <v>52050</v>
      </c>
    </row>
    <row r="7128" spans="30:30" ht="14" thickBot="1" x14ac:dyDescent="0.2">
      <c r="AD7128" s="98">
        <f t="shared" si="318"/>
        <v>52051</v>
      </c>
    </row>
    <row r="7129" spans="30:30" ht="14" thickBot="1" x14ac:dyDescent="0.2">
      <c r="AD7129" s="98">
        <f t="shared" si="318"/>
        <v>52052</v>
      </c>
    </row>
    <row r="7130" spans="30:30" ht="14" thickBot="1" x14ac:dyDescent="0.2">
      <c r="AD7130" s="98">
        <f t="shared" si="318"/>
        <v>52053</v>
      </c>
    </row>
    <row r="7131" spans="30:30" ht="14" thickBot="1" x14ac:dyDescent="0.2">
      <c r="AD7131" s="98">
        <f t="shared" si="318"/>
        <v>52054</v>
      </c>
    </row>
    <row r="7132" spans="30:30" ht="14" thickBot="1" x14ac:dyDescent="0.2">
      <c r="AD7132" s="98">
        <f t="shared" si="318"/>
        <v>52055</v>
      </c>
    </row>
    <row r="7133" spans="30:30" ht="14" thickBot="1" x14ac:dyDescent="0.2">
      <c r="AD7133" s="98">
        <f t="shared" si="318"/>
        <v>52056</v>
      </c>
    </row>
    <row r="7134" spans="30:30" ht="14" thickBot="1" x14ac:dyDescent="0.2">
      <c r="AD7134" s="98">
        <f t="shared" si="318"/>
        <v>52057</v>
      </c>
    </row>
    <row r="7135" spans="30:30" ht="14" thickBot="1" x14ac:dyDescent="0.2">
      <c r="AD7135" s="98">
        <f t="shared" si="318"/>
        <v>52058</v>
      </c>
    </row>
    <row r="7136" spans="30:30" ht="14" thickBot="1" x14ac:dyDescent="0.2">
      <c r="AD7136" s="98">
        <f t="shared" si="318"/>
        <v>52059</v>
      </c>
    </row>
    <row r="7137" spans="30:30" ht="14" thickBot="1" x14ac:dyDescent="0.2">
      <c r="AD7137" s="98">
        <f t="shared" si="318"/>
        <v>52060</v>
      </c>
    </row>
    <row r="7138" spans="30:30" ht="14" thickBot="1" x14ac:dyDescent="0.2">
      <c r="AD7138" s="98">
        <f t="shared" si="318"/>
        <v>52061</v>
      </c>
    </row>
    <row r="7139" spans="30:30" ht="14" thickBot="1" x14ac:dyDescent="0.2">
      <c r="AD7139" s="98">
        <f t="shared" si="318"/>
        <v>52062</v>
      </c>
    </row>
    <row r="7140" spans="30:30" ht="14" thickBot="1" x14ac:dyDescent="0.2">
      <c r="AD7140" s="98">
        <f t="shared" si="318"/>
        <v>52063</v>
      </c>
    </row>
    <row r="7141" spans="30:30" ht="14" thickBot="1" x14ac:dyDescent="0.2">
      <c r="AD7141" s="98">
        <f t="shared" si="318"/>
        <v>52064</v>
      </c>
    </row>
    <row r="7142" spans="30:30" ht="14" thickBot="1" x14ac:dyDescent="0.2">
      <c r="AD7142" s="98">
        <f t="shared" si="318"/>
        <v>52065</v>
      </c>
    </row>
    <row r="7143" spans="30:30" ht="14" thickBot="1" x14ac:dyDescent="0.2">
      <c r="AD7143" s="98">
        <f t="shared" si="318"/>
        <v>52066</v>
      </c>
    </row>
    <row r="7144" spans="30:30" ht="14" thickBot="1" x14ac:dyDescent="0.2">
      <c r="AD7144" s="98">
        <f t="shared" si="318"/>
        <v>52067</v>
      </c>
    </row>
    <row r="7145" spans="30:30" ht="14" thickBot="1" x14ac:dyDescent="0.2">
      <c r="AD7145" s="98">
        <f t="shared" si="318"/>
        <v>52068</v>
      </c>
    </row>
    <row r="7146" spans="30:30" ht="14" thickBot="1" x14ac:dyDescent="0.2">
      <c r="AD7146" s="98">
        <f t="shared" si="318"/>
        <v>52069</v>
      </c>
    </row>
    <row r="7147" spans="30:30" ht="14" thickBot="1" x14ac:dyDescent="0.2">
      <c r="AD7147" s="98">
        <f t="shared" si="318"/>
        <v>52070</v>
      </c>
    </row>
    <row r="7148" spans="30:30" ht="14" thickBot="1" x14ac:dyDescent="0.2">
      <c r="AD7148" s="98">
        <f t="shared" si="318"/>
        <v>52071</v>
      </c>
    </row>
    <row r="7149" spans="30:30" ht="14" thickBot="1" x14ac:dyDescent="0.2">
      <c r="AD7149" s="98">
        <f t="shared" si="318"/>
        <v>52072</v>
      </c>
    </row>
    <row r="7150" spans="30:30" ht="14" thickBot="1" x14ac:dyDescent="0.2">
      <c r="AD7150" s="98">
        <f t="shared" si="318"/>
        <v>52073</v>
      </c>
    </row>
    <row r="7151" spans="30:30" ht="14" thickBot="1" x14ac:dyDescent="0.2">
      <c r="AD7151" s="98">
        <f t="shared" si="318"/>
        <v>52074</v>
      </c>
    </row>
    <row r="7152" spans="30:30" ht="14" thickBot="1" x14ac:dyDescent="0.2">
      <c r="AD7152" s="98">
        <f t="shared" si="318"/>
        <v>52075</v>
      </c>
    </row>
    <row r="7153" spans="30:30" ht="14" thickBot="1" x14ac:dyDescent="0.2">
      <c r="AD7153" s="98">
        <f t="shared" si="318"/>
        <v>52076</v>
      </c>
    </row>
    <row r="7154" spans="30:30" ht="14" thickBot="1" x14ac:dyDescent="0.2">
      <c r="AD7154" s="98">
        <f t="shared" si="318"/>
        <v>52077</v>
      </c>
    </row>
    <row r="7155" spans="30:30" ht="14" thickBot="1" x14ac:dyDescent="0.2">
      <c r="AD7155" s="98">
        <f t="shared" si="318"/>
        <v>52078</v>
      </c>
    </row>
    <row r="7156" spans="30:30" ht="14" thickBot="1" x14ac:dyDescent="0.2">
      <c r="AD7156" s="98">
        <f t="shared" si="318"/>
        <v>52079</v>
      </c>
    </row>
    <row r="7157" spans="30:30" ht="14" thickBot="1" x14ac:dyDescent="0.2">
      <c r="AD7157" s="98">
        <f t="shared" si="318"/>
        <v>52080</v>
      </c>
    </row>
    <row r="7158" spans="30:30" ht="14" thickBot="1" x14ac:dyDescent="0.2">
      <c r="AD7158" s="98">
        <f t="shared" si="318"/>
        <v>52081</v>
      </c>
    </row>
    <row r="7159" spans="30:30" ht="14" thickBot="1" x14ac:dyDescent="0.2">
      <c r="AD7159" s="98">
        <f t="shared" si="318"/>
        <v>52082</v>
      </c>
    </row>
    <row r="7160" spans="30:30" ht="14" thickBot="1" x14ac:dyDescent="0.2">
      <c r="AD7160" s="98">
        <f t="shared" si="318"/>
        <v>52083</v>
      </c>
    </row>
    <row r="7161" spans="30:30" ht="14" thickBot="1" x14ac:dyDescent="0.2">
      <c r="AD7161" s="98">
        <f t="shared" si="318"/>
        <v>52084</v>
      </c>
    </row>
    <row r="7162" spans="30:30" ht="14" thickBot="1" x14ac:dyDescent="0.2">
      <c r="AD7162" s="98">
        <f t="shared" si="318"/>
        <v>52085</v>
      </c>
    </row>
    <row r="7163" spans="30:30" ht="14" thickBot="1" x14ac:dyDescent="0.2">
      <c r="AD7163" s="98">
        <f t="shared" si="318"/>
        <v>52086</v>
      </c>
    </row>
    <row r="7164" spans="30:30" ht="14" thickBot="1" x14ac:dyDescent="0.2">
      <c r="AD7164" s="98">
        <f t="shared" si="318"/>
        <v>52087</v>
      </c>
    </row>
    <row r="7165" spans="30:30" ht="14" thickBot="1" x14ac:dyDescent="0.2">
      <c r="AD7165" s="98">
        <f t="shared" si="318"/>
        <v>52088</v>
      </c>
    </row>
    <row r="7166" spans="30:30" ht="14" thickBot="1" x14ac:dyDescent="0.2">
      <c r="AD7166" s="98">
        <f t="shared" si="318"/>
        <v>52089</v>
      </c>
    </row>
    <row r="7167" spans="30:30" ht="14" thickBot="1" x14ac:dyDescent="0.2">
      <c r="AD7167" s="98">
        <f t="shared" si="318"/>
        <v>52090</v>
      </c>
    </row>
    <row r="7168" spans="30:30" ht="14" thickBot="1" x14ac:dyDescent="0.2">
      <c r="AD7168" s="98">
        <f t="shared" si="318"/>
        <v>52091</v>
      </c>
    </row>
    <row r="7169" spans="30:30" ht="14" thickBot="1" x14ac:dyDescent="0.2">
      <c r="AD7169" s="98">
        <f t="shared" si="318"/>
        <v>52092</v>
      </c>
    </row>
    <row r="7170" spans="30:30" ht="14" thickBot="1" x14ac:dyDescent="0.2">
      <c r="AD7170" s="98">
        <f t="shared" si="318"/>
        <v>52093</v>
      </c>
    </row>
    <row r="7171" spans="30:30" ht="14" thickBot="1" x14ac:dyDescent="0.2">
      <c r="AD7171" s="98">
        <f t="shared" si="318"/>
        <v>52094</v>
      </c>
    </row>
    <row r="7172" spans="30:30" ht="14" thickBot="1" x14ac:dyDescent="0.2">
      <c r="AD7172" s="98">
        <f t="shared" si="318"/>
        <v>52095</v>
      </c>
    </row>
    <row r="7173" spans="30:30" ht="14" thickBot="1" x14ac:dyDescent="0.2">
      <c r="AD7173" s="98">
        <f t="shared" si="318"/>
        <v>52096</v>
      </c>
    </row>
    <row r="7174" spans="30:30" ht="14" thickBot="1" x14ac:dyDescent="0.2">
      <c r="AD7174" s="98">
        <f t="shared" si="318"/>
        <v>52097</v>
      </c>
    </row>
    <row r="7175" spans="30:30" ht="14" thickBot="1" x14ac:dyDescent="0.2">
      <c r="AD7175" s="98">
        <f t="shared" si="318"/>
        <v>52098</v>
      </c>
    </row>
    <row r="7176" spans="30:30" ht="14" thickBot="1" x14ac:dyDescent="0.2">
      <c r="AD7176" s="98">
        <f t="shared" si="318"/>
        <v>52099</v>
      </c>
    </row>
    <row r="7177" spans="30:30" ht="14" thickBot="1" x14ac:dyDescent="0.2">
      <c r="AD7177" s="98">
        <f t="shared" ref="AD7177:AD7240" si="319">AD7176+1</f>
        <v>52100</v>
      </c>
    </row>
    <row r="7178" spans="30:30" ht="14" thickBot="1" x14ac:dyDescent="0.2">
      <c r="AD7178" s="98">
        <f t="shared" si="319"/>
        <v>52101</v>
      </c>
    </row>
    <row r="7179" spans="30:30" ht="14" thickBot="1" x14ac:dyDescent="0.2">
      <c r="AD7179" s="98">
        <f t="shared" si="319"/>
        <v>52102</v>
      </c>
    </row>
    <row r="7180" spans="30:30" ht="14" thickBot="1" x14ac:dyDescent="0.2">
      <c r="AD7180" s="98">
        <f t="shared" si="319"/>
        <v>52103</v>
      </c>
    </row>
    <row r="7181" spans="30:30" ht="14" thickBot="1" x14ac:dyDescent="0.2">
      <c r="AD7181" s="98">
        <f t="shared" si="319"/>
        <v>52104</v>
      </c>
    </row>
    <row r="7182" spans="30:30" ht="14" thickBot="1" x14ac:dyDescent="0.2">
      <c r="AD7182" s="98">
        <f t="shared" si="319"/>
        <v>52105</v>
      </c>
    </row>
    <row r="7183" spans="30:30" ht="14" thickBot="1" x14ac:dyDescent="0.2">
      <c r="AD7183" s="98">
        <f t="shared" si="319"/>
        <v>52106</v>
      </c>
    </row>
    <row r="7184" spans="30:30" ht="14" thickBot="1" x14ac:dyDescent="0.2">
      <c r="AD7184" s="98">
        <f t="shared" si="319"/>
        <v>52107</v>
      </c>
    </row>
    <row r="7185" spans="30:30" ht="14" thickBot="1" x14ac:dyDescent="0.2">
      <c r="AD7185" s="98">
        <f t="shared" si="319"/>
        <v>52108</v>
      </c>
    </row>
    <row r="7186" spans="30:30" ht="14" thickBot="1" x14ac:dyDescent="0.2">
      <c r="AD7186" s="98">
        <f t="shared" si="319"/>
        <v>52109</v>
      </c>
    </row>
    <row r="7187" spans="30:30" ht="14" thickBot="1" x14ac:dyDescent="0.2">
      <c r="AD7187" s="98">
        <f t="shared" si="319"/>
        <v>52110</v>
      </c>
    </row>
    <row r="7188" spans="30:30" ht="14" thickBot="1" x14ac:dyDescent="0.2">
      <c r="AD7188" s="98">
        <f t="shared" si="319"/>
        <v>52111</v>
      </c>
    </row>
    <row r="7189" spans="30:30" ht="14" thickBot="1" x14ac:dyDescent="0.2">
      <c r="AD7189" s="98">
        <f t="shared" si="319"/>
        <v>52112</v>
      </c>
    </row>
    <row r="7190" spans="30:30" ht="14" thickBot="1" x14ac:dyDescent="0.2">
      <c r="AD7190" s="98">
        <f t="shared" si="319"/>
        <v>52113</v>
      </c>
    </row>
    <row r="7191" spans="30:30" ht="14" thickBot="1" x14ac:dyDescent="0.2">
      <c r="AD7191" s="98">
        <f t="shared" si="319"/>
        <v>52114</v>
      </c>
    </row>
    <row r="7192" spans="30:30" ht="14" thickBot="1" x14ac:dyDescent="0.2">
      <c r="AD7192" s="98">
        <f t="shared" si="319"/>
        <v>52115</v>
      </c>
    </row>
    <row r="7193" spans="30:30" ht="14" thickBot="1" x14ac:dyDescent="0.2">
      <c r="AD7193" s="98">
        <f t="shared" si="319"/>
        <v>52116</v>
      </c>
    </row>
    <row r="7194" spans="30:30" ht="14" thickBot="1" x14ac:dyDescent="0.2">
      <c r="AD7194" s="98">
        <f t="shared" si="319"/>
        <v>52117</v>
      </c>
    </row>
    <row r="7195" spans="30:30" ht="14" thickBot="1" x14ac:dyDescent="0.2">
      <c r="AD7195" s="98">
        <f t="shared" si="319"/>
        <v>52118</v>
      </c>
    </row>
    <row r="7196" spans="30:30" ht="14" thickBot="1" x14ac:dyDescent="0.2">
      <c r="AD7196" s="98">
        <f t="shared" si="319"/>
        <v>52119</v>
      </c>
    </row>
    <row r="7197" spans="30:30" ht="14" thickBot="1" x14ac:dyDescent="0.2">
      <c r="AD7197" s="98">
        <f t="shared" si="319"/>
        <v>52120</v>
      </c>
    </row>
    <row r="7198" spans="30:30" ht="14" thickBot="1" x14ac:dyDescent="0.2">
      <c r="AD7198" s="98">
        <f t="shared" si="319"/>
        <v>52121</v>
      </c>
    </row>
    <row r="7199" spans="30:30" ht="14" thickBot="1" x14ac:dyDescent="0.2">
      <c r="AD7199" s="98">
        <f t="shared" si="319"/>
        <v>52122</v>
      </c>
    </row>
    <row r="7200" spans="30:30" ht="14" thickBot="1" x14ac:dyDescent="0.2">
      <c r="AD7200" s="98">
        <f t="shared" si="319"/>
        <v>52123</v>
      </c>
    </row>
    <row r="7201" spans="30:30" ht="14" thickBot="1" x14ac:dyDescent="0.2">
      <c r="AD7201" s="98">
        <f t="shared" si="319"/>
        <v>52124</v>
      </c>
    </row>
    <row r="7202" spans="30:30" ht="14" thickBot="1" x14ac:dyDescent="0.2">
      <c r="AD7202" s="98">
        <f t="shared" si="319"/>
        <v>52125</v>
      </c>
    </row>
    <row r="7203" spans="30:30" ht="14" thickBot="1" x14ac:dyDescent="0.2">
      <c r="AD7203" s="98">
        <f t="shared" si="319"/>
        <v>52126</v>
      </c>
    </row>
    <row r="7204" spans="30:30" ht="14" thickBot="1" x14ac:dyDescent="0.2">
      <c r="AD7204" s="98">
        <f t="shared" si="319"/>
        <v>52127</v>
      </c>
    </row>
    <row r="7205" spans="30:30" ht="14" thickBot="1" x14ac:dyDescent="0.2">
      <c r="AD7205" s="98">
        <f t="shared" si="319"/>
        <v>52128</v>
      </c>
    </row>
    <row r="7206" spans="30:30" ht="14" thickBot="1" x14ac:dyDescent="0.2">
      <c r="AD7206" s="98">
        <f t="shared" si="319"/>
        <v>52129</v>
      </c>
    </row>
    <row r="7207" spans="30:30" ht="14" thickBot="1" x14ac:dyDescent="0.2">
      <c r="AD7207" s="98">
        <f t="shared" si="319"/>
        <v>52130</v>
      </c>
    </row>
    <row r="7208" spans="30:30" ht="14" thickBot="1" x14ac:dyDescent="0.2">
      <c r="AD7208" s="98">
        <f t="shared" si="319"/>
        <v>52131</v>
      </c>
    </row>
    <row r="7209" spans="30:30" ht="14" thickBot="1" x14ac:dyDescent="0.2">
      <c r="AD7209" s="98">
        <f t="shared" si="319"/>
        <v>52132</v>
      </c>
    </row>
    <row r="7210" spans="30:30" ht="14" thickBot="1" x14ac:dyDescent="0.2">
      <c r="AD7210" s="98">
        <f t="shared" si="319"/>
        <v>52133</v>
      </c>
    </row>
    <row r="7211" spans="30:30" ht="14" thickBot="1" x14ac:dyDescent="0.2">
      <c r="AD7211" s="98">
        <f t="shared" si="319"/>
        <v>52134</v>
      </c>
    </row>
    <row r="7212" spans="30:30" ht="14" thickBot="1" x14ac:dyDescent="0.2">
      <c r="AD7212" s="98">
        <f t="shared" si="319"/>
        <v>52135</v>
      </c>
    </row>
    <row r="7213" spans="30:30" ht="14" thickBot="1" x14ac:dyDescent="0.2">
      <c r="AD7213" s="98">
        <f t="shared" si="319"/>
        <v>52136</v>
      </c>
    </row>
    <row r="7214" spans="30:30" ht="14" thickBot="1" x14ac:dyDescent="0.2">
      <c r="AD7214" s="98">
        <f t="shared" si="319"/>
        <v>52137</v>
      </c>
    </row>
    <row r="7215" spans="30:30" ht="14" thickBot="1" x14ac:dyDescent="0.2">
      <c r="AD7215" s="98">
        <f t="shared" si="319"/>
        <v>52138</v>
      </c>
    </row>
    <row r="7216" spans="30:30" ht="14" thickBot="1" x14ac:dyDescent="0.2">
      <c r="AD7216" s="98">
        <f t="shared" si="319"/>
        <v>52139</v>
      </c>
    </row>
    <row r="7217" spans="30:30" ht="14" thickBot="1" x14ac:dyDescent="0.2">
      <c r="AD7217" s="98">
        <f t="shared" si="319"/>
        <v>52140</v>
      </c>
    </row>
    <row r="7218" spans="30:30" ht="14" thickBot="1" x14ac:dyDescent="0.2">
      <c r="AD7218" s="98">
        <f t="shared" si="319"/>
        <v>52141</v>
      </c>
    </row>
    <row r="7219" spans="30:30" ht="14" thickBot="1" x14ac:dyDescent="0.2">
      <c r="AD7219" s="98">
        <f t="shared" si="319"/>
        <v>52142</v>
      </c>
    </row>
    <row r="7220" spans="30:30" ht="14" thickBot="1" x14ac:dyDescent="0.2">
      <c r="AD7220" s="98">
        <f t="shared" si="319"/>
        <v>52143</v>
      </c>
    </row>
    <row r="7221" spans="30:30" ht="14" thickBot="1" x14ac:dyDescent="0.2">
      <c r="AD7221" s="98">
        <f t="shared" si="319"/>
        <v>52144</v>
      </c>
    </row>
    <row r="7222" spans="30:30" ht="14" thickBot="1" x14ac:dyDescent="0.2">
      <c r="AD7222" s="98">
        <f t="shared" si="319"/>
        <v>52145</v>
      </c>
    </row>
    <row r="7223" spans="30:30" ht="14" thickBot="1" x14ac:dyDescent="0.2">
      <c r="AD7223" s="98">
        <f t="shared" si="319"/>
        <v>52146</v>
      </c>
    </row>
    <row r="7224" spans="30:30" ht="14" thickBot="1" x14ac:dyDescent="0.2">
      <c r="AD7224" s="98">
        <f t="shared" si="319"/>
        <v>52147</v>
      </c>
    </row>
    <row r="7225" spans="30:30" ht="14" thickBot="1" x14ac:dyDescent="0.2">
      <c r="AD7225" s="98">
        <f t="shared" si="319"/>
        <v>52148</v>
      </c>
    </row>
    <row r="7226" spans="30:30" ht="14" thickBot="1" x14ac:dyDescent="0.2">
      <c r="AD7226" s="98">
        <f t="shared" si="319"/>
        <v>52149</v>
      </c>
    </row>
    <row r="7227" spans="30:30" ht="14" thickBot="1" x14ac:dyDescent="0.2">
      <c r="AD7227" s="98">
        <f t="shared" si="319"/>
        <v>52150</v>
      </c>
    </row>
    <row r="7228" spans="30:30" ht="14" thickBot="1" x14ac:dyDescent="0.2">
      <c r="AD7228" s="98">
        <f t="shared" si="319"/>
        <v>52151</v>
      </c>
    </row>
    <row r="7229" spans="30:30" ht="14" thickBot="1" x14ac:dyDescent="0.2">
      <c r="AD7229" s="98">
        <f t="shared" si="319"/>
        <v>52152</v>
      </c>
    </row>
    <row r="7230" spans="30:30" ht="14" thickBot="1" x14ac:dyDescent="0.2">
      <c r="AD7230" s="98">
        <f t="shared" si="319"/>
        <v>52153</v>
      </c>
    </row>
    <row r="7231" spans="30:30" ht="14" thickBot="1" x14ac:dyDescent="0.2">
      <c r="AD7231" s="98">
        <f t="shared" si="319"/>
        <v>52154</v>
      </c>
    </row>
    <row r="7232" spans="30:30" ht="14" thickBot="1" x14ac:dyDescent="0.2">
      <c r="AD7232" s="98">
        <f t="shared" si="319"/>
        <v>52155</v>
      </c>
    </row>
    <row r="7233" spans="30:30" ht="14" thickBot="1" x14ac:dyDescent="0.2">
      <c r="AD7233" s="98">
        <f t="shared" si="319"/>
        <v>52156</v>
      </c>
    </row>
    <row r="7234" spans="30:30" ht="14" thickBot="1" x14ac:dyDescent="0.2">
      <c r="AD7234" s="98">
        <f t="shared" si="319"/>
        <v>52157</v>
      </c>
    </row>
    <row r="7235" spans="30:30" ht="14" thickBot="1" x14ac:dyDescent="0.2">
      <c r="AD7235" s="98">
        <f t="shared" si="319"/>
        <v>52158</v>
      </c>
    </row>
    <row r="7236" spans="30:30" ht="14" thickBot="1" x14ac:dyDescent="0.2">
      <c r="AD7236" s="98">
        <f t="shared" si="319"/>
        <v>52159</v>
      </c>
    </row>
    <row r="7237" spans="30:30" ht="14" thickBot="1" x14ac:dyDescent="0.2">
      <c r="AD7237" s="98">
        <f t="shared" si="319"/>
        <v>52160</v>
      </c>
    </row>
    <row r="7238" spans="30:30" ht="14" thickBot="1" x14ac:dyDescent="0.2">
      <c r="AD7238" s="98">
        <f t="shared" si="319"/>
        <v>52161</v>
      </c>
    </row>
    <row r="7239" spans="30:30" ht="14" thickBot="1" x14ac:dyDescent="0.2">
      <c r="AD7239" s="98">
        <f t="shared" si="319"/>
        <v>52162</v>
      </c>
    </row>
    <row r="7240" spans="30:30" ht="14" thickBot="1" x14ac:dyDescent="0.2">
      <c r="AD7240" s="98">
        <f t="shared" si="319"/>
        <v>52163</v>
      </c>
    </row>
    <row r="7241" spans="30:30" ht="14" thickBot="1" x14ac:dyDescent="0.2">
      <c r="AD7241" s="98">
        <f t="shared" ref="AD7241:AD7304" si="320">AD7240+1</f>
        <v>52164</v>
      </c>
    </row>
    <row r="7242" spans="30:30" ht="14" thickBot="1" x14ac:dyDescent="0.2">
      <c r="AD7242" s="98">
        <f t="shared" si="320"/>
        <v>52165</v>
      </c>
    </row>
    <row r="7243" spans="30:30" ht="14" thickBot="1" x14ac:dyDescent="0.2">
      <c r="AD7243" s="98">
        <f t="shared" si="320"/>
        <v>52166</v>
      </c>
    </row>
    <row r="7244" spans="30:30" ht="14" thickBot="1" x14ac:dyDescent="0.2">
      <c r="AD7244" s="98">
        <f t="shared" si="320"/>
        <v>52167</v>
      </c>
    </row>
    <row r="7245" spans="30:30" ht="14" thickBot="1" x14ac:dyDescent="0.2">
      <c r="AD7245" s="98">
        <f t="shared" si="320"/>
        <v>52168</v>
      </c>
    </row>
    <row r="7246" spans="30:30" ht="14" thickBot="1" x14ac:dyDescent="0.2">
      <c r="AD7246" s="98">
        <f t="shared" si="320"/>
        <v>52169</v>
      </c>
    </row>
    <row r="7247" spans="30:30" ht="14" thickBot="1" x14ac:dyDescent="0.2">
      <c r="AD7247" s="98">
        <f t="shared" si="320"/>
        <v>52170</v>
      </c>
    </row>
    <row r="7248" spans="30:30" ht="14" thickBot="1" x14ac:dyDescent="0.2">
      <c r="AD7248" s="98">
        <f t="shared" si="320"/>
        <v>52171</v>
      </c>
    </row>
    <row r="7249" spans="30:30" ht="14" thickBot="1" x14ac:dyDescent="0.2">
      <c r="AD7249" s="98">
        <f t="shared" si="320"/>
        <v>52172</v>
      </c>
    </row>
    <row r="7250" spans="30:30" ht="14" thickBot="1" x14ac:dyDescent="0.2">
      <c r="AD7250" s="98">
        <f t="shared" si="320"/>
        <v>52173</v>
      </c>
    </row>
    <row r="7251" spans="30:30" ht="14" thickBot="1" x14ac:dyDescent="0.2">
      <c r="AD7251" s="98">
        <f t="shared" si="320"/>
        <v>52174</v>
      </c>
    </row>
    <row r="7252" spans="30:30" ht="14" thickBot="1" x14ac:dyDescent="0.2">
      <c r="AD7252" s="98">
        <f t="shared" si="320"/>
        <v>52175</v>
      </c>
    </row>
    <row r="7253" spans="30:30" ht="14" thickBot="1" x14ac:dyDescent="0.2">
      <c r="AD7253" s="98">
        <f t="shared" si="320"/>
        <v>52176</v>
      </c>
    </row>
    <row r="7254" spans="30:30" ht="14" thickBot="1" x14ac:dyDescent="0.2">
      <c r="AD7254" s="98">
        <f t="shared" si="320"/>
        <v>52177</v>
      </c>
    </row>
    <row r="7255" spans="30:30" ht="14" thickBot="1" x14ac:dyDescent="0.2">
      <c r="AD7255" s="98">
        <f t="shared" si="320"/>
        <v>52178</v>
      </c>
    </row>
    <row r="7256" spans="30:30" ht="14" thickBot="1" x14ac:dyDescent="0.2">
      <c r="AD7256" s="98">
        <f t="shared" si="320"/>
        <v>52179</v>
      </c>
    </row>
    <row r="7257" spans="30:30" ht="14" thickBot="1" x14ac:dyDescent="0.2">
      <c r="AD7257" s="98">
        <f t="shared" si="320"/>
        <v>52180</v>
      </c>
    </row>
    <row r="7258" spans="30:30" ht="14" thickBot="1" x14ac:dyDescent="0.2">
      <c r="AD7258" s="98">
        <f t="shared" si="320"/>
        <v>52181</v>
      </c>
    </row>
    <row r="7259" spans="30:30" ht="14" thickBot="1" x14ac:dyDescent="0.2">
      <c r="AD7259" s="98">
        <f t="shared" si="320"/>
        <v>52182</v>
      </c>
    </row>
    <row r="7260" spans="30:30" ht="14" thickBot="1" x14ac:dyDescent="0.2">
      <c r="AD7260" s="98">
        <f t="shared" si="320"/>
        <v>52183</v>
      </c>
    </row>
    <row r="7261" spans="30:30" ht="14" thickBot="1" x14ac:dyDescent="0.2">
      <c r="AD7261" s="98">
        <f t="shared" si="320"/>
        <v>52184</v>
      </c>
    </row>
    <row r="7262" spans="30:30" ht="14" thickBot="1" x14ac:dyDescent="0.2">
      <c r="AD7262" s="98">
        <f t="shared" si="320"/>
        <v>52185</v>
      </c>
    </row>
    <row r="7263" spans="30:30" ht="14" thickBot="1" x14ac:dyDescent="0.2">
      <c r="AD7263" s="98">
        <f t="shared" si="320"/>
        <v>52186</v>
      </c>
    </row>
    <row r="7264" spans="30:30" ht="14" thickBot="1" x14ac:dyDescent="0.2">
      <c r="AD7264" s="98">
        <f t="shared" si="320"/>
        <v>52187</v>
      </c>
    </row>
    <row r="7265" spans="30:30" ht="14" thickBot="1" x14ac:dyDescent="0.2">
      <c r="AD7265" s="98">
        <f t="shared" si="320"/>
        <v>52188</v>
      </c>
    </row>
    <row r="7266" spans="30:30" ht="14" thickBot="1" x14ac:dyDescent="0.2">
      <c r="AD7266" s="98">
        <f t="shared" si="320"/>
        <v>52189</v>
      </c>
    </row>
    <row r="7267" spans="30:30" ht="14" thickBot="1" x14ac:dyDescent="0.2">
      <c r="AD7267" s="98">
        <f t="shared" si="320"/>
        <v>52190</v>
      </c>
    </row>
    <row r="7268" spans="30:30" ht="14" thickBot="1" x14ac:dyDescent="0.2">
      <c r="AD7268" s="98">
        <f t="shared" si="320"/>
        <v>52191</v>
      </c>
    </row>
    <row r="7269" spans="30:30" ht="14" thickBot="1" x14ac:dyDescent="0.2">
      <c r="AD7269" s="98">
        <f t="shared" si="320"/>
        <v>52192</v>
      </c>
    </row>
    <row r="7270" spans="30:30" ht="14" thickBot="1" x14ac:dyDescent="0.2">
      <c r="AD7270" s="98">
        <f t="shared" si="320"/>
        <v>52193</v>
      </c>
    </row>
    <row r="7271" spans="30:30" ht="14" thickBot="1" x14ac:dyDescent="0.2">
      <c r="AD7271" s="98">
        <f t="shared" si="320"/>
        <v>52194</v>
      </c>
    </row>
    <row r="7272" spans="30:30" ht="14" thickBot="1" x14ac:dyDescent="0.2">
      <c r="AD7272" s="98">
        <f t="shared" si="320"/>
        <v>52195</v>
      </c>
    </row>
    <row r="7273" spans="30:30" ht="14" thickBot="1" x14ac:dyDescent="0.2">
      <c r="AD7273" s="98">
        <f t="shared" si="320"/>
        <v>52196</v>
      </c>
    </row>
    <row r="7274" spans="30:30" ht="14" thickBot="1" x14ac:dyDescent="0.2">
      <c r="AD7274" s="98">
        <f t="shared" si="320"/>
        <v>52197</v>
      </c>
    </row>
    <row r="7275" spans="30:30" ht="14" thickBot="1" x14ac:dyDescent="0.2">
      <c r="AD7275" s="98">
        <f t="shared" si="320"/>
        <v>52198</v>
      </c>
    </row>
    <row r="7276" spans="30:30" ht="14" thickBot="1" x14ac:dyDescent="0.2">
      <c r="AD7276" s="98">
        <f t="shared" si="320"/>
        <v>52199</v>
      </c>
    </row>
    <row r="7277" spans="30:30" ht="14" thickBot="1" x14ac:dyDescent="0.2">
      <c r="AD7277" s="98">
        <f t="shared" si="320"/>
        <v>52200</v>
      </c>
    </row>
    <row r="7278" spans="30:30" ht="14" thickBot="1" x14ac:dyDescent="0.2">
      <c r="AD7278" s="98">
        <f t="shared" si="320"/>
        <v>52201</v>
      </c>
    </row>
    <row r="7279" spans="30:30" ht="14" thickBot="1" x14ac:dyDescent="0.2">
      <c r="AD7279" s="98">
        <f t="shared" si="320"/>
        <v>52202</v>
      </c>
    </row>
    <row r="7280" spans="30:30" ht="14" thickBot="1" x14ac:dyDescent="0.2">
      <c r="AD7280" s="98">
        <f t="shared" si="320"/>
        <v>52203</v>
      </c>
    </row>
    <row r="7281" spans="30:30" ht="14" thickBot="1" x14ac:dyDescent="0.2">
      <c r="AD7281" s="98">
        <f t="shared" si="320"/>
        <v>52204</v>
      </c>
    </row>
    <row r="7282" spans="30:30" ht="14" thickBot="1" x14ac:dyDescent="0.2">
      <c r="AD7282" s="98">
        <f t="shared" si="320"/>
        <v>52205</v>
      </c>
    </row>
    <row r="7283" spans="30:30" ht="14" thickBot="1" x14ac:dyDescent="0.2">
      <c r="AD7283" s="98">
        <f t="shared" si="320"/>
        <v>52206</v>
      </c>
    </row>
    <row r="7284" spans="30:30" ht="14" thickBot="1" x14ac:dyDescent="0.2">
      <c r="AD7284" s="98">
        <f t="shared" si="320"/>
        <v>52207</v>
      </c>
    </row>
    <row r="7285" spans="30:30" ht="14" thickBot="1" x14ac:dyDescent="0.2">
      <c r="AD7285" s="98">
        <f t="shared" si="320"/>
        <v>52208</v>
      </c>
    </row>
    <row r="7286" spans="30:30" ht="14" thickBot="1" x14ac:dyDescent="0.2">
      <c r="AD7286" s="98">
        <f t="shared" si="320"/>
        <v>52209</v>
      </c>
    </row>
    <row r="7287" spans="30:30" ht="14" thickBot="1" x14ac:dyDescent="0.2">
      <c r="AD7287" s="98">
        <f t="shared" si="320"/>
        <v>52210</v>
      </c>
    </row>
    <row r="7288" spans="30:30" ht="14" thickBot="1" x14ac:dyDescent="0.2">
      <c r="AD7288" s="98">
        <f t="shared" si="320"/>
        <v>52211</v>
      </c>
    </row>
    <row r="7289" spans="30:30" ht="14" thickBot="1" x14ac:dyDescent="0.2">
      <c r="AD7289" s="98">
        <f t="shared" si="320"/>
        <v>52212</v>
      </c>
    </row>
    <row r="7290" spans="30:30" ht="14" thickBot="1" x14ac:dyDescent="0.2">
      <c r="AD7290" s="98">
        <f t="shared" si="320"/>
        <v>52213</v>
      </c>
    </row>
    <row r="7291" spans="30:30" ht="14" thickBot="1" x14ac:dyDescent="0.2">
      <c r="AD7291" s="98">
        <f t="shared" si="320"/>
        <v>52214</v>
      </c>
    </row>
    <row r="7292" spans="30:30" ht="14" thickBot="1" x14ac:dyDescent="0.2">
      <c r="AD7292" s="98">
        <f t="shared" si="320"/>
        <v>52215</v>
      </c>
    </row>
    <row r="7293" spans="30:30" ht="14" thickBot="1" x14ac:dyDescent="0.2">
      <c r="AD7293" s="98">
        <f t="shared" si="320"/>
        <v>52216</v>
      </c>
    </row>
    <row r="7294" spans="30:30" ht="14" thickBot="1" x14ac:dyDescent="0.2">
      <c r="AD7294" s="98">
        <f t="shared" si="320"/>
        <v>52217</v>
      </c>
    </row>
    <row r="7295" spans="30:30" ht="14" thickBot="1" x14ac:dyDescent="0.2">
      <c r="AD7295" s="98">
        <f t="shared" si="320"/>
        <v>52218</v>
      </c>
    </row>
    <row r="7296" spans="30:30" ht="14" thickBot="1" x14ac:dyDescent="0.2">
      <c r="AD7296" s="98">
        <f t="shared" si="320"/>
        <v>52219</v>
      </c>
    </row>
    <row r="7297" spans="30:30" ht="14" thickBot="1" x14ac:dyDescent="0.2">
      <c r="AD7297" s="98">
        <f t="shared" si="320"/>
        <v>52220</v>
      </c>
    </row>
    <row r="7298" spans="30:30" ht="14" thickBot="1" x14ac:dyDescent="0.2">
      <c r="AD7298" s="98">
        <f t="shared" si="320"/>
        <v>52221</v>
      </c>
    </row>
    <row r="7299" spans="30:30" ht="14" thickBot="1" x14ac:dyDescent="0.2">
      <c r="AD7299" s="98">
        <f t="shared" si="320"/>
        <v>52222</v>
      </c>
    </row>
    <row r="7300" spans="30:30" ht="14" thickBot="1" x14ac:dyDescent="0.2">
      <c r="AD7300" s="98">
        <f t="shared" si="320"/>
        <v>52223</v>
      </c>
    </row>
    <row r="7301" spans="30:30" ht="14" thickBot="1" x14ac:dyDescent="0.2">
      <c r="AD7301" s="98">
        <f t="shared" si="320"/>
        <v>52224</v>
      </c>
    </row>
    <row r="7302" spans="30:30" ht="14" thickBot="1" x14ac:dyDescent="0.2">
      <c r="AD7302" s="98">
        <f t="shared" si="320"/>
        <v>52225</v>
      </c>
    </row>
    <row r="7303" spans="30:30" ht="14" thickBot="1" x14ac:dyDescent="0.2">
      <c r="AD7303" s="98">
        <f t="shared" si="320"/>
        <v>52226</v>
      </c>
    </row>
    <row r="7304" spans="30:30" ht="14" thickBot="1" x14ac:dyDescent="0.2">
      <c r="AD7304" s="98">
        <f t="shared" si="320"/>
        <v>52227</v>
      </c>
    </row>
    <row r="7305" spans="30:30" ht="14" thickBot="1" x14ac:dyDescent="0.2">
      <c r="AD7305" s="98">
        <f t="shared" ref="AD7305:AD7368" si="321">AD7304+1</f>
        <v>52228</v>
      </c>
    </row>
    <row r="7306" spans="30:30" ht="14" thickBot="1" x14ac:dyDescent="0.2">
      <c r="AD7306" s="98">
        <f t="shared" si="321"/>
        <v>52229</v>
      </c>
    </row>
    <row r="7307" spans="30:30" ht="14" thickBot="1" x14ac:dyDescent="0.2">
      <c r="AD7307" s="98">
        <f t="shared" si="321"/>
        <v>52230</v>
      </c>
    </row>
    <row r="7308" spans="30:30" ht="14" thickBot="1" x14ac:dyDescent="0.2">
      <c r="AD7308" s="98">
        <f t="shared" si="321"/>
        <v>52231</v>
      </c>
    </row>
    <row r="7309" spans="30:30" ht="14" thickBot="1" x14ac:dyDescent="0.2">
      <c r="AD7309" s="98">
        <f t="shared" si="321"/>
        <v>52232</v>
      </c>
    </row>
    <row r="7310" spans="30:30" ht="14" thickBot="1" x14ac:dyDescent="0.2">
      <c r="AD7310" s="98">
        <f t="shared" si="321"/>
        <v>52233</v>
      </c>
    </row>
    <row r="7311" spans="30:30" ht="14" thickBot="1" x14ac:dyDescent="0.2">
      <c r="AD7311" s="98">
        <f t="shared" si="321"/>
        <v>52234</v>
      </c>
    </row>
    <row r="7312" spans="30:30" ht="14" thickBot="1" x14ac:dyDescent="0.2">
      <c r="AD7312" s="98">
        <f t="shared" si="321"/>
        <v>52235</v>
      </c>
    </row>
    <row r="7313" spans="30:30" ht="14" thickBot="1" x14ac:dyDescent="0.2">
      <c r="AD7313" s="98">
        <f t="shared" si="321"/>
        <v>52236</v>
      </c>
    </row>
    <row r="7314" spans="30:30" ht="14" thickBot="1" x14ac:dyDescent="0.2">
      <c r="AD7314" s="98">
        <f t="shared" si="321"/>
        <v>52237</v>
      </c>
    </row>
    <row r="7315" spans="30:30" ht="14" thickBot="1" x14ac:dyDescent="0.2">
      <c r="AD7315" s="98">
        <f t="shared" si="321"/>
        <v>52238</v>
      </c>
    </row>
    <row r="7316" spans="30:30" ht="14" thickBot="1" x14ac:dyDescent="0.2">
      <c r="AD7316" s="98">
        <f t="shared" si="321"/>
        <v>52239</v>
      </c>
    </row>
    <row r="7317" spans="30:30" ht="14" thickBot="1" x14ac:dyDescent="0.2">
      <c r="AD7317" s="98">
        <f t="shared" si="321"/>
        <v>52240</v>
      </c>
    </row>
    <row r="7318" spans="30:30" ht="14" thickBot="1" x14ac:dyDescent="0.2">
      <c r="AD7318" s="98">
        <f t="shared" si="321"/>
        <v>52241</v>
      </c>
    </row>
    <row r="7319" spans="30:30" ht="14" thickBot="1" x14ac:dyDescent="0.2">
      <c r="AD7319" s="98">
        <f t="shared" si="321"/>
        <v>52242</v>
      </c>
    </row>
    <row r="7320" spans="30:30" ht="14" thickBot="1" x14ac:dyDescent="0.2">
      <c r="AD7320" s="98">
        <f t="shared" si="321"/>
        <v>52243</v>
      </c>
    </row>
    <row r="7321" spans="30:30" ht="14" thickBot="1" x14ac:dyDescent="0.2">
      <c r="AD7321" s="98">
        <f t="shared" si="321"/>
        <v>52244</v>
      </c>
    </row>
    <row r="7322" spans="30:30" ht="14" thickBot="1" x14ac:dyDescent="0.2">
      <c r="AD7322" s="98">
        <f t="shared" si="321"/>
        <v>52245</v>
      </c>
    </row>
    <row r="7323" spans="30:30" ht="14" thickBot="1" x14ac:dyDescent="0.2">
      <c r="AD7323" s="98">
        <f t="shared" si="321"/>
        <v>52246</v>
      </c>
    </row>
    <row r="7324" spans="30:30" ht="14" thickBot="1" x14ac:dyDescent="0.2">
      <c r="AD7324" s="98">
        <f t="shared" si="321"/>
        <v>52247</v>
      </c>
    </row>
    <row r="7325" spans="30:30" ht="14" thickBot="1" x14ac:dyDescent="0.2">
      <c r="AD7325" s="98">
        <f t="shared" si="321"/>
        <v>52248</v>
      </c>
    </row>
    <row r="7326" spans="30:30" ht="14" thickBot="1" x14ac:dyDescent="0.2">
      <c r="AD7326" s="98">
        <f t="shared" si="321"/>
        <v>52249</v>
      </c>
    </row>
    <row r="7327" spans="30:30" ht="14" thickBot="1" x14ac:dyDescent="0.2">
      <c r="AD7327" s="98">
        <f t="shared" si="321"/>
        <v>52250</v>
      </c>
    </row>
    <row r="7328" spans="30:30" ht="14" thickBot="1" x14ac:dyDescent="0.2">
      <c r="AD7328" s="98">
        <f t="shared" si="321"/>
        <v>52251</v>
      </c>
    </row>
    <row r="7329" spans="30:30" ht="14" thickBot="1" x14ac:dyDescent="0.2">
      <c r="AD7329" s="98">
        <f t="shared" si="321"/>
        <v>52252</v>
      </c>
    </row>
    <row r="7330" spans="30:30" ht="14" thickBot="1" x14ac:dyDescent="0.2">
      <c r="AD7330" s="98">
        <f t="shared" si="321"/>
        <v>52253</v>
      </c>
    </row>
    <row r="7331" spans="30:30" ht="14" thickBot="1" x14ac:dyDescent="0.2">
      <c r="AD7331" s="98">
        <f t="shared" si="321"/>
        <v>52254</v>
      </c>
    </row>
    <row r="7332" spans="30:30" ht="14" thickBot="1" x14ac:dyDescent="0.2">
      <c r="AD7332" s="98">
        <f t="shared" si="321"/>
        <v>52255</v>
      </c>
    </row>
    <row r="7333" spans="30:30" ht="14" thickBot="1" x14ac:dyDescent="0.2">
      <c r="AD7333" s="98">
        <f t="shared" si="321"/>
        <v>52256</v>
      </c>
    </row>
    <row r="7334" spans="30:30" ht="14" thickBot="1" x14ac:dyDescent="0.2">
      <c r="AD7334" s="98">
        <f t="shared" si="321"/>
        <v>52257</v>
      </c>
    </row>
    <row r="7335" spans="30:30" ht="14" thickBot="1" x14ac:dyDescent="0.2">
      <c r="AD7335" s="98">
        <f t="shared" si="321"/>
        <v>52258</v>
      </c>
    </row>
    <row r="7336" spans="30:30" ht="14" thickBot="1" x14ac:dyDescent="0.2">
      <c r="AD7336" s="98">
        <f t="shared" si="321"/>
        <v>52259</v>
      </c>
    </row>
    <row r="7337" spans="30:30" ht="14" thickBot="1" x14ac:dyDescent="0.2">
      <c r="AD7337" s="98">
        <f t="shared" si="321"/>
        <v>52260</v>
      </c>
    </row>
    <row r="7338" spans="30:30" ht="14" thickBot="1" x14ac:dyDescent="0.2">
      <c r="AD7338" s="98">
        <f t="shared" si="321"/>
        <v>52261</v>
      </c>
    </row>
    <row r="7339" spans="30:30" ht="14" thickBot="1" x14ac:dyDescent="0.2">
      <c r="AD7339" s="98">
        <f t="shared" si="321"/>
        <v>52262</v>
      </c>
    </row>
    <row r="7340" spans="30:30" ht="14" thickBot="1" x14ac:dyDescent="0.2">
      <c r="AD7340" s="98">
        <f t="shared" si="321"/>
        <v>52263</v>
      </c>
    </row>
    <row r="7341" spans="30:30" ht="14" thickBot="1" x14ac:dyDescent="0.2">
      <c r="AD7341" s="98">
        <f t="shared" si="321"/>
        <v>52264</v>
      </c>
    </row>
    <row r="7342" spans="30:30" ht="14" thickBot="1" x14ac:dyDescent="0.2">
      <c r="AD7342" s="98">
        <f t="shared" si="321"/>
        <v>52265</v>
      </c>
    </row>
    <row r="7343" spans="30:30" ht="14" thickBot="1" x14ac:dyDescent="0.2">
      <c r="AD7343" s="98">
        <f t="shared" si="321"/>
        <v>52266</v>
      </c>
    </row>
    <row r="7344" spans="30:30" ht="14" thickBot="1" x14ac:dyDescent="0.2">
      <c r="AD7344" s="98">
        <f t="shared" si="321"/>
        <v>52267</v>
      </c>
    </row>
    <row r="7345" spans="30:30" ht="14" thickBot="1" x14ac:dyDescent="0.2">
      <c r="AD7345" s="98">
        <f t="shared" si="321"/>
        <v>52268</v>
      </c>
    </row>
    <row r="7346" spans="30:30" ht="14" thickBot="1" x14ac:dyDescent="0.2">
      <c r="AD7346" s="98">
        <f t="shared" si="321"/>
        <v>52269</v>
      </c>
    </row>
    <row r="7347" spans="30:30" ht="14" thickBot="1" x14ac:dyDescent="0.2">
      <c r="AD7347" s="98">
        <f t="shared" si="321"/>
        <v>52270</v>
      </c>
    </row>
    <row r="7348" spans="30:30" ht="14" thickBot="1" x14ac:dyDescent="0.2">
      <c r="AD7348" s="98">
        <f t="shared" si="321"/>
        <v>52271</v>
      </c>
    </row>
    <row r="7349" spans="30:30" ht="14" thickBot="1" x14ac:dyDescent="0.2">
      <c r="AD7349" s="98">
        <f t="shared" si="321"/>
        <v>52272</v>
      </c>
    </row>
    <row r="7350" spans="30:30" ht="14" thickBot="1" x14ac:dyDescent="0.2">
      <c r="AD7350" s="98">
        <f t="shared" si="321"/>
        <v>52273</v>
      </c>
    </row>
    <row r="7351" spans="30:30" ht="14" thickBot="1" x14ac:dyDescent="0.2">
      <c r="AD7351" s="98">
        <f t="shared" si="321"/>
        <v>52274</v>
      </c>
    </row>
    <row r="7352" spans="30:30" ht="14" thickBot="1" x14ac:dyDescent="0.2">
      <c r="AD7352" s="98">
        <f t="shared" si="321"/>
        <v>52275</v>
      </c>
    </row>
    <row r="7353" spans="30:30" ht="14" thickBot="1" x14ac:dyDescent="0.2">
      <c r="AD7353" s="98">
        <f t="shared" si="321"/>
        <v>52276</v>
      </c>
    </row>
    <row r="7354" spans="30:30" ht="14" thickBot="1" x14ac:dyDescent="0.2">
      <c r="AD7354" s="98">
        <f t="shared" si="321"/>
        <v>52277</v>
      </c>
    </row>
    <row r="7355" spans="30:30" ht="14" thickBot="1" x14ac:dyDescent="0.2">
      <c r="AD7355" s="98">
        <f t="shared" si="321"/>
        <v>52278</v>
      </c>
    </row>
    <row r="7356" spans="30:30" ht="14" thickBot="1" x14ac:dyDescent="0.2">
      <c r="AD7356" s="98">
        <f t="shared" si="321"/>
        <v>52279</v>
      </c>
    </row>
    <row r="7357" spans="30:30" ht="14" thickBot="1" x14ac:dyDescent="0.2">
      <c r="AD7357" s="98">
        <f t="shared" si="321"/>
        <v>52280</v>
      </c>
    </row>
    <row r="7358" spans="30:30" ht="14" thickBot="1" x14ac:dyDescent="0.2">
      <c r="AD7358" s="98">
        <f t="shared" si="321"/>
        <v>52281</v>
      </c>
    </row>
    <row r="7359" spans="30:30" ht="14" thickBot="1" x14ac:dyDescent="0.2">
      <c r="AD7359" s="98">
        <f t="shared" si="321"/>
        <v>52282</v>
      </c>
    </row>
    <row r="7360" spans="30:30" ht="14" thickBot="1" x14ac:dyDescent="0.2">
      <c r="AD7360" s="98">
        <f t="shared" si="321"/>
        <v>52283</v>
      </c>
    </row>
    <row r="7361" spans="30:30" ht="14" thickBot="1" x14ac:dyDescent="0.2">
      <c r="AD7361" s="98">
        <f t="shared" si="321"/>
        <v>52284</v>
      </c>
    </row>
    <row r="7362" spans="30:30" ht="14" thickBot="1" x14ac:dyDescent="0.2">
      <c r="AD7362" s="98">
        <f t="shared" si="321"/>
        <v>52285</v>
      </c>
    </row>
    <row r="7363" spans="30:30" ht="14" thickBot="1" x14ac:dyDescent="0.2">
      <c r="AD7363" s="98">
        <f t="shared" si="321"/>
        <v>52286</v>
      </c>
    </row>
    <row r="7364" spans="30:30" ht="14" thickBot="1" x14ac:dyDescent="0.2">
      <c r="AD7364" s="98">
        <f t="shared" si="321"/>
        <v>52287</v>
      </c>
    </row>
    <row r="7365" spans="30:30" ht="14" thickBot="1" x14ac:dyDescent="0.2">
      <c r="AD7365" s="98">
        <f t="shared" si="321"/>
        <v>52288</v>
      </c>
    </row>
    <row r="7366" spans="30:30" ht="14" thickBot="1" x14ac:dyDescent="0.2">
      <c r="AD7366" s="98">
        <f t="shared" si="321"/>
        <v>52289</v>
      </c>
    </row>
    <row r="7367" spans="30:30" ht="14" thickBot="1" x14ac:dyDescent="0.2">
      <c r="AD7367" s="98">
        <f t="shared" si="321"/>
        <v>52290</v>
      </c>
    </row>
    <row r="7368" spans="30:30" ht="14" thickBot="1" x14ac:dyDescent="0.2">
      <c r="AD7368" s="98">
        <f t="shared" si="321"/>
        <v>52291</v>
      </c>
    </row>
    <row r="7369" spans="30:30" ht="14" thickBot="1" x14ac:dyDescent="0.2">
      <c r="AD7369" s="98">
        <f t="shared" ref="AD7369:AD7432" si="322">AD7368+1</f>
        <v>52292</v>
      </c>
    </row>
    <row r="7370" spans="30:30" ht="14" thickBot="1" x14ac:dyDescent="0.2">
      <c r="AD7370" s="98">
        <f t="shared" si="322"/>
        <v>52293</v>
      </c>
    </row>
    <row r="7371" spans="30:30" ht="14" thickBot="1" x14ac:dyDescent="0.2">
      <c r="AD7371" s="98">
        <f t="shared" si="322"/>
        <v>52294</v>
      </c>
    </row>
    <row r="7372" spans="30:30" ht="14" thickBot="1" x14ac:dyDescent="0.2">
      <c r="AD7372" s="98">
        <f t="shared" si="322"/>
        <v>52295</v>
      </c>
    </row>
    <row r="7373" spans="30:30" ht="14" thickBot="1" x14ac:dyDescent="0.2">
      <c r="AD7373" s="98">
        <f t="shared" si="322"/>
        <v>52296</v>
      </c>
    </row>
    <row r="7374" spans="30:30" ht="14" thickBot="1" x14ac:dyDescent="0.2">
      <c r="AD7374" s="98">
        <f t="shared" si="322"/>
        <v>52297</v>
      </c>
    </row>
    <row r="7375" spans="30:30" ht="14" thickBot="1" x14ac:dyDescent="0.2">
      <c r="AD7375" s="98">
        <f t="shared" si="322"/>
        <v>52298</v>
      </c>
    </row>
    <row r="7376" spans="30:30" ht="14" thickBot="1" x14ac:dyDescent="0.2">
      <c r="AD7376" s="98">
        <f t="shared" si="322"/>
        <v>52299</v>
      </c>
    </row>
    <row r="7377" spans="30:30" ht="14" thickBot="1" x14ac:dyDescent="0.2">
      <c r="AD7377" s="98">
        <f t="shared" si="322"/>
        <v>52300</v>
      </c>
    </row>
    <row r="7378" spans="30:30" ht="14" thickBot="1" x14ac:dyDescent="0.2">
      <c r="AD7378" s="98">
        <f t="shared" si="322"/>
        <v>52301</v>
      </c>
    </row>
    <row r="7379" spans="30:30" ht="14" thickBot="1" x14ac:dyDescent="0.2">
      <c r="AD7379" s="98">
        <f t="shared" si="322"/>
        <v>52302</v>
      </c>
    </row>
    <row r="7380" spans="30:30" ht="14" thickBot="1" x14ac:dyDescent="0.2">
      <c r="AD7380" s="98">
        <f t="shared" si="322"/>
        <v>52303</v>
      </c>
    </row>
    <row r="7381" spans="30:30" ht="14" thickBot="1" x14ac:dyDescent="0.2">
      <c r="AD7381" s="98">
        <f t="shared" si="322"/>
        <v>52304</v>
      </c>
    </row>
    <row r="7382" spans="30:30" ht="14" thickBot="1" x14ac:dyDescent="0.2">
      <c r="AD7382" s="98">
        <f t="shared" si="322"/>
        <v>52305</v>
      </c>
    </row>
    <row r="7383" spans="30:30" ht="14" thickBot="1" x14ac:dyDescent="0.2">
      <c r="AD7383" s="98">
        <f t="shared" si="322"/>
        <v>52306</v>
      </c>
    </row>
    <row r="7384" spans="30:30" ht="14" thickBot="1" x14ac:dyDescent="0.2">
      <c r="AD7384" s="98">
        <f t="shared" si="322"/>
        <v>52307</v>
      </c>
    </row>
    <row r="7385" spans="30:30" ht="14" thickBot="1" x14ac:dyDescent="0.2">
      <c r="AD7385" s="98">
        <f t="shared" si="322"/>
        <v>52308</v>
      </c>
    </row>
    <row r="7386" spans="30:30" ht="14" thickBot="1" x14ac:dyDescent="0.2">
      <c r="AD7386" s="98">
        <f t="shared" si="322"/>
        <v>52309</v>
      </c>
    </row>
    <row r="7387" spans="30:30" ht="14" thickBot="1" x14ac:dyDescent="0.2">
      <c r="AD7387" s="98">
        <f t="shared" si="322"/>
        <v>52310</v>
      </c>
    </row>
    <row r="7388" spans="30:30" ht="14" thickBot="1" x14ac:dyDescent="0.2">
      <c r="AD7388" s="98">
        <f t="shared" si="322"/>
        <v>52311</v>
      </c>
    </row>
    <row r="7389" spans="30:30" ht="14" thickBot="1" x14ac:dyDescent="0.2">
      <c r="AD7389" s="98">
        <f t="shared" si="322"/>
        <v>52312</v>
      </c>
    </row>
    <row r="7390" spans="30:30" ht="14" thickBot="1" x14ac:dyDescent="0.2">
      <c r="AD7390" s="98">
        <f t="shared" si="322"/>
        <v>52313</v>
      </c>
    </row>
    <row r="7391" spans="30:30" ht="14" thickBot="1" x14ac:dyDescent="0.2">
      <c r="AD7391" s="98">
        <f t="shared" si="322"/>
        <v>52314</v>
      </c>
    </row>
    <row r="7392" spans="30:30" ht="14" thickBot="1" x14ac:dyDescent="0.2">
      <c r="AD7392" s="98">
        <f t="shared" si="322"/>
        <v>52315</v>
      </c>
    </row>
    <row r="7393" spans="30:30" ht="14" thickBot="1" x14ac:dyDescent="0.2">
      <c r="AD7393" s="98">
        <f t="shared" si="322"/>
        <v>52316</v>
      </c>
    </row>
    <row r="7394" spans="30:30" ht="14" thickBot="1" x14ac:dyDescent="0.2">
      <c r="AD7394" s="98">
        <f t="shared" si="322"/>
        <v>52317</v>
      </c>
    </row>
    <row r="7395" spans="30:30" ht="14" thickBot="1" x14ac:dyDescent="0.2">
      <c r="AD7395" s="98">
        <f t="shared" si="322"/>
        <v>52318</v>
      </c>
    </row>
    <row r="7396" spans="30:30" ht="14" thickBot="1" x14ac:dyDescent="0.2">
      <c r="AD7396" s="98">
        <f t="shared" si="322"/>
        <v>52319</v>
      </c>
    </row>
    <row r="7397" spans="30:30" ht="14" thickBot="1" x14ac:dyDescent="0.2">
      <c r="AD7397" s="98">
        <f t="shared" si="322"/>
        <v>52320</v>
      </c>
    </row>
    <row r="7398" spans="30:30" ht="14" thickBot="1" x14ac:dyDescent="0.2">
      <c r="AD7398" s="98">
        <f t="shared" si="322"/>
        <v>52321</v>
      </c>
    </row>
    <row r="7399" spans="30:30" ht="14" thickBot="1" x14ac:dyDescent="0.2">
      <c r="AD7399" s="98">
        <f t="shared" si="322"/>
        <v>52322</v>
      </c>
    </row>
    <row r="7400" spans="30:30" ht="14" thickBot="1" x14ac:dyDescent="0.2">
      <c r="AD7400" s="98">
        <f t="shared" si="322"/>
        <v>52323</v>
      </c>
    </row>
    <row r="7401" spans="30:30" ht="14" thickBot="1" x14ac:dyDescent="0.2">
      <c r="AD7401" s="98">
        <f t="shared" si="322"/>
        <v>52324</v>
      </c>
    </row>
    <row r="7402" spans="30:30" ht="14" thickBot="1" x14ac:dyDescent="0.2">
      <c r="AD7402" s="98">
        <f t="shared" si="322"/>
        <v>52325</v>
      </c>
    </row>
    <row r="7403" spans="30:30" ht="14" thickBot="1" x14ac:dyDescent="0.2">
      <c r="AD7403" s="98">
        <f t="shared" si="322"/>
        <v>52326</v>
      </c>
    </row>
    <row r="7404" spans="30:30" ht="14" thickBot="1" x14ac:dyDescent="0.2">
      <c r="AD7404" s="98">
        <f t="shared" si="322"/>
        <v>52327</v>
      </c>
    </row>
    <row r="7405" spans="30:30" ht="14" thickBot="1" x14ac:dyDescent="0.2">
      <c r="AD7405" s="98">
        <f t="shared" si="322"/>
        <v>52328</v>
      </c>
    </row>
    <row r="7406" spans="30:30" ht="14" thickBot="1" x14ac:dyDescent="0.2">
      <c r="AD7406" s="98">
        <f t="shared" si="322"/>
        <v>52329</v>
      </c>
    </row>
    <row r="7407" spans="30:30" ht="14" thickBot="1" x14ac:dyDescent="0.2">
      <c r="AD7407" s="98">
        <f t="shared" si="322"/>
        <v>52330</v>
      </c>
    </row>
    <row r="7408" spans="30:30" ht="14" thickBot="1" x14ac:dyDescent="0.2">
      <c r="AD7408" s="98">
        <f t="shared" si="322"/>
        <v>52331</v>
      </c>
    </row>
    <row r="7409" spans="30:30" ht="14" thickBot="1" x14ac:dyDescent="0.2">
      <c r="AD7409" s="98">
        <f t="shared" si="322"/>
        <v>52332</v>
      </c>
    </row>
    <row r="7410" spans="30:30" ht="14" thickBot="1" x14ac:dyDescent="0.2">
      <c r="AD7410" s="98">
        <f t="shared" si="322"/>
        <v>52333</v>
      </c>
    </row>
    <row r="7411" spans="30:30" ht="14" thickBot="1" x14ac:dyDescent="0.2">
      <c r="AD7411" s="98">
        <f t="shared" si="322"/>
        <v>52334</v>
      </c>
    </row>
    <row r="7412" spans="30:30" ht="14" thickBot="1" x14ac:dyDescent="0.2">
      <c r="AD7412" s="98">
        <f t="shared" si="322"/>
        <v>52335</v>
      </c>
    </row>
    <row r="7413" spans="30:30" ht="14" thickBot="1" x14ac:dyDescent="0.2">
      <c r="AD7413" s="98">
        <f t="shared" si="322"/>
        <v>52336</v>
      </c>
    </row>
    <row r="7414" spans="30:30" ht="14" thickBot="1" x14ac:dyDescent="0.2">
      <c r="AD7414" s="98">
        <f t="shared" si="322"/>
        <v>52337</v>
      </c>
    </row>
    <row r="7415" spans="30:30" ht="14" thickBot="1" x14ac:dyDescent="0.2">
      <c r="AD7415" s="98">
        <f t="shared" si="322"/>
        <v>52338</v>
      </c>
    </row>
    <row r="7416" spans="30:30" ht="14" thickBot="1" x14ac:dyDescent="0.2">
      <c r="AD7416" s="98">
        <f t="shared" si="322"/>
        <v>52339</v>
      </c>
    </row>
    <row r="7417" spans="30:30" ht="14" thickBot="1" x14ac:dyDescent="0.2">
      <c r="AD7417" s="98">
        <f t="shared" si="322"/>
        <v>52340</v>
      </c>
    </row>
    <row r="7418" spans="30:30" ht="14" thickBot="1" x14ac:dyDescent="0.2">
      <c r="AD7418" s="98">
        <f t="shared" si="322"/>
        <v>52341</v>
      </c>
    </row>
    <row r="7419" spans="30:30" ht="14" thickBot="1" x14ac:dyDescent="0.2">
      <c r="AD7419" s="98">
        <f t="shared" si="322"/>
        <v>52342</v>
      </c>
    </row>
    <row r="7420" spans="30:30" ht="14" thickBot="1" x14ac:dyDescent="0.2">
      <c r="AD7420" s="98">
        <f t="shared" si="322"/>
        <v>52343</v>
      </c>
    </row>
    <row r="7421" spans="30:30" ht="14" thickBot="1" x14ac:dyDescent="0.2">
      <c r="AD7421" s="98">
        <f t="shared" si="322"/>
        <v>52344</v>
      </c>
    </row>
    <row r="7422" spans="30:30" ht="14" thickBot="1" x14ac:dyDescent="0.2">
      <c r="AD7422" s="98">
        <f t="shared" si="322"/>
        <v>52345</v>
      </c>
    </row>
    <row r="7423" spans="30:30" ht="14" thickBot="1" x14ac:dyDescent="0.2">
      <c r="AD7423" s="98">
        <f t="shared" si="322"/>
        <v>52346</v>
      </c>
    </row>
    <row r="7424" spans="30:30" ht="14" thickBot="1" x14ac:dyDescent="0.2">
      <c r="AD7424" s="98">
        <f t="shared" si="322"/>
        <v>52347</v>
      </c>
    </row>
    <row r="7425" spans="30:30" ht="14" thickBot="1" x14ac:dyDescent="0.2">
      <c r="AD7425" s="98">
        <f t="shared" si="322"/>
        <v>52348</v>
      </c>
    </row>
    <row r="7426" spans="30:30" ht="14" thickBot="1" x14ac:dyDescent="0.2">
      <c r="AD7426" s="98">
        <f t="shared" si="322"/>
        <v>52349</v>
      </c>
    </row>
    <row r="7427" spans="30:30" ht="14" thickBot="1" x14ac:dyDescent="0.2">
      <c r="AD7427" s="98">
        <f t="shared" si="322"/>
        <v>52350</v>
      </c>
    </row>
    <row r="7428" spans="30:30" ht="14" thickBot="1" x14ac:dyDescent="0.2">
      <c r="AD7428" s="98">
        <f t="shared" si="322"/>
        <v>52351</v>
      </c>
    </row>
    <row r="7429" spans="30:30" ht="14" thickBot="1" x14ac:dyDescent="0.2">
      <c r="AD7429" s="98">
        <f t="shared" si="322"/>
        <v>52352</v>
      </c>
    </row>
    <row r="7430" spans="30:30" ht="14" thickBot="1" x14ac:dyDescent="0.2">
      <c r="AD7430" s="98">
        <f t="shared" si="322"/>
        <v>52353</v>
      </c>
    </row>
    <row r="7431" spans="30:30" ht="14" thickBot="1" x14ac:dyDescent="0.2">
      <c r="AD7431" s="98">
        <f t="shared" si="322"/>
        <v>52354</v>
      </c>
    </row>
    <row r="7432" spans="30:30" ht="14" thickBot="1" x14ac:dyDescent="0.2">
      <c r="AD7432" s="98">
        <f t="shared" si="322"/>
        <v>52355</v>
      </c>
    </row>
    <row r="7433" spans="30:30" ht="14" thickBot="1" x14ac:dyDescent="0.2">
      <c r="AD7433" s="98">
        <f t="shared" ref="AD7433:AD7496" si="323">AD7432+1</f>
        <v>52356</v>
      </c>
    </row>
    <row r="7434" spans="30:30" ht="14" thickBot="1" x14ac:dyDescent="0.2">
      <c r="AD7434" s="98">
        <f t="shared" si="323"/>
        <v>52357</v>
      </c>
    </row>
    <row r="7435" spans="30:30" ht="14" thickBot="1" x14ac:dyDescent="0.2">
      <c r="AD7435" s="98">
        <f t="shared" si="323"/>
        <v>52358</v>
      </c>
    </row>
    <row r="7436" spans="30:30" ht="14" thickBot="1" x14ac:dyDescent="0.2">
      <c r="AD7436" s="98">
        <f t="shared" si="323"/>
        <v>52359</v>
      </c>
    </row>
    <row r="7437" spans="30:30" ht="14" thickBot="1" x14ac:dyDescent="0.2">
      <c r="AD7437" s="98">
        <f t="shared" si="323"/>
        <v>52360</v>
      </c>
    </row>
    <row r="7438" spans="30:30" ht="14" thickBot="1" x14ac:dyDescent="0.2">
      <c r="AD7438" s="98">
        <f t="shared" si="323"/>
        <v>52361</v>
      </c>
    </row>
    <row r="7439" spans="30:30" ht="14" thickBot="1" x14ac:dyDescent="0.2">
      <c r="AD7439" s="98">
        <f t="shared" si="323"/>
        <v>52362</v>
      </c>
    </row>
    <row r="7440" spans="30:30" ht="14" thickBot="1" x14ac:dyDescent="0.2">
      <c r="AD7440" s="98">
        <f t="shared" si="323"/>
        <v>52363</v>
      </c>
    </row>
    <row r="7441" spans="30:30" ht="14" thickBot="1" x14ac:dyDescent="0.2">
      <c r="AD7441" s="98">
        <f t="shared" si="323"/>
        <v>52364</v>
      </c>
    </row>
    <row r="7442" spans="30:30" ht="14" thickBot="1" x14ac:dyDescent="0.2">
      <c r="AD7442" s="98">
        <f t="shared" si="323"/>
        <v>52365</v>
      </c>
    </row>
    <row r="7443" spans="30:30" ht="14" thickBot="1" x14ac:dyDescent="0.2">
      <c r="AD7443" s="98">
        <f t="shared" si="323"/>
        <v>52366</v>
      </c>
    </row>
    <row r="7444" spans="30:30" ht="14" thickBot="1" x14ac:dyDescent="0.2">
      <c r="AD7444" s="98">
        <f t="shared" si="323"/>
        <v>52367</v>
      </c>
    </row>
    <row r="7445" spans="30:30" ht="14" thickBot="1" x14ac:dyDescent="0.2">
      <c r="AD7445" s="98">
        <f t="shared" si="323"/>
        <v>52368</v>
      </c>
    </row>
    <row r="7446" spans="30:30" ht="14" thickBot="1" x14ac:dyDescent="0.2">
      <c r="AD7446" s="98">
        <f t="shared" si="323"/>
        <v>52369</v>
      </c>
    </row>
    <row r="7447" spans="30:30" ht="14" thickBot="1" x14ac:dyDescent="0.2">
      <c r="AD7447" s="98">
        <f t="shared" si="323"/>
        <v>52370</v>
      </c>
    </row>
    <row r="7448" spans="30:30" ht="14" thickBot="1" x14ac:dyDescent="0.2">
      <c r="AD7448" s="98">
        <f t="shared" si="323"/>
        <v>52371</v>
      </c>
    </row>
    <row r="7449" spans="30:30" ht="14" thickBot="1" x14ac:dyDescent="0.2">
      <c r="AD7449" s="98">
        <f t="shared" si="323"/>
        <v>52372</v>
      </c>
    </row>
    <row r="7450" spans="30:30" ht="14" thickBot="1" x14ac:dyDescent="0.2">
      <c r="AD7450" s="98">
        <f t="shared" si="323"/>
        <v>52373</v>
      </c>
    </row>
    <row r="7451" spans="30:30" ht="14" thickBot="1" x14ac:dyDescent="0.2">
      <c r="AD7451" s="98">
        <f t="shared" si="323"/>
        <v>52374</v>
      </c>
    </row>
    <row r="7452" spans="30:30" ht="14" thickBot="1" x14ac:dyDescent="0.2">
      <c r="AD7452" s="98">
        <f t="shared" si="323"/>
        <v>52375</v>
      </c>
    </row>
    <row r="7453" spans="30:30" ht="14" thickBot="1" x14ac:dyDescent="0.2">
      <c r="AD7453" s="98">
        <f t="shared" si="323"/>
        <v>52376</v>
      </c>
    </row>
    <row r="7454" spans="30:30" ht="14" thickBot="1" x14ac:dyDescent="0.2">
      <c r="AD7454" s="98">
        <f t="shared" si="323"/>
        <v>52377</v>
      </c>
    </row>
    <row r="7455" spans="30:30" ht="14" thickBot="1" x14ac:dyDescent="0.2">
      <c r="AD7455" s="98">
        <f t="shared" si="323"/>
        <v>52378</v>
      </c>
    </row>
    <row r="7456" spans="30:30" ht="14" thickBot="1" x14ac:dyDescent="0.2">
      <c r="AD7456" s="98">
        <f t="shared" si="323"/>
        <v>52379</v>
      </c>
    </row>
    <row r="7457" spans="30:30" ht="14" thickBot="1" x14ac:dyDescent="0.2">
      <c r="AD7457" s="98">
        <f t="shared" si="323"/>
        <v>52380</v>
      </c>
    </row>
    <row r="7458" spans="30:30" ht="14" thickBot="1" x14ac:dyDescent="0.2">
      <c r="AD7458" s="98">
        <f t="shared" si="323"/>
        <v>52381</v>
      </c>
    </row>
    <row r="7459" spans="30:30" ht="14" thickBot="1" x14ac:dyDescent="0.2">
      <c r="AD7459" s="98">
        <f t="shared" si="323"/>
        <v>52382</v>
      </c>
    </row>
    <row r="7460" spans="30:30" ht="14" thickBot="1" x14ac:dyDescent="0.2">
      <c r="AD7460" s="98">
        <f t="shared" si="323"/>
        <v>52383</v>
      </c>
    </row>
    <row r="7461" spans="30:30" ht="14" thickBot="1" x14ac:dyDescent="0.2">
      <c r="AD7461" s="98">
        <f t="shared" si="323"/>
        <v>52384</v>
      </c>
    </row>
    <row r="7462" spans="30:30" ht="14" thickBot="1" x14ac:dyDescent="0.2">
      <c r="AD7462" s="98">
        <f t="shared" si="323"/>
        <v>52385</v>
      </c>
    </row>
    <row r="7463" spans="30:30" ht="14" thickBot="1" x14ac:dyDescent="0.2">
      <c r="AD7463" s="98">
        <f t="shared" si="323"/>
        <v>52386</v>
      </c>
    </row>
    <row r="7464" spans="30:30" ht="14" thickBot="1" x14ac:dyDescent="0.2">
      <c r="AD7464" s="98">
        <f t="shared" si="323"/>
        <v>52387</v>
      </c>
    </row>
    <row r="7465" spans="30:30" ht="14" thickBot="1" x14ac:dyDescent="0.2">
      <c r="AD7465" s="98">
        <f t="shared" si="323"/>
        <v>52388</v>
      </c>
    </row>
    <row r="7466" spans="30:30" ht="14" thickBot="1" x14ac:dyDescent="0.2">
      <c r="AD7466" s="98">
        <f t="shared" si="323"/>
        <v>52389</v>
      </c>
    </row>
    <row r="7467" spans="30:30" ht="14" thickBot="1" x14ac:dyDescent="0.2">
      <c r="AD7467" s="98">
        <f t="shared" si="323"/>
        <v>52390</v>
      </c>
    </row>
    <row r="7468" spans="30:30" ht="14" thickBot="1" x14ac:dyDescent="0.2">
      <c r="AD7468" s="98">
        <f t="shared" si="323"/>
        <v>52391</v>
      </c>
    </row>
    <row r="7469" spans="30:30" ht="14" thickBot="1" x14ac:dyDescent="0.2">
      <c r="AD7469" s="98">
        <f t="shared" si="323"/>
        <v>52392</v>
      </c>
    </row>
    <row r="7470" spans="30:30" ht="14" thickBot="1" x14ac:dyDescent="0.2">
      <c r="AD7470" s="98">
        <f t="shared" si="323"/>
        <v>52393</v>
      </c>
    </row>
    <row r="7471" spans="30:30" ht="14" thickBot="1" x14ac:dyDescent="0.2">
      <c r="AD7471" s="98">
        <f t="shared" si="323"/>
        <v>52394</v>
      </c>
    </row>
    <row r="7472" spans="30:30" ht="14" thickBot="1" x14ac:dyDescent="0.2">
      <c r="AD7472" s="98">
        <f t="shared" si="323"/>
        <v>52395</v>
      </c>
    </row>
    <row r="7473" spans="30:30" ht="14" thickBot="1" x14ac:dyDescent="0.2">
      <c r="AD7473" s="98">
        <f t="shared" si="323"/>
        <v>52396</v>
      </c>
    </row>
    <row r="7474" spans="30:30" ht="14" thickBot="1" x14ac:dyDescent="0.2">
      <c r="AD7474" s="98">
        <f t="shared" si="323"/>
        <v>52397</v>
      </c>
    </row>
    <row r="7475" spans="30:30" ht="14" thickBot="1" x14ac:dyDescent="0.2">
      <c r="AD7475" s="98">
        <f t="shared" si="323"/>
        <v>52398</v>
      </c>
    </row>
    <row r="7476" spans="30:30" ht="14" thickBot="1" x14ac:dyDescent="0.2">
      <c r="AD7476" s="98">
        <f t="shared" si="323"/>
        <v>52399</v>
      </c>
    </row>
    <row r="7477" spans="30:30" ht="14" thickBot="1" x14ac:dyDescent="0.2">
      <c r="AD7477" s="98">
        <f t="shared" si="323"/>
        <v>52400</v>
      </c>
    </row>
    <row r="7478" spans="30:30" ht="14" thickBot="1" x14ac:dyDescent="0.2">
      <c r="AD7478" s="98">
        <f t="shared" si="323"/>
        <v>52401</v>
      </c>
    </row>
    <row r="7479" spans="30:30" ht="14" thickBot="1" x14ac:dyDescent="0.2">
      <c r="AD7479" s="98">
        <f t="shared" si="323"/>
        <v>52402</v>
      </c>
    </row>
    <row r="7480" spans="30:30" ht="14" thickBot="1" x14ac:dyDescent="0.2">
      <c r="AD7480" s="98">
        <f t="shared" si="323"/>
        <v>52403</v>
      </c>
    </row>
    <row r="7481" spans="30:30" ht="14" thickBot="1" x14ac:dyDescent="0.2">
      <c r="AD7481" s="98">
        <f t="shared" si="323"/>
        <v>52404</v>
      </c>
    </row>
    <row r="7482" spans="30:30" ht="14" thickBot="1" x14ac:dyDescent="0.2">
      <c r="AD7482" s="98">
        <f t="shared" si="323"/>
        <v>52405</v>
      </c>
    </row>
    <row r="7483" spans="30:30" ht="14" thickBot="1" x14ac:dyDescent="0.2">
      <c r="AD7483" s="98">
        <f t="shared" si="323"/>
        <v>52406</v>
      </c>
    </row>
    <row r="7484" spans="30:30" ht="14" thickBot="1" x14ac:dyDescent="0.2">
      <c r="AD7484" s="98">
        <f t="shared" si="323"/>
        <v>52407</v>
      </c>
    </row>
    <row r="7485" spans="30:30" ht="14" thickBot="1" x14ac:dyDescent="0.2">
      <c r="AD7485" s="98">
        <f t="shared" si="323"/>
        <v>52408</v>
      </c>
    </row>
    <row r="7486" spans="30:30" ht="14" thickBot="1" x14ac:dyDescent="0.2">
      <c r="AD7486" s="98">
        <f t="shared" si="323"/>
        <v>52409</v>
      </c>
    </row>
    <row r="7487" spans="30:30" ht="14" thickBot="1" x14ac:dyDescent="0.2">
      <c r="AD7487" s="98">
        <f t="shared" si="323"/>
        <v>52410</v>
      </c>
    </row>
    <row r="7488" spans="30:30" ht="14" thickBot="1" x14ac:dyDescent="0.2">
      <c r="AD7488" s="98">
        <f t="shared" si="323"/>
        <v>52411</v>
      </c>
    </row>
    <row r="7489" spans="30:30" ht="14" thickBot="1" x14ac:dyDescent="0.2">
      <c r="AD7489" s="98">
        <f t="shared" si="323"/>
        <v>52412</v>
      </c>
    </row>
    <row r="7490" spans="30:30" ht="14" thickBot="1" x14ac:dyDescent="0.2">
      <c r="AD7490" s="98">
        <f t="shared" si="323"/>
        <v>52413</v>
      </c>
    </row>
    <row r="7491" spans="30:30" ht="14" thickBot="1" x14ac:dyDescent="0.2">
      <c r="AD7491" s="98">
        <f t="shared" si="323"/>
        <v>52414</v>
      </c>
    </row>
    <row r="7492" spans="30:30" ht="14" thickBot="1" x14ac:dyDescent="0.2">
      <c r="AD7492" s="98">
        <f t="shared" si="323"/>
        <v>52415</v>
      </c>
    </row>
    <row r="7493" spans="30:30" ht="14" thickBot="1" x14ac:dyDescent="0.2">
      <c r="AD7493" s="98">
        <f t="shared" si="323"/>
        <v>52416</v>
      </c>
    </row>
    <row r="7494" spans="30:30" ht="14" thickBot="1" x14ac:dyDescent="0.2">
      <c r="AD7494" s="98">
        <f t="shared" si="323"/>
        <v>52417</v>
      </c>
    </row>
    <row r="7495" spans="30:30" ht="14" thickBot="1" x14ac:dyDescent="0.2">
      <c r="AD7495" s="98">
        <f t="shared" si="323"/>
        <v>52418</v>
      </c>
    </row>
    <row r="7496" spans="30:30" ht="14" thickBot="1" x14ac:dyDescent="0.2">
      <c r="AD7496" s="98">
        <f t="shared" si="323"/>
        <v>52419</v>
      </c>
    </row>
    <row r="7497" spans="30:30" ht="14" thickBot="1" x14ac:dyDescent="0.2">
      <c r="AD7497" s="98">
        <f t="shared" ref="AD7497:AD7560" si="324">AD7496+1</f>
        <v>52420</v>
      </c>
    </row>
    <row r="7498" spans="30:30" ht="14" thickBot="1" x14ac:dyDescent="0.2">
      <c r="AD7498" s="98">
        <f t="shared" si="324"/>
        <v>52421</v>
      </c>
    </row>
    <row r="7499" spans="30:30" ht="14" thickBot="1" x14ac:dyDescent="0.2">
      <c r="AD7499" s="98">
        <f t="shared" si="324"/>
        <v>52422</v>
      </c>
    </row>
    <row r="7500" spans="30:30" ht="14" thickBot="1" x14ac:dyDescent="0.2">
      <c r="AD7500" s="98">
        <f t="shared" si="324"/>
        <v>52423</v>
      </c>
    </row>
    <row r="7501" spans="30:30" ht="14" thickBot="1" x14ac:dyDescent="0.2">
      <c r="AD7501" s="98">
        <f t="shared" si="324"/>
        <v>52424</v>
      </c>
    </row>
    <row r="7502" spans="30:30" ht="14" thickBot="1" x14ac:dyDescent="0.2">
      <c r="AD7502" s="98">
        <f t="shared" si="324"/>
        <v>52425</v>
      </c>
    </row>
    <row r="7503" spans="30:30" ht="14" thickBot="1" x14ac:dyDescent="0.2">
      <c r="AD7503" s="98">
        <f t="shared" si="324"/>
        <v>52426</v>
      </c>
    </row>
    <row r="7504" spans="30:30" ht="14" thickBot="1" x14ac:dyDescent="0.2">
      <c r="AD7504" s="98">
        <f t="shared" si="324"/>
        <v>52427</v>
      </c>
    </row>
    <row r="7505" spans="30:30" ht="14" thickBot="1" x14ac:dyDescent="0.2">
      <c r="AD7505" s="98">
        <f t="shared" si="324"/>
        <v>52428</v>
      </c>
    </row>
    <row r="7506" spans="30:30" ht="14" thickBot="1" x14ac:dyDescent="0.2">
      <c r="AD7506" s="98">
        <f t="shared" si="324"/>
        <v>52429</v>
      </c>
    </row>
    <row r="7507" spans="30:30" ht="14" thickBot="1" x14ac:dyDescent="0.2">
      <c r="AD7507" s="98">
        <f t="shared" si="324"/>
        <v>52430</v>
      </c>
    </row>
    <row r="7508" spans="30:30" ht="14" thickBot="1" x14ac:dyDescent="0.2">
      <c r="AD7508" s="98">
        <f t="shared" si="324"/>
        <v>52431</v>
      </c>
    </row>
    <row r="7509" spans="30:30" ht="14" thickBot="1" x14ac:dyDescent="0.2">
      <c r="AD7509" s="98">
        <f t="shared" si="324"/>
        <v>52432</v>
      </c>
    </row>
    <row r="7510" spans="30:30" ht="14" thickBot="1" x14ac:dyDescent="0.2">
      <c r="AD7510" s="98">
        <f t="shared" si="324"/>
        <v>52433</v>
      </c>
    </row>
    <row r="7511" spans="30:30" ht="14" thickBot="1" x14ac:dyDescent="0.2">
      <c r="AD7511" s="98">
        <f t="shared" si="324"/>
        <v>52434</v>
      </c>
    </row>
    <row r="7512" spans="30:30" ht="14" thickBot="1" x14ac:dyDescent="0.2">
      <c r="AD7512" s="98">
        <f t="shared" si="324"/>
        <v>52435</v>
      </c>
    </row>
    <row r="7513" spans="30:30" ht="14" thickBot="1" x14ac:dyDescent="0.2">
      <c r="AD7513" s="98">
        <f t="shared" si="324"/>
        <v>52436</v>
      </c>
    </row>
    <row r="7514" spans="30:30" ht="14" thickBot="1" x14ac:dyDescent="0.2">
      <c r="AD7514" s="98">
        <f t="shared" si="324"/>
        <v>52437</v>
      </c>
    </row>
    <row r="7515" spans="30:30" ht="14" thickBot="1" x14ac:dyDescent="0.2">
      <c r="AD7515" s="98">
        <f t="shared" si="324"/>
        <v>52438</v>
      </c>
    </row>
    <row r="7516" spans="30:30" ht="14" thickBot="1" x14ac:dyDescent="0.2">
      <c r="AD7516" s="98">
        <f t="shared" si="324"/>
        <v>52439</v>
      </c>
    </row>
    <row r="7517" spans="30:30" ht="14" thickBot="1" x14ac:dyDescent="0.2">
      <c r="AD7517" s="98">
        <f t="shared" si="324"/>
        <v>52440</v>
      </c>
    </row>
    <row r="7518" spans="30:30" ht="14" thickBot="1" x14ac:dyDescent="0.2">
      <c r="AD7518" s="98">
        <f t="shared" si="324"/>
        <v>52441</v>
      </c>
    </row>
    <row r="7519" spans="30:30" ht="14" thickBot="1" x14ac:dyDescent="0.2">
      <c r="AD7519" s="98">
        <f t="shared" si="324"/>
        <v>52442</v>
      </c>
    </row>
    <row r="7520" spans="30:30" ht="14" thickBot="1" x14ac:dyDescent="0.2">
      <c r="AD7520" s="98">
        <f t="shared" si="324"/>
        <v>52443</v>
      </c>
    </row>
    <row r="7521" spans="30:30" ht="14" thickBot="1" x14ac:dyDescent="0.2">
      <c r="AD7521" s="98">
        <f t="shared" si="324"/>
        <v>52444</v>
      </c>
    </row>
    <row r="7522" spans="30:30" ht="14" thickBot="1" x14ac:dyDescent="0.2">
      <c r="AD7522" s="98">
        <f t="shared" si="324"/>
        <v>52445</v>
      </c>
    </row>
    <row r="7523" spans="30:30" ht="14" thickBot="1" x14ac:dyDescent="0.2">
      <c r="AD7523" s="98">
        <f t="shared" si="324"/>
        <v>52446</v>
      </c>
    </row>
    <row r="7524" spans="30:30" ht="14" thickBot="1" x14ac:dyDescent="0.2">
      <c r="AD7524" s="98">
        <f t="shared" si="324"/>
        <v>52447</v>
      </c>
    </row>
    <row r="7525" spans="30:30" ht="14" thickBot="1" x14ac:dyDescent="0.2">
      <c r="AD7525" s="98">
        <f t="shared" si="324"/>
        <v>52448</v>
      </c>
    </row>
    <row r="7526" spans="30:30" ht="14" thickBot="1" x14ac:dyDescent="0.2">
      <c r="AD7526" s="98">
        <f t="shared" si="324"/>
        <v>52449</v>
      </c>
    </row>
    <row r="7527" spans="30:30" ht="14" thickBot="1" x14ac:dyDescent="0.2">
      <c r="AD7527" s="98">
        <f t="shared" si="324"/>
        <v>52450</v>
      </c>
    </row>
    <row r="7528" spans="30:30" ht="14" thickBot="1" x14ac:dyDescent="0.2">
      <c r="AD7528" s="98">
        <f t="shared" si="324"/>
        <v>52451</v>
      </c>
    </row>
    <row r="7529" spans="30:30" ht="14" thickBot="1" x14ac:dyDescent="0.2">
      <c r="AD7529" s="98">
        <f t="shared" si="324"/>
        <v>52452</v>
      </c>
    </row>
    <row r="7530" spans="30:30" ht="14" thickBot="1" x14ac:dyDescent="0.2">
      <c r="AD7530" s="98">
        <f t="shared" si="324"/>
        <v>52453</v>
      </c>
    </row>
    <row r="7531" spans="30:30" ht="14" thickBot="1" x14ac:dyDescent="0.2">
      <c r="AD7531" s="98">
        <f t="shared" si="324"/>
        <v>52454</v>
      </c>
    </row>
    <row r="7532" spans="30:30" ht="14" thickBot="1" x14ac:dyDescent="0.2">
      <c r="AD7532" s="98">
        <f t="shared" si="324"/>
        <v>52455</v>
      </c>
    </row>
    <row r="7533" spans="30:30" ht="14" thickBot="1" x14ac:dyDescent="0.2">
      <c r="AD7533" s="98">
        <f t="shared" si="324"/>
        <v>52456</v>
      </c>
    </row>
    <row r="7534" spans="30:30" ht="14" thickBot="1" x14ac:dyDescent="0.2">
      <c r="AD7534" s="98">
        <f t="shared" si="324"/>
        <v>52457</v>
      </c>
    </row>
    <row r="7535" spans="30:30" ht="14" thickBot="1" x14ac:dyDescent="0.2">
      <c r="AD7535" s="98">
        <f t="shared" si="324"/>
        <v>52458</v>
      </c>
    </row>
    <row r="7536" spans="30:30" ht="14" thickBot="1" x14ac:dyDescent="0.2">
      <c r="AD7536" s="98">
        <f t="shared" si="324"/>
        <v>52459</v>
      </c>
    </row>
    <row r="7537" spans="30:30" ht="14" thickBot="1" x14ac:dyDescent="0.2">
      <c r="AD7537" s="98">
        <f t="shared" si="324"/>
        <v>52460</v>
      </c>
    </row>
    <row r="7538" spans="30:30" ht="14" thickBot="1" x14ac:dyDescent="0.2">
      <c r="AD7538" s="98">
        <f t="shared" si="324"/>
        <v>52461</v>
      </c>
    </row>
    <row r="7539" spans="30:30" ht="14" thickBot="1" x14ac:dyDescent="0.2">
      <c r="AD7539" s="98">
        <f t="shared" si="324"/>
        <v>52462</v>
      </c>
    </row>
    <row r="7540" spans="30:30" ht="14" thickBot="1" x14ac:dyDescent="0.2">
      <c r="AD7540" s="98">
        <f t="shared" si="324"/>
        <v>52463</v>
      </c>
    </row>
    <row r="7541" spans="30:30" ht="14" thickBot="1" x14ac:dyDescent="0.2">
      <c r="AD7541" s="98">
        <f t="shared" si="324"/>
        <v>52464</v>
      </c>
    </row>
    <row r="7542" spans="30:30" ht="14" thickBot="1" x14ac:dyDescent="0.2">
      <c r="AD7542" s="98">
        <f t="shared" si="324"/>
        <v>52465</v>
      </c>
    </row>
    <row r="7543" spans="30:30" ht="14" thickBot="1" x14ac:dyDescent="0.2">
      <c r="AD7543" s="98">
        <f t="shared" si="324"/>
        <v>52466</v>
      </c>
    </row>
    <row r="7544" spans="30:30" ht="14" thickBot="1" x14ac:dyDescent="0.2">
      <c r="AD7544" s="98">
        <f t="shared" si="324"/>
        <v>52467</v>
      </c>
    </row>
    <row r="7545" spans="30:30" ht="14" thickBot="1" x14ac:dyDescent="0.2">
      <c r="AD7545" s="98">
        <f t="shared" si="324"/>
        <v>52468</v>
      </c>
    </row>
    <row r="7546" spans="30:30" ht="14" thickBot="1" x14ac:dyDescent="0.2">
      <c r="AD7546" s="98">
        <f t="shared" si="324"/>
        <v>52469</v>
      </c>
    </row>
    <row r="7547" spans="30:30" ht="14" thickBot="1" x14ac:dyDescent="0.2">
      <c r="AD7547" s="98">
        <f t="shared" si="324"/>
        <v>52470</v>
      </c>
    </row>
    <row r="7548" spans="30:30" ht="14" thickBot="1" x14ac:dyDescent="0.2">
      <c r="AD7548" s="98">
        <f t="shared" si="324"/>
        <v>52471</v>
      </c>
    </row>
    <row r="7549" spans="30:30" ht="14" thickBot="1" x14ac:dyDescent="0.2">
      <c r="AD7549" s="98">
        <f t="shared" si="324"/>
        <v>52472</v>
      </c>
    </row>
    <row r="7550" spans="30:30" ht="14" thickBot="1" x14ac:dyDescent="0.2">
      <c r="AD7550" s="98">
        <f t="shared" si="324"/>
        <v>52473</v>
      </c>
    </row>
    <row r="7551" spans="30:30" ht="14" thickBot="1" x14ac:dyDescent="0.2">
      <c r="AD7551" s="98">
        <f t="shared" si="324"/>
        <v>52474</v>
      </c>
    </row>
    <row r="7552" spans="30:30" ht="14" thickBot="1" x14ac:dyDescent="0.2">
      <c r="AD7552" s="98">
        <f t="shared" si="324"/>
        <v>52475</v>
      </c>
    </row>
    <row r="7553" spans="30:30" ht="14" thickBot="1" x14ac:dyDescent="0.2">
      <c r="AD7553" s="98">
        <f t="shared" si="324"/>
        <v>52476</v>
      </c>
    </row>
    <row r="7554" spans="30:30" ht="14" thickBot="1" x14ac:dyDescent="0.2">
      <c r="AD7554" s="98">
        <f t="shared" si="324"/>
        <v>52477</v>
      </c>
    </row>
    <row r="7555" spans="30:30" ht="14" thickBot="1" x14ac:dyDescent="0.2">
      <c r="AD7555" s="98">
        <f t="shared" si="324"/>
        <v>52478</v>
      </c>
    </row>
    <row r="7556" spans="30:30" ht="14" thickBot="1" x14ac:dyDescent="0.2">
      <c r="AD7556" s="98">
        <f t="shared" si="324"/>
        <v>52479</v>
      </c>
    </row>
    <row r="7557" spans="30:30" ht="14" thickBot="1" x14ac:dyDescent="0.2">
      <c r="AD7557" s="98">
        <f t="shared" si="324"/>
        <v>52480</v>
      </c>
    </row>
    <row r="7558" spans="30:30" ht="14" thickBot="1" x14ac:dyDescent="0.2">
      <c r="AD7558" s="98">
        <f t="shared" si="324"/>
        <v>52481</v>
      </c>
    </row>
    <row r="7559" spans="30:30" ht="14" thickBot="1" x14ac:dyDescent="0.2">
      <c r="AD7559" s="98">
        <f t="shared" si="324"/>
        <v>52482</v>
      </c>
    </row>
    <row r="7560" spans="30:30" ht="14" thickBot="1" x14ac:dyDescent="0.2">
      <c r="AD7560" s="98">
        <f t="shared" si="324"/>
        <v>52483</v>
      </c>
    </row>
    <row r="7561" spans="30:30" ht="14" thickBot="1" x14ac:dyDescent="0.2">
      <c r="AD7561" s="98">
        <f t="shared" ref="AD7561:AD7624" si="325">AD7560+1</f>
        <v>52484</v>
      </c>
    </row>
    <row r="7562" spans="30:30" ht="14" thickBot="1" x14ac:dyDescent="0.2">
      <c r="AD7562" s="98">
        <f t="shared" si="325"/>
        <v>52485</v>
      </c>
    </row>
    <row r="7563" spans="30:30" ht="14" thickBot="1" x14ac:dyDescent="0.2">
      <c r="AD7563" s="98">
        <f t="shared" si="325"/>
        <v>52486</v>
      </c>
    </row>
    <row r="7564" spans="30:30" ht="14" thickBot="1" x14ac:dyDescent="0.2">
      <c r="AD7564" s="98">
        <f t="shared" si="325"/>
        <v>52487</v>
      </c>
    </row>
    <row r="7565" spans="30:30" ht="14" thickBot="1" x14ac:dyDescent="0.2">
      <c r="AD7565" s="98">
        <f t="shared" si="325"/>
        <v>52488</v>
      </c>
    </row>
    <row r="7566" spans="30:30" ht="14" thickBot="1" x14ac:dyDescent="0.2">
      <c r="AD7566" s="98">
        <f t="shared" si="325"/>
        <v>52489</v>
      </c>
    </row>
    <row r="7567" spans="30:30" ht="14" thickBot="1" x14ac:dyDescent="0.2">
      <c r="AD7567" s="98">
        <f t="shared" si="325"/>
        <v>52490</v>
      </c>
    </row>
    <row r="7568" spans="30:30" ht="14" thickBot="1" x14ac:dyDescent="0.2">
      <c r="AD7568" s="98">
        <f t="shared" si="325"/>
        <v>52491</v>
      </c>
    </row>
    <row r="7569" spans="30:30" ht="14" thickBot="1" x14ac:dyDescent="0.2">
      <c r="AD7569" s="98">
        <f t="shared" si="325"/>
        <v>52492</v>
      </c>
    </row>
    <row r="7570" spans="30:30" ht="14" thickBot="1" x14ac:dyDescent="0.2">
      <c r="AD7570" s="98">
        <f t="shared" si="325"/>
        <v>52493</v>
      </c>
    </row>
    <row r="7571" spans="30:30" ht="14" thickBot="1" x14ac:dyDescent="0.2">
      <c r="AD7571" s="98">
        <f t="shared" si="325"/>
        <v>52494</v>
      </c>
    </row>
    <row r="7572" spans="30:30" ht="14" thickBot="1" x14ac:dyDescent="0.2">
      <c r="AD7572" s="98">
        <f t="shared" si="325"/>
        <v>52495</v>
      </c>
    </row>
    <row r="7573" spans="30:30" ht="14" thickBot="1" x14ac:dyDescent="0.2">
      <c r="AD7573" s="98">
        <f t="shared" si="325"/>
        <v>52496</v>
      </c>
    </row>
    <row r="7574" spans="30:30" ht="14" thickBot="1" x14ac:dyDescent="0.2">
      <c r="AD7574" s="98">
        <f t="shared" si="325"/>
        <v>52497</v>
      </c>
    </row>
    <row r="7575" spans="30:30" ht="14" thickBot="1" x14ac:dyDescent="0.2">
      <c r="AD7575" s="98">
        <f t="shared" si="325"/>
        <v>52498</v>
      </c>
    </row>
    <row r="7576" spans="30:30" ht="14" thickBot="1" x14ac:dyDescent="0.2">
      <c r="AD7576" s="98">
        <f t="shared" si="325"/>
        <v>52499</v>
      </c>
    </row>
    <row r="7577" spans="30:30" ht="14" thickBot="1" x14ac:dyDescent="0.2">
      <c r="AD7577" s="98">
        <f t="shared" si="325"/>
        <v>52500</v>
      </c>
    </row>
    <row r="7578" spans="30:30" ht="14" thickBot="1" x14ac:dyDescent="0.2">
      <c r="AD7578" s="98">
        <f t="shared" si="325"/>
        <v>52501</v>
      </c>
    </row>
    <row r="7579" spans="30:30" ht="14" thickBot="1" x14ac:dyDescent="0.2">
      <c r="AD7579" s="98">
        <f t="shared" si="325"/>
        <v>52502</v>
      </c>
    </row>
    <row r="7580" spans="30:30" ht="14" thickBot="1" x14ac:dyDescent="0.2">
      <c r="AD7580" s="98">
        <f t="shared" si="325"/>
        <v>52503</v>
      </c>
    </row>
    <row r="7581" spans="30:30" ht="14" thickBot="1" x14ac:dyDescent="0.2">
      <c r="AD7581" s="98">
        <f t="shared" si="325"/>
        <v>52504</v>
      </c>
    </row>
    <row r="7582" spans="30:30" ht="14" thickBot="1" x14ac:dyDescent="0.2">
      <c r="AD7582" s="98">
        <f t="shared" si="325"/>
        <v>52505</v>
      </c>
    </row>
    <row r="7583" spans="30:30" ht="14" thickBot="1" x14ac:dyDescent="0.2">
      <c r="AD7583" s="98">
        <f t="shared" si="325"/>
        <v>52506</v>
      </c>
    </row>
    <row r="7584" spans="30:30" ht="14" thickBot="1" x14ac:dyDescent="0.2">
      <c r="AD7584" s="98">
        <f t="shared" si="325"/>
        <v>52507</v>
      </c>
    </row>
    <row r="7585" spans="30:30" ht="14" thickBot="1" x14ac:dyDescent="0.2">
      <c r="AD7585" s="98">
        <f t="shared" si="325"/>
        <v>52508</v>
      </c>
    </row>
    <row r="7586" spans="30:30" ht="14" thickBot="1" x14ac:dyDescent="0.2">
      <c r="AD7586" s="98">
        <f t="shared" si="325"/>
        <v>52509</v>
      </c>
    </row>
    <row r="7587" spans="30:30" ht="14" thickBot="1" x14ac:dyDescent="0.2">
      <c r="AD7587" s="98">
        <f t="shared" si="325"/>
        <v>52510</v>
      </c>
    </row>
    <row r="7588" spans="30:30" ht="14" thickBot="1" x14ac:dyDescent="0.2">
      <c r="AD7588" s="98">
        <f t="shared" si="325"/>
        <v>52511</v>
      </c>
    </row>
    <row r="7589" spans="30:30" ht="14" thickBot="1" x14ac:dyDescent="0.2">
      <c r="AD7589" s="98">
        <f t="shared" si="325"/>
        <v>52512</v>
      </c>
    </row>
    <row r="7590" spans="30:30" ht="14" thickBot="1" x14ac:dyDescent="0.2">
      <c r="AD7590" s="98">
        <f t="shared" si="325"/>
        <v>52513</v>
      </c>
    </row>
    <row r="7591" spans="30:30" ht="14" thickBot="1" x14ac:dyDescent="0.2">
      <c r="AD7591" s="98">
        <f t="shared" si="325"/>
        <v>52514</v>
      </c>
    </row>
    <row r="7592" spans="30:30" ht="14" thickBot="1" x14ac:dyDescent="0.2">
      <c r="AD7592" s="98">
        <f t="shared" si="325"/>
        <v>52515</v>
      </c>
    </row>
    <row r="7593" spans="30:30" ht="14" thickBot="1" x14ac:dyDescent="0.2">
      <c r="AD7593" s="98">
        <f t="shared" si="325"/>
        <v>52516</v>
      </c>
    </row>
    <row r="7594" spans="30:30" ht="14" thickBot="1" x14ac:dyDescent="0.2">
      <c r="AD7594" s="98">
        <f t="shared" si="325"/>
        <v>52517</v>
      </c>
    </row>
    <row r="7595" spans="30:30" ht="14" thickBot="1" x14ac:dyDescent="0.2">
      <c r="AD7595" s="98">
        <f t="shared" si="325"/>
        <v>52518</v>
      </c>
    </row>
    <row r="7596" spans="30:30" ht="14" thickBot="1" x14ac:dyDescent="0.2">
      <c r="AD7596" s="98">
        <f t="shared" si="325"/>
        <v>52519</v>
      </c>
    </row>
    <row r="7597" spans="30:30" ht="14" thickBot="1" x14ac:dyDescent="0.2">
      <c r="AD7597" s="98">
        <f t="shared" si="325"/>
        <v>52520</v>
      </c>
    </row>
    <row r="7598" spans="30:30" ht="14" thickBot="1" x14ac:dyDescent="0.2">
      <c r="AD7598" s="98">
        <f t="shared" si="325"/>
        <v>52521</v>
      </c>
    </row>
    <row r="7599" spans="30:30" ht="14" thickBot="1" x14ac:dyDescent="0.2">
      <c r="AD7599" s="98">
        <f t="shared" si="325"/>
        <v>52522</v>
      </c>
    </row>
    <row r="7600" spans="30:30" ht="14" thickBot="1" x14ac:dyDescent="0.2">
      <c r="AD7600" s="98">
        <f t="shared" si="325"/>
        <v>52523</v>
      </c>
    </row>
    <row r="7601" spans="30:30" ht="14" thickBot="1" x14ac:dyDescent="0.2">
      <c r="AD7601" s="98">
        <f t="shared" si="325"/>
        <v>52524</v>
      </c>
    </row>
    <row r="7602" spans="30:30" ht="14" thickBot="1" x14ac:dyDescent="0.2">
      <c r="AD7602" s="98">
        <f t="shared" si="325"/>
        <v>52525</v>
      </c>
    </row>
    <row r="7603" spans="30:30" ht="14" thickBot="1" x14ac:dyDescent="0.2">
      <c r="AD7603" s="98">
        <f t="shared" si="325"/>
        <v>52526</v>
      </c>
    </row>
    <row r="7604" spans="30:30" ht="14" thickBot="1" x14ac:dyDescent="0.2">
      <c r="AD7604" s="98">
        <f t="shared" si="325"/>
        <v>52527</v>
      </c>
    </row>
    <row r="7605" spans="30:30" ht="14" thickBot="1" x14ac:dyDescent="0.2">
      <c r="AD7605" s="98">
        <f t="shared" si="325"/>
        <v>52528</v>
      </c>
    </row>
    <row r="7606" spans="30:30" ht="14" thickBot="1" x14ac:dyDescent="0.2">
      <c r="AD7606" s="98">
        <f t="shared" si="325"/>
        <v>52529</v>
      </c>
    </row>
    <row r="7607" spans="30:30" ht="14" thickBot="1" x14ac:dyDescent="0.2">
      <c r="AD7607" s="98">
        <f t="shared" si="325"/>
        <v>52530</v>
      </c>
    </row>
    <row r="7608" spans="30:30" ht="14" thickBot="1" x14ac:dyDescent="0.2">
      <c r="AD7608" s="98">
        <f t="shared" si="325"/>
        <v>52531</v>
      </c>
    </row>
    <row r="7609" spans="30:30" ht="14" thickBot="1" x14ac:dyDescent="0.2">
      <c r="AD7609" s="98">
        <f t="shared" si="325"/>
        <v>52532</v>
      </c>
    </row>
    <row r="7610" spans="30:30" ht="14" thickBot="1" x14ac:dyDescent="0.2">
      <c r="AD7610" s="98">
        <f t="shared" si="325"/>
        <v>52533</v>
      </c>
    </row>
    <row r="7611" spans="30:30" ht="14" thickBot="1" x14ac:dyDescent="0.2">
      <c r="AD7611" s="98">
        <f t="shared" si="325"/>
        <v>52534</v>
      </c>
    </row>
    <row r="7612" spans="30:30" ht="14" thickBot="1" x14ac:dyDescent="0.2">
      <c r="AD7612" s="98">
        <f t="shared" si="325"/>
        <v>52535</v>
      </c>
    </row>
    <row r="7613" spans="30:30" ht="14" thickBot="1" x14ac:dyDescent="0.2">
      <c r="AD7613" s="98">
        <f t="shared" si="325"/>
        <v>52536</v>
      </c>
    </row>
    <row r="7614" spans="30:30" ht="14" thickBot="1" x14ac:dyDescent="0.2">
      <c r="AD7614" s="98">
        <f t="shared" si="325"/>
        <v>52537</v>
      </c>
    </row>
    <row r="7615" spans="30:30" ht="14" thickBot="1" x14ac:dyDescent="0.2">
      <c r="AD7615" s="98">
        <f t="shared" si="325"/>
        <v>52538</v>
      </c>
    </row>
    <row r="7616" spans="30:30" ht="14" thickBot="1" x14ac:dyDescent="0.2">
      <c r="AD7616" s="98">
        <f t="shared" si="325"/>
        <v>52539</v>
      </c>
    </row>
    <row r="7617" spans="30:30" ht="14" thickBot="1" x14ac:dyDescent="0.2">
      <c r="AD7617" s="98">
        <f t="shared" si="325"/>
        <v>52540</v>
      </c>
    </row>
    <row r="7618" spans="30:30" ht="14" thickBot="1" x14ac:dyDescent="0.2">
      <c r="AD7618" s="98">
        <f t="shared" si="325"/>
        <v>52541</v>
      </c>
    </row>
    <row r="7619" spans="30:30" ht="14" thickBot="1" x14ac:dyDescent="0.2">
      <c r="AD7619" s="98">
        <f t="shared" si="325"/>
        <v>52542</v>
      </c>
    </row>
    <row r="7620" spans="30:30" ht="14" thickBot="1" x14ac:dyDescent="0.2">
      <c r="AD7620" s="98">
        <f t="shared" si="325"/>
        <v>52543</v>
      </c>
    </row>
    <row r="7621" spans="30:30" ht="14" thickBot="1" x14ac:dyDescent="0.2">
      <c r="AD7621" s="98">
        <f t="shared" si="325"/>
        <v>52544</v>
      </c>
    </row>
    <row r="7622" spans="30:30" ht="14" thickBot="1" x14ac:dyDescent="0.2">
      <c r="AD7622" s="98">
        <f t="shared" si="325"/>
        <v>52545</v>
      </c>
    </row>
    <row r="7623" spans="30:30" ht="14" thickBot="1" x14ac:dyDescent="0.2">
      <c r="AD7623" s="98">
        <f t="shared" si="325"/>
        <v>52546</v>
      </c>
    </row>
    <row r="7624" spans="30:30" ht="14" thickBot="1" x14ac:dyDescent="0.2">
      <c r="AD7624" s="98">
        <f t="shared" si="325"/>
        <v>52547</v>
      </c>
    </row>
    <row r="7625" spans="30:30" ht="14" thickBot="1" x14ac:dyDescent="0.2">
      <c r="AD7625" s="98">
        <f t="shared" ref="AD7625:AD7688" si="326">AD7624+1</f>
        <v>52548</v>
      </c>
    </row>
    <row r="7626" spans="30:30" ht="14" thickBot="1" x14ac:dyDescent="0.2">
      <c r="AD7626" s="98">
        <f t="shared" si="326"/>
        <v>52549</v>
      </c>
    </row>
    <row r="7627" spans="30:30" ht="14" thickBot="1" x14ac:dyDescent="0.2">
      <c r="AD7627" s="98">
        <f t="shared" si="326"/>
        <v>52550</v>
      </c>
    </row>
    <row r="7628" spans="30:30" ht="14" thickBot="1" x14ac:dyDescent="0.2">
      <c r="AD7628" s="98">
        <f t="shared" si="326"/>
        <v>52551</v>
      </c>
    </row>
    <row r="7629" spans="30:30" ht="14" thickBot="1" x14ac:dyDescent="0.2">
      <c r="AD7629" s="98">
        <f t="shared" si="326"/>
        <v>52552</v>
      </c>
    </row>
    <row r="7630" spans="30:30" ht="14" thickBot="1" x14ac:dyDescent="0.2">
      <c r="AD7630" s="98">
        <f t="shared" si="326"/>
        <v>52553</v>
      </c>
    </row>
    <row r="7631" spans="30:30" ht="14" thickBot="1" x14ac:dyDescent="0.2">
      <c r="AD7631" s="98">
        <f t="shared" si="326"/>
        <v>52554</v>
      </c>
    </row>
    <row r="7632" spans="30:30" ht="14" thickBot="1" x14ac:dyDescent="0.2">
      <c r="AD7632" s="98">
        <f t="shared" si="326"/>
        <v>52555</v>
      </c>
    </row>
    <row r="7633" spans="30:30" ht="14" thickBot="1" x14ac:dyDescent="0.2">
      <c r="AD7633" s="98">
        <f t="shared" si="326"/>
        <v>52556</v>
      </c>
    </row>
    <row r="7634" spans="30:30" ht="14" thickBot="1" x14ac:dyDescent="0.2">
      <c r="AD7634" s="98">
        <f t="shared" si="326"/>
        <v>52557</v>
      </c>
    </row>
    <row r="7635" spans="30:30" ht="14" thickBot="1" x14ac:dyDescent="0.2">
      <c r="AD7635" s="98">
        <f t="shared" si="326"/>
        <v>52558</v>
      </c>
    </row>
    <row r="7636" spans="30:30" ht="14" thickBot="1" x14ac:dyDescent="0.2">
      <c r="AD7636" s="98">
        <f t="shared" si="326"/>
        <v>52559</v>
      </c>
    </row>
    <row r="7637" spans="30:30" ht="14" thickBot="1" x14ac:dyDescent="0.2">
      <c r="AD7637" s="98">
        <f t="shared" si="326"/>
        <v>52560</v>
      </c>
    </row>
    <row r="7638" spans="30:30" ht="14" thickBot="1" x14ac:dyDescent="0.2">
      <c r="AD7638" s="98">
        <f t="shared" si="326"/>
        <v>52561</v>
      </c>
    </row>
    <row r="7639" spans="30:30" ht="14" thickBot="1" x14ac:dyDescent="0.2">
      <c r="AD7639" s="98">
        <f t="shared" si="326"/>
        <v>52562</v>
      </c>
    </row>
    <row r="7640" spans="30:30" ht="14" thickBot="1" x14ac:dyDescent="0.2">
      <c r="AD7640" s="98">
        <f t="shared" si="326"/>
        <v>52563</v>
      </c>
    </row>
    <row r="7641" spans="30:30" ht="14" thickBot="1" x14ac:dyDescent="0.2">
      <c r="AD7641" s="98">
        <f t="shared" si="326"/>
        <v>52564</v>
      </c>
    </row>
    <row r="7642" spans="30:30" ht="14" thickBot="1" x14ac:dyDescent="0.2">
      <c r="AD7642" s="98">
        <f t="shared" si="326"/>
        <v>52565</v>
      </c>
    </row>
    <row r="7643" spans="30:30" ht="14" thickBot="1" x14ac:dyDescent="0.2">
      <c r="AD7643" s="98">
        <f t="shared" si="326"/>
        <v>52566</v>
      </c>
    </row>
    <row r="7644" spans="30:30" ht="14" thickBot="1" x14ac:dyDescent="0.2">
      <c r="AD7644" s="98">
        <f t="shared" si="326"/>
        <v>52567</v>
      </c>
    </row>
    <row r="7645" spans="30:30" ht="14" thickBot="1" x14ac:dyDescent="0.2">
      <c r="AD7645" s="98">
        <f t="shared" si="326"/>
        <v>52568</v>
      </c>
    </row>
    <row r="7646" spans="30:30" ht="14" thickBot="1" x14ac:dyDescent="0.2">
      <c r="AD7646" s="98">
        <f t="shared" si="326"/>
        <v>52569</v>
      </c>
    </row>
    <row r="7647" spans="30:30" ht="14" thickBot="1" x14ac:dyDescent="0.2">
      <c r="AD7647" s="98">
        <f t="shared" si="326"/>
        <v>52570</v>
      </c>
    </row>
    <row r="7648" spans="30:30" ht="14" thickBot="1" x14ac:dyDescent="0.2">
      <c r="AD7648" s="98">
        <f t="shared" si="326"/>
        <v>52571</v>
      </c>
    </row>
    <row r="7649" spans="30:30" ht="14" thickBot="1" x14ac:dyDescent="0.2">
      <c r="AD7649" s="98">
        <f t="shared" si="326"/>
        <v>52572</v>
      </c>
    </row>
    <row r="7650" spans="30:30" ht="14" thickBot="1" x14ac:dyDescent="0.2">
      <c r="AD7650" s="98">
        <f t="shared" si="326"/>
        <v>52573</v>
      </c>
    </row>
    <row r="7651" spans="30:30" ht="14" thickBot="1" x14ac:dyDescent="0.2">
      <c r="AD7651" s="98">
        <f t="shared" si="326"/>
        <v>52574</v>
      </c>
    </row>
    <row r="7652" spans="30:30" ht="14" thickBot="1" x14ac:dyDescent="0.2">
      <c r="AD7652" s="98">
        <f t="shared" si="326"/>
        <v>52575</v>
      </c>
    </row>
    <row r="7653" spans="30:30" ht="14" thickBot="1" x14ac:dyDescent="0.2">
      <c r="AD7653" s="98">
        <f t="shared" si="326"/>
        <v>52576</v>
      </c>
    </row>
    <row r="7654" spans="30:30" ht="14" thickBot="1" x14ac:dyDescent="0.2">
      <c r="AD7654" s="98">
        <f t="shared" si="326"/>
        <v>52577</v>
      </c>
    </row>
    <row r="7655" spans="30:30" ht="14" thickBot="1" x14ac:dyDescent="0.2">
      <c r="AD7655" s="98">
        <f t="shared" si="326"/>
        <v>52578</v>
      </c>
    </row>
    <row r="7656" spans="30:30" ht="14" thickBot="1" x14ac:dyDescent="0.2">
      <c r="AD7656" s="98">
        <f t="shared" si="326"/>
        <v>52579</v>
      </c>
    </row>
    <row r="7657" spans="30:30" ht="14" thickBot="1" x14ac:dyDescent="0.2">
      <c r="AD7657" s="98">
        <f t="shared" si="326"/>
        <v>52580</v>
      </c>
    </row>
    <row r="7658" spans="30:30" ht="14" thickBot="1" x14ac:dyDescent="0.2">
      <c r="AD7658" s="98">
        <f t="shared" si="326"/>
        <v>52581</v>
      </c>
    </row>
    <row r="7659" spans="30:30" ht="14" thickBot="1" x14ac:dyDescent="0.2">
      <c r="AD7659" s="98">
        <f t="shared" si="326"/>
        <v>52582</v>
      </c>
    </row>
    <row r="7660" spans="30:30" ht="14" thickBot="1" x14ac:dyDescent="0.2">
      <c r="AD7660" s="98">
        <f t="shared" si="326"/>
        <v>52583</v>
      </c>
    </row>
    <row r="7661" spans="30:30" ht="14" thickBot="1" x14ac:dyDescent="0.2">
      <c r="AD7661" s="98">
        <f t="shared" si="326"/>
        <v>52584</v>
      </c>
    </row>
    <row r="7662" spans="30:30" ht="14" thickBot="1" x14ac:dyDescent="0.2">
      <c r="AD7662" s="98">
        <f t="shared" si="326"/>
        <v>52585</v>
      </c>
    </row>
    <row r="7663" spans="30:30" ht="14" thickBot="1" x14ac:dyDescent="0.2">
      <c r="AD7663" s="98">
        <f t="shared" si="326"/>
        <v>52586</v>
      </c>
    </row>
    <row r="7664" spans="30:30" ht="14" thickBot="1" x14ac:dyDescent="0.2">
      <c r="AD7664" s="98">
        <f t="shared" si="326"/>
        <v>52587</v>
      </c>
    </row>
    <row r="7665" spans="30:30" ht="14" thickBot="1" x14ac:dyDescent="0.2">
      <c r="AD7665" s="98">
        <f t="shared" si="326"/>
        <v>52588</v>
      </c>
    </row>
    <row r="7666" spans="30:30" ht="14" thickBot="1" x14ac:dyDescent="0.2">
      <c r="AD7666" s="98">
        <f t="shared" si="326"/>
        <v>52589</v>
      </c>
    </row>
    <row r="7667" spans="30:30" ht="14" thickBot="1" x14ac:dyDescent="0.2">
      <c r="AD7667" s="98">
        <f t="shared" si="326"/>
        <v>52590</v>
      </c>
    </row>
    <row r="7668" spans="30:30" ht="14" thickBot="1" x14ac:dyDescent="0.2">
      <c r="AD7668" s="98">
        <f t="shared" si="326"/>
        <v>52591</v>
      </c>
    </row>
    <row r="7669" spans="30:30" ht="14" thickBot="1" x14ac:dyDescent="0.2">
      <c r="AD7669" s="98">
        <f t="shared" si="326"/>
        <v>52592</v>
      </c>
    </row>
    <row r="7670" spans="30:30" ht="14" thickBot="1" x14ac:dyDescent="0.2">
      <c r="AD7670" s="98">
        <f t="shared" si="326"/>
        <v>52593</v>
      </c>
    </row>
    <row r="7671" spans="30:30" ht="14" thickBot="1" x14ac:dyDescent="0.2">
      <c r="AD7671" s="98">
        <f t="shared" si="326"/>
        <v>52594</v>
      </c>
    </row>
    <row r="7672" spans="30:30" ht="14" thickBot="1" x14ac:dyDescent="0.2">
      <c r="AD7672" s="98">
        <f t="shared" si="326"/>
        <v>52595</v>
      </c>
    </row>
    <row r="7673" spans="30:30" ht="14" thickBot="1" x14ac:dyDescent="0.2">
      <c r="AD7673" s="98">
        <f t="shared" si="326"/>
        <v>52596</v>
      </c>
    </row>
    <row r="7674" spans="30:30" ht="14" thickBot="1" x14ac:dyDescent="0.2">
      <c r="AD7674" s="98">
        <f t="shared" si="326"/>
        <v>52597</v>
      </c>
    </row>
    <row r="7675" spans="30:30" ht="14" thickBot="1" x14ac:dyDescent="0.2">
      <c r="AD7675" s="98">
        <f t="shared" si="326"/>
        <v>52598</v>
      </c>
    </row>
    <row r="7676" spans="30:30" ht="14" thickBot="1" x14ac:dyDescent="0.2">
      <c r="AD7676" s="98">
        <f t="shared" si="326"/>
        <v>52599</v>
      </c>
    </row>
    <row r="7677" spans="30:30" ht="14" thickBot="1" x14ac:dyDescent="0.2">
      <c r="AD7677" s="98">
        <f t="shared" si="326"/>
        <v>52600</v>
      </c>
    </row>
    <row r="7678" spans="30:30" ht="14" thickBot="1" x14ac:dyDescent="0.2">
      <c r="AD7678" s="98">
        <f t="shared" si="326"/>
        <v>52601</v>
      </c>
    </row>
    <row r="7679" spans="30:30" ht="14" thickBot="1" x14ac:dyDescent="0.2">
      <c r="AD7679" s="98">
        <f t="shared" si="326"/>
        <v>52602</v>
      </c>
    </row>
    <row r="7680" spans="30:30" ht="14" thickBot="1" x14ac:dyDescent="0.2">
      <c r="AD7680" s="98">
        <f t="shared" si="326"/>
        <v>52603</v>
      </c>
    </row>
    <row r="7681" spans="30:30" ht="14" thickBot="1" x14ac:dyDescent="0.2">
      <c r="AD7681" s="98">
        <f t="shared" si="326"/>
        <v>52604</v>
      </c>
    </row>
    <row r="7682" spans="30:30" ht="14" thickBot="1" x14ac:dyDescent="0.2">
      <c r="AD7682" s="98">
        <f t="shared" si="326"/>
        <v>52605</v>
      </c>
    </row>
    <row r="7683" spans="30:30" ht="14" thickBot="1" x14ac:dyDescent="0.2">
      <c r="AD7683" s="98">
        <f t="shared" si="326"/>
        <v>52606</v>
      </c>
    </row>
    <row r="7684" spans="30:30" ht="14" thickBot="1" x14ac:dyDescent="0.2">
      <c r="AD7684" s="98">
        <f t="shared" si="326"/>
        <v>52607</v>
      </c>
    </row>
    <row r="7685" spans="30:30" ht="14" thickBot="1" x14ac:dyDescent="0.2">
      <c r="AD7685" s="98">
        <f t="shared" si="326"/>
        <v>52608</v>
      </c>
    </row>
    <row r="7686" spans="30:30" ht="14" thickBot="1" x14ac:dyDescent="0.2">
      <c r="AD7686" s="98">
        <f t="shared" si="326"/>
        <v>52609</v>
      </c>
    </row>
    <row r="7687" spans="30:30" ht="14" thickBot="1" x14ac:dyDescent="0.2">
      <c r="AD7687" s="98">
        <f t="shared" si="326"/>
        <v>52610</v>
      </c>
    </row>
    <row r="7688" spans="30:30" ht="14" thickBot="1" x14ac:dyDescent="0.2">
      <c r="AD7688" s="98">
        <f t="shared" si="326"/>
        <v>52611</v>
      </c>
    </row>
    <row r="7689" spans="30:30" ht="14" thickBot="1" x14ac:dyDescent="0.2">
      <c r="AD7689" s="98">
        <f t="shared" ref="AD7689:AD7752" si="327">AD7688+1</f>
        <v>52612</v>
      </c>
    </row>
    <row r="7690" spans="30:30" ht="14" thickBot="1" x14ac:dyDescent="0.2">
      <c r="AD7690" s="98">
        <f t="shared" si="327"/>
        <v>52613</v>
      </c>
    </row>
    <row r="7691" spans="30:30" ht="14" thickBot="1" x14ac:dyDescent="0.2">
      <c r="AD7691" s="98">
        <f t="shared" si="327"/>
        <v>52614</v>
      </c>
    </row>
    <row r="7692" spans="30:30" ht="14" thickBot="1" x14ac:dyDescent="0.2">
      <c r="AD7692" s="98">
        <f t="shared" si="327"/>
        <v>52615</v>
      </c>
    </row>
    <row r="7693" spans="30:30" ht="14" thickBot="1" x14ac:dyDescent="0.2">
      <c r="AD7693" s="98">
        <f t="shared" si="327"/>
        <v>52616</v>
      </c>
    </row>
    <row r="7694" spans="30:30" ht="14" thickBot="1" x14ac:dyDescent="0.2">
      <c r="AD7694" s="98">
        <f t="shared" si="327"/>
        <v>52617</v>
      </c>
    </row>
    <row r="7695" spans="30:30" ht="14" thickBot="1" x14ac:dyDescent="0.2">
      <c r="AD7695" s="98">
        <f t="shared" si="327"/>
        <v>52618</v>
      </c>
    </row>
    <row r="7696" spans="30:30" ht="14" thickBot="1" x14ac:dyDescent="0.2">
      <c r="AD7696" s="98">
        <f t="shared" si="327"/>
        <v>52619</v>
      </c>
    </row>
    <row r="7697" spans="30:30" ht="14" thickBot="1" x14ac:dyDescent="0.2">
      <c r="AD7697" s="98">
        <f t="shared" si="327"/>
        <v>52620</v>
      </c>
    </row>
    <row r="7698" spans="30:30" ht="14" thickBot="1" x14ac:dyDescent="0.2">
      <c r="AD7698" s="98">
        <f t="shared" si="327"/>
        <v>52621</v>
      </c>
    </row>
    <row r="7699" spans="30:30" ht="14" thickBot="1" x14ac:dyDescent="0.2">
      <c r="AD7699" s="98">
        <f t="shared" si="327"/>
        <v>52622</v>
      </c>
    </row>
    <row r="7700" spans="30:30" ht="14" thickBot="1" x14ac:dyDescent="0.2">
      <c r="AD7700" s="98">
        <f t="shared" si="327"/>
        <v>52623</v>
      </c>
    </row>
    <row r="7701" spans="30:30" ht="14" thickBot="1" x14ac:dyDescent="0.2">
      <c r="AD7701" s="98">
        <f t="shared" si="327"/>
        <v>52624</v>
      </c>
    </row>
    <row r="7702" spans="30:30" ht="14" thickBot="1" x14ac:dyDescent="0.2">
      <c r="AD7702" s="98">
        <f t="shared" si="327"/>
        <v>52625</v>
      </c>
    </row>
    <row r="7703" spans="30:30" ht="14" thickBot="1" x14ac:dyDescent="0.2">
      <c r="AD7703" s="98">
        <f t="shared" si="327"/>
        <v>52626</v>
      </c>
    </row>
    <row r="7704" spans="30:30" ht="14" thickBot="1" x14ac:dyDescent="0.2">
      <c r="AD7704" s="98">
        <f t="shared" si="327"/>
        <v>52627</v>
      </c>
    </row>
    <row r="7705" spans="30:30" ht="14" thickBot="1" x14ac:dyDescent="0.2">
      <c r="AD7705" s="98">
        <f t="shared" si="327"/>
        <v>52628</v>
      </c>
    </row>
    <row r="7706" spans="30:30" ht="14" thickBot="1" x14ac:dyDescent="0.2">
      <c r="AD7706" s="98">
        <f t="shared" si="327"/>
        <v>52629</v>
      </c>
    </row>
    <row r="7707" spans="30:30" ht="14" thickBot="1" x14ac:dyDescent="0.2">
      <c r="AD7707" s="98">
        <f t="shared" si="327"/>
        <v>52630</v>
      </c>
    </row>
    <row r="7708" spans="30:30" ht="14" thickBot="1" x14ac:dyDescent="0.2">
      <c r="AD7708" s="98">
        <f t="shared" si="327"/>
        <v>52631</v>
      </c>
    </row>
    <row r="7709" spans="30:30" ht="14" thickBot="1" x14ac:dyDescent="0.2">
      <c r="AD7709" s="98">
        <f t="shared" si="327"/>
        <v>52632</v>
      </c>
    </row>
    <row r="7710" spans="30:30" ht="14" thickBot="1" x14ac:dyDescent="0.2">
      <c r="AD7710" s="98">
        <f t="shared" si="327"/>
        <v>52633</v>
      </c>
    </row>
    <row r="7711" spans="30:30" ht="14" thickBot="1" x14ac:dyDescent="0.2">
      <c r="AD7711" s="98">
        <f t="shared" si="327"/>
        <v>52634</v>
      </c>
    </row>
    <row r="7712" spans="30:30" ht="14" thickBot="1" x14ac:dyDescent="0.2">
      <c r="AD7712" s="98">
        <f t="shared" si="327"/>
        <v>52635</v>
      </c>
    </row>
    <row r="7713" spans="30:30" ht="14" thickBot="1" x14ac:dyDescent="0.2">
      <c r="AD7713" s="98">
        <f t="shared" si="327"/>
        <v>52636</v>
      </c>
    </row>
    <row r="7714" spans="30:30" ht="14" thickBot="1" x14ac:dyDescent="0.2">
      <c r="AD7714" s="98">
        <f t="shared" si="327"/>
        <v>52637</v>
      </c>
    </row>
    <row r="7715" spans="30:30" ht="14" thickBot="1" x14ac:dyDescent="0.2">
      <c r="AD7715" s="98">
        <f t="shared" si="327"/>
        <v>52638</v>
      </c>
    </row>
    <row r="7716" spans="30:30" ht="14" thickBot="1" x14ac:dyDescent="0.2">
      <c r="AD7716" s="98">
        <f t="shared" si="327"/>
        <v>52639</v>
      </c>
    </row>
    <row r="7717" spans="30:30" ht="14" thickBot="1" x14ac:dyDescent="0.2">
      <c r="AD7717" s="98">
        <f t="shared" si="327"/>
        <v>52640</v>
      </c>
    </row>
    <row r="7718" spans="30:30" ht="14" thickBot="1" x14ac:dyDescent="0.2">
      <c r="AD7718" s="98">
        <f t="shared" si="327"/>
        <v>52641</v>
      </c>
    </row>
    <row r="7719" spans="30:30" ht="14" thickBot="1" x14ac:dyDescent="0.2">
      <c r="AD7719" s="98">
        <f t="shared" si="327"/>
        <v>52642</v>
      </c>
    </row>
    <row r="7720" spans="30:30" ht="14" thickBot="1" x14ac:dyDescent="0.2">
      <c r="AD7720" s="98">
        <f t="shared" si="327"/>
        <v>52643</v>
      </c>
    </row>
    <row r="7721" spans="30:30" ht="14" thickBot="1" x14ac:dyDescent="0.2">
      <c r="AD7721" s="98">
        <f t="shared" si="327"/>
        <v>52644</v>
      </c>
    </row>
    <row r="7722" spans="30:30" ht="14" thickBot="1" x14ac:dyDescent="0.2">
      <c r="AD7722" s="98">
        <f t="shared" si="327"/>
        <v>52645</v>
      </c>
    </row>
    <row r="7723" spans="30:30" ht="14" thickBot="1" x14ac:dyDescent="0.2">
      <c r="AD7723" s="98">
        <f t="shared" si="327"/>
        <v>52646</v>
      </c>
    </row>
    <row r="7724" spans="30:30" ht="14" thickBot="1" x14ac:dyDescent="0.2">
      <c r="AD7724" s="98">
        <f t="shared" si="327"/>
        <v>52647</v>
      </c>
    </row>
    <row r="7725" spans="30:30" ht="14" thickBot="1" x14ac:dyDescent="0.2">
      <c r="AD7725" s="98">
        <f t="shared" si="327"/>
        <v>52648</v>
      </c>
    </row>
    <row r="7726" spans="30:30" ht="14" thickBot="1" x14ac:dyDescent="0.2">
      <c r="AD7726" s="98">
        <f t="shared" si="327"/>
        <v>52649</v>
      </c>
    </row>
    <row r="7727" spans="30:30" ht="14" thickBot="1" x14ac:dyDescent="0.2">
      <c r="AD7727" s="98">
        <f t="shared" si="327"/>
        <v>52650</v>
      </c>
    </row>
    <row r="7728" spans="30:30" ht="14" thickBot="1" x14ac:dyDescent="0.2">
      <c r="AD7728" s="98">
        <f t="shared" si="327"/>
        <v>52651</v>
      </c>
    </row>
    <row r="7729" spans="30:30" ht="14" thickBot="1" x14ac:dyDescent="0.2">
      <c r="AD7729" s="98">
        <f t="shared" si="327"/>
        <v>52652</v>
      </c>
    </row>
    <row r="7730" spans="30:30" ht="14" thickBot="1" x14ac:dyDescent="0.2">
      <c r="AD7730" s="98">
        <f t="shared" si="327"/>
        <v>52653</v>
      </c>
    </row>
    <row r="7731" spans="30:30" ht="14" thickBot="1" x14ac:dyDescent="0.2">
      <c r="AD7731" s="98">
        <f t="shared" si="327"/>
        <v>52654</v>
      </c>
    </row>
    <row r="7732" spans="30:30" ht="14" thickBot="1" x14ac:dyDescent="0.2">
      <c r="AD7732" s="98">
        <f t="shared" si="327"/>
        <v>52655</v>
      </c>
    </row>
    <row r="7733" spans="30:30" ht="14" thickBot="1" x14ac:dyDescent="0.2">
      <c r="AD7733" s="98">
        <f t="shared" si="327"/>
        <v>52656</v>
      </c>
    </row>
    <row r="7734" spans="30:30" ht="14" thickBot="1" x14ac:dyDescent="0.2">
      <c r="AD7734" s="98">
        <f t="shared" si="327"/>
        <v>52657</v>
      </c>
    </row>
    <row r="7735" spans="30:30" ht="14" thickBot="1" x14ac:dyDescent="0.2">
      <c r="AD7735" s="98">
        <f t="shared" si="327"/>
        <v>52658</v>
      </c>
    </row>
    <row r="7736" spans="30:30" ht="14" thickBot="1" x14ac:dyDescent="0.2">
      <c r="AD7736" s="98">
        <f t="shared" si="327"/>
        <v>52659</v>
      </c>
    </row>
    <row r="7737" spans="30:30" ht="14" thickBot="1" x14ac:dyDescent="0.2">
      <c r="AD7737" s="98">
        <f t="shared" si="327"/>
        <v>52660</v>
      </c>
    </row>
    <row r="7738" spans="30:30" ht="14" thickBot="1" x14ac:dyDescent="0.2">
      <c r="AD7738" s="98">
        <f t="shared" si="327"/>
        <v>52661</v>
      </c>
    </row>
    <row r="7739" spans="30:30" ht="14" thickBot="1" x14ac:dyDescent="0.2">
      <c r="AD7739" s="98">
        <f t="shared" si="327"/>
        <v>52662</v>
      </c>
    </row>
    <row r="7740" spans="30:30" ht="14" thickBot="1" x14ac:dyDescent="0.2">
      <c r="AD7740" s="98">
        <f t="shared" si="327"/>
        <v>52663</v>
      </c>
    </row>
    <row r="7741" spans="30:30" ht="14" thickBot="1" x14ac:dyDescent="0.2">
      <c r="AD7741" s="98">
        <f t="shared" si="327"/>
        <v>52664</v>
      </c>
    </row>
    <row r="7742" spans="30:30" ht="14" thickBot="1" x14ac:dyDescent="0.2">
      <c r="AD7742" s="98">
        <f t="shared" si="327"/>
        <v>52665</v>
      </c>
    </row>
    <row r="7743" spans="30:30" ht="14" thickBot="1" x14ac:dyDescent="0.2">
      <c r="AD7743" s="98">
        <f t="shared" si="327"/>
        <v>52666</v>
      </c>
    </row>
    <row r="7744" spans="30:30" ht="14" thickBot="1" x14ac:dyDescent="0.2">
      <c r="AD7744" s="98">
        <f t="shared" si="327"/>
        <v>52667</v>
      </c>
    </row>
    <row r="7745" spans="30:30" ht="14" thickBot="1" x14ac:dyDescent="0.2">
      <c r="AD7745" s="98">
        <f t="shared" si="327"/>
        <v>52668</v>
      </c>
    </row>
    <row r="7746" spans="30:30" ht="14" thickBot="1" x14ac:dyDescent="0.2">
      <c r="AD7746" s="98">
        <f t="shared" si="327"/>
        <v>52669</v>
      </c>
    </row>
    <row r="7747" spans="30:30" ht="14" thickBot="1" x14ac:dyDescent="0.2">
      <c r="AD7747" s="98">
        <f t="shared" si="327"/>
        <v>52670</v>
      </c>
    </row>
    <row r="7748" spans="30:30" ht="14" thickBot="1" x14ac:dyDescent="0.2">
      <c r="AD7748" s="98">
        <f t="shared" si="327"/>
        <v>52671</v>
      </c>
    </row>
    <row r="7749" spans="30:30" ht="14" thickBot="1" x14ac:dyDescent="0.2">
      <c r="AD7749" s="98">
        <f t="shared" si="327"/>
        <v>52672</v>
      </c>
    </row>
    <row r="7750" spans="30:30" ht="14" thickBot="1" x14ac:dyDescent="0.2">
      <c r="AD7750" s="98">
        <f t="shared" si="327"/>
        <v>52673</v>
      </c>
    </row>
    <row r="7751" spans="30:30" ht="14" thickBot="1" x14ac:dyDescent="0.2">
      <c r="AD7751" s="98">
        <f t="shared" si="327"/>
        <v>52674</v>
      </c>
    </row>
    <row r="7752" spans="30:30" ht="14" thickBot="1" x14ac:dyDescent="0.2">
      <c r="AD7752" s="98">
        <f t="shared" si="327"/>
        <v>52675</v>
      </c>
    </row>
    <row r="7753" spans="30:30" ht="14" thickBot="1" x14ac:dyDescent="0.2">
      <c r="AD7753" s="98">
        <f t="shared" ref="AD7753:AD7816" si="328">AD7752+1</f>
        <v>52676</v>
      </c>
    </row>
    <row r="7754" spans="30:30" ht="14" thickBot="1" x14ac:dyDescent="0.2">
      <c r="AD7754" s="98">
        <f t="shared" si="328"/>
        <v>52677</v>
      </c>
    </row>
    <row r="7755" spans="30:30" ht="14" thickBot="1" x14ac:dyDescent="0.2">
      <c r="AD7755" s="98">
        <f t="shared" si="328"/>
        <v>52678</v>
      </c>
    </row>
    <row r="7756" spans="30:30" ht="14" thickBot="1" x14ac:dyDescent="0.2">
      <c r="AD7756" s="98">
        <f t="shared" si="328"/>
        <v>52679</v>
      </c>
    </row>
    <row r="7757" spans="30:30" ht="14" thickBot="1" x14ac:dyDescent="0.2">
      <c r="AD7757" s="98">
        <f t="shared" si="328"/>
        <v>52680</v>
      </c>
    </row>
    <row r="7758" spans="30:30" ht="14" thickBot="1" x14ac:dyDescent="0.2">
      <c r="AD7758" s="98">
        <f t="shared" si="328"/>
        <v>52681</v>
      </c>
    </row>
    <row r="7759" spans="30:30" ht="14" thickBot="1" x14ac:dyDescent="0.2">
      <c r="AD7759" s="98">
        <f t="shared" si="328"/>
        <v>52682</v>
      </c>
    </row>
    <row r="7760" spans="30:30" ht="14" thickBot="1" x14ac:dyDescent="0.2">
      <c r="AD7760" s="98">
        <f t="shared" si="328"/>
        <v>52683</v>
      </c>
    </row>
    <row r="7761" spans="30:30" ht="14" thickBot="1" x14ac:dyDescent="0.2">
      <c r="AD7761" s="98">
        <f t="shared" si="328"/>
        <v>52684</v>
      </c>
    </row>
    <row r="7762" spans="30:30" ht="14" thickBot="1" x14ac:dyDescent="0.2">
      <c r="AD7762" s="98">
        <f t="shared" si="328"/>
        <v>52685</v>
      </c>
    </row>
    <row r="7763" spans="30:30" ht="14" thickBot="1" x14ac:dyDescent="0.2">
      <c r="AD7763" s="98">
        <f t="shared" si="328"/>
        <v>52686</v>
      </c>
    </row>
    <row r="7764" spans="30:30" ht="14" thickBot="1" x14ac:dyDescent="0.2">
      <c r="AD7764" s="98">
        <f t="shared" si="328"/>
        <v>52687</v>
      </c>
    </row>
    <row r="7765" spans="30:30" ht="14" thickBot="1" x14ac:dyDescent="0.2">
      <c r="AD7765" s="98">
        <f t="shared" si="328"/>
        <v>52688</v>
      </c>
    </row>
    <row r="7766" spans="30:30" ht="14" thickBot="1" x14ac:dyDescent="0.2">
      <c r="AD7766" s="98">
        <f t="shared" si="328"/>
        <v>52689</v>
      </c>
    </row>
    <row r="7767" spans="30:30" ht="14" thickBot="1" x14ac:dyDescent="0.2">
      <c r="AD7767" s="98">
        <f t="shared" si="328"/>
        <v>52690</v>
      </c>
    </row>
    <row r="7768" spans="30:30" ht="14" thickBot="1" x14ac:dyDescent="0.2">
      <c r="AD7768" s="98">
        <f t="shared" si="328"/>
        <v>52691</v>
      </c>
    </row>
    <row r="7769" spans="30:30" ht="14" thickBot="1" x14ac:dyDescent="0.2">
      <c r="AD7769" s="98">
        <f t="shared" si="328"/>
        <v>52692</v>
      </c>
    </row>
    <row r="7770" spans="30:30" ht="14" thickBot="1" x14ac:dyDescent="0.2">
      <c r="AD7770" s="98">
        <f t="shared" si="328"/>
        <v>52693</v>
      </c>
    </row>
    <row r="7771" spans="30:30" ht="14" thickBot="1" x14ac:dyDescent="0.2">
      <c r="AD7771" s="98">
        <f t="shared" si="328"/>
        <v>52694</v>
      </c>
    </row>
    <row r="7772" spans="30:30" ht="14" thickBot="1" x14ac:dyDescent="0.2">
      <c r="AD7772" s="98">
        <f t="shared" si="328"/>
        <v>52695</v>
      </c>
    </row>
    <row r="7773" spans="30:30" ht="14" thickBot="1" x14ac:dyDescent="0.2">
      <c r="AD7773" s="98">
        <f t="shared" si="328"/>
        <v>52696</v>
      </c>
    </row>
    <row r="7774" spans="30:30" ht="14" thickBot="1" x14ac:dyDescent="0.2">
      <c r="AD7774" s="98">
        <f t="shared" si="328"/>
        <v>52697</v>
      </c>
    </row>
    <row r="7775" spans="30:30" ht="14" thickBot="1" x14ac:dyDescent="0.2">
      <c r="AD7775" s="98">
        <f t="shared" si="328"/>
        <v>52698</v>
      </c>
    </row>
    <row r="7776" spans="30:30" ht="14" thickBot="1" x14ac:dyDescent="0.2">
      <c r="AD7776" s="98">
        <f t="shared" si="328"/>
        <v>52699</v>
      </c>
    </row>
    <row r="7777" spans="30:30" ht="14" thickBot="1" x14ac:dyDescent="0.2">
      <c r="AD7777" s="98">
        <f t="shared" si="328"/>
        <v>52700</v>
      </c>
    </row>
    <row r="7778" spans="30:30" ht="14" thickBot="1" x14ac:dyDescent="0.2">
      <c r="AD7778" s="98">
        <f t="shared" si="328"/>
        <v>52701</v>
      </c>
    </row>
    <row r="7779" spans="30:30" ht="14" thickBot="1" x14ac:dyDescent="0.2">
      <c r="AD7779" s="98">
        <f t="shared" si="328"/>
        <v>52702</v>
      </c>
    </row>
    <row r="7780" spans="30:30" ht="14" thickBot="1" x14ac:dyDescent="0.2">
      <c r="AD7780" s="98">
        <f t="shared" si="328"/>
        <v>52703</v>
      </c>
    </row>
    <row r="7781" spans="30:30" ht="14" thickBot="1" x14ac:dyDescent="0.2">
      <c r="AD7781" s="98">
        <f t="shared" si="328"/>
        <v>52704</v>
      </c>
    </row>
    <row r="7782" spans="30:30" ht="14" thickBot="1" x14ac:dyDescent="0.2">
      <c r="AD7782" s="98">
        <f t="shared" si="328"/>
        <v>52705</v>
      </c>
    </row>
    <row r="7783" spans="30:30" ht="14" thickBot="1" x14ac:dyDescent="0.2">
      <c r="AD7783" s="98">
        <f t="shared" si="328"/>
        <v>52706</v>
      </c>
    </row>
    <row r="7784" spans="30:30" ht="14" thickBot="1" x14ac:dyDescent="0.2">
      <c r="AD7784" s="98">
        <f t="shared" si="328"/>
        <v>52707</v>
      </c>
    </row>
    <row r="7785" spans="30:30" ht="14" thickBot="1" x14ac:dyDescent="0.2">
      <c r="AD7785" s="98">
        <f t="shared" si="328"/>
        <v>52708</v>
      </c>
    </row>
    <row r="7786" spans="30:30" ht="14" thickBot="1" x14ac:dyDescent="0.2">
      <c r="AD7786" s="98">
        <f t="shared" si="328"/>
        <v>52709</v>
      </c>
    </row>
    <row r="7787" spans="30:30" ht="14" thickBot="1" x14ac:dyDescent="0.2">
      <c r="AD7787" s="98">
        <f t="shared" si="328"/>
        <v>52710</v>
      </c>
    </row>
    <row r="7788" spans="30:30" ht="14" thickBot="1" x14ac:dyDescent="0.2">
      <c r="AD7788" s="98">
        <f t="shared" si="328"/>
        <v>52711</v>
      </c>
    </row>
    <row r="7789" spans="30:30" ht="14" thickBot="1" x14ac:dyDescent="0.2">
      <c r="AD7789" s="98">
        <f t="shared" si="328"/>
        <v>52712</v>
      </c>
    </row>
    <row r="7790" spans="30:30" ht="14" thickBot="1" x14ac:dyDescent="0.2">
      <c r="AD7790" s="98">
        <f t="shared" si="328"/>
        <v>52713</v>
      </c>
    </row>
    <row r="7791" spans="30:30" ht="14" thickBot="1" x14ac:dyDescent="0.2">
      <c r="AD7791" s="98">
        <f t="shared" si="328"/>
        <v>52714</v>
      </c>
    </row>
    <row r="7792" spans="30:30" ht="14" thickBot="1" x14ac:dyDescent="0.2">
      <c r="AD7792" s="98">
        <f t="shared" si="328"/>
        <v>52715</v>
      </c>
    </row>
    <row r="7793" spans="30:30" ht="14" thickBot="1" x14ac:dyDescent="0.2">
      <c r="AD7793" s="98">
        <f t="shared" si="328"/>
        <v>52716</v>
      </c>
    </row>
    <row r="7794" spans="30:30" ht="14" thickBot="1" x14ac:dyDescent="0.2">
      <c r="AD7794" s="98">
        <f t="shared" si="328"/>
        <v>52717</v>
      </c>
    </row>
    <row r="7795" spans="30:30" ht="14" thickBot="1" x14ac:dyDescent="0.2">
      <c r="AD7795" s="98">
        <f t="shared" si="328"/>
        <v>52718</v>
      </c>
    </row>
    <row r="7796" spans="30:30" ht="14" thickBot="1" x14ac:dyDescent="0.2">
      <c r="AD7796" s="98">
        <f t="shared" si="328"/>
        <v>52719</v>
      </c>
    </row>
    <row r="7797" spans="30:30" ht="14" thickBot="1" x14ac:dyDescent="0.2">
      <c r="AD7797" s="98">
        <f t="shared" si="328"/>
        <v>52720</v>
      </c>
    </row>
    <row r="7798" spans="30:30" ht="14" thickBot="1" x14ac:dyDescent="0.2">
      <c r="AD7798" s="98">
        <f t="shared" si="328"/>
        <v>52721</v>
      </c>
    </row>
    <row r="7799" spans="30:30" ht="14" thickBot="1" x14ac:dyDescent="0.2">
      <c r="AD7799" s="98">
        <f t="shared" si="328"/>
        <v>52722</v>
      </c>
    </row>
    <row r="7800" spans="30:30" ht="14" thickBot="1" x14ac:dyDescent="0.2">
      <c r="AD7800" s="98">
        <f t="shared" si="328"/>
        <v>52723</v>
      </c>
    </row>
    <row r="7801" spans="30:30" ht="14" thickBot="1" x14ac:dyDescent="0.2">
      <c r="AD7801" s="98">
        <f t="shared" si="328"/>
        <v>52724</v>
      </c>
    </row>
    <row r="7802" spans="30:30" ht="14" thickBot="1" x14ac:dyDescent="0.2">
      <c r="AD7802" s="98">
        <f t="shared" si="328"/>
        <v>52725</v>
      </c>
    </row>
    <row r="7803" spans="30:30" ht="14" thickBot="1" x14ac:dyDescent="0.2">
      <c r="AD7803" s="98">
        <f t="shared" si="328"/>
        <v>52726</v>
      </c>
    </row>
    <row r="7804" spans="30:30" ht="14" thickBot="1" x14ac:dyDescent="0.2">
      <c r="AD7804" s="98">
        <f t="shared" si="328"/>
        <v>52727</v>
      </c>
    </row>
    <row r="7805" spans="30:30" ht="14" thickBot="1" x14ac:dyDescent="0.2">
      <c r="AD7805" s="98">
        <f t="shared" si="328"/>
        <v>52728</v>
      </c>
    </row>
    <row r="7806" spans="30:30" ht="14" thickBot="1" x14ac:dyDescent="0.2">
      <c r="AD7806" s="98">
        <f t="shared" si="328"/>
        <v>52729</v>
      </c>
    </row>
    <row r="7807" spans="30:30" ht="14" thickBot="1" x14ac:dyDescent="0.2">
      <c r="AD7807" s="98">
        <f t="shared" si="328"/>
        <v>52730</v>
      </c>
    </row>
    <row r="7808" spans="30:30" ht="14" thickBot="1" x14ac:dyDescent="0.2">
      <c r="AD7808" s="98">
        <f t="shared" si="328"/>
        <v>52731</v>
      </c>
    </row>
    <row r="7809" spans="30:30" ht="14" thickBot="1" x14ac:dyDescent="0.2">
      <c r="AD7809" s="98">
        <f t="shared" si="328"/>
        <v>52732</v>
      </c>
    </row>
    <row r="7810" spans="30:30" ht="14" thickBot="1" x14ac:dyDescent="0.2">
      <c r="AD7810" s="98">
        <f t="shared" si="328"/>
        <v>52733</v>
      </c>
    </row>
    <row r="7811" spans="30:30" ht="14" thickBot="1" x14ac:dyDescent="0.2">
      <c r="AD7811" s="98">
        <f t="shared" si="328"/>
        <v>52734</v>
      </c>
    </row>
    <row r="7812" spans="30:30" ht="14" thickBot="1" x14ac:dyDescent="0.2">
      <c r="AD7812" s="98">
        <f t="shared" si="328"/>
        <v>52735</v>
      </c>
    </row>
    <row r="7813" spans="30:30" ht="14" thickBot="1" x14ac:dyDescent="0.2">
      <c r="AD7813" s="98">
        <f t="shared" si="328"/>
        <v>52736</v>
      </c>
    </row>
    <row r="7814" spans="30:30" ht="14" thickBot="1" x14ac:dyDescent="0.2">
      <c r="AD7814" s="98">
        <f t="shared" si="328"/>
        <v>52737</v>
      </c>
    </row>
    <row r="7815" spans="30:30" ht="14" thickBot="1" x14ac:dyDescent="0.2">
      <c r="AD7815" s="98">
        <f t="shared" si="328"/>
        <v>52738</v>
      </c>
    </row>
    <row r="7816" spans="30:30" ht="14" thickBot="1" x14ac:dyDescent="0.2">
      <c r="AD7816" s="98">
        <f t="shared" si="328"/>
        <v>52739</v>
      </c>
    </row>
    <row r="7817" spans="30:30" ht="14" thickBot="1" x14ac:dyDescent="0.2">
      <c r="AD7817" s="98">
        <f t="shared" ref="AD7817:AD7880" si="329">AD7816+1</f>
        <v>52740</v>
      </c>
    </row>
    <row r="7818" spans="30:30" ht="14" thickBot="1" x14ac:dyDescent="0.2">
      <c r="AD7818" s="98">
        <f t="shared" si="329"/>
        <v>52741</v>
      </c>
    </row>
    <row r="7819" spans="30:30" ht="14" thickBot="1" x14ac:dyDescent="0.2">
      <c r="AD7819" s="98">
        <f t="shared" si="329"/>
        <v>52742</v>
      </c>
    </row>
    <row r="7820" spans="30:30" ht="14" thickBot="1" x14ac:dyDescent="0.2">
      <c r="AD7820" s="98">
        <f t="shared" si="329"/>
        <v>52743</v>
      </c>
    </row>
    <row r="7821" spans="30:30" ht="14" thickBot="1" x14ac:dyDescent="0.2">
      <c r="AD7821" s="98">
        <f t="shared" si="329"/>
        <v>52744</v>
      </c>
    </row>
    <row r="7822" spans="30:30" ht="14" thickBot="1" x14ac:dyDescent="0.2">
      <c r="AD7822" s="98">
        <f t="shared" si="329"/>
        <v>52745</v>
      </c>
    </row>
    <row r="7823" spans="30:30" ht="14" thickBot="1" x14ac:dyDescent="0.2">
      <c r="AD7823" s="98">
        <f t="shared" si="329"/>
        <v>52746</v>
      </c>
    </row>
    <row r="7824" spans="30:30" ht="14" thickBot="1" x14ac:dyDescent="0.2">
      <c r="AD7824" s="98">
        <f t="shared" si="329"/>
        <v>52747</v>
      </c>
    </row>
    <row r="7825" spans="30:30" ht="14" thickBot="1" x14ac:dyDescent="0.2">
      <c r="AD7825" s="98">
        <f t="shared" si="329"/>
        <v>52748</v>
      </c>
    </row>
    <row r="7826" spans="30:30" ht="14" thickBot="1" x14ac:dyDescent="0.2">
      <c r="AD7826" s="98">
        <f t="shared" si="329"/>
        <v>52749</v>
      </c>
    </row>
    <row r="7827" spans="30:30" ht="14" thickBot="1" x14ac:dyDescent="0.2">
      <c r="AD7827" s="98">
        <f t="shared" si="329"/>
        <v>52750</v>
      </c>
    </row>
    <row r="7828" spans="30:30" ht="14" thickBot="1" x14ac:dyDescent="0.2">
      <c r="AD7828" s="98">
        <f t="shared" si="329"/>
        <v>52751</v>
      </c>
    </row>
    <row r="7829" spans="30:30" ht="14" thickBot="1" x14ac:dyDescent="0.2">
      <c r="AD7829" s="98">
        <f t="shared" si="329"/>
        <v>52752</v>
      </c>
    </row>
    <row r="7830" spans="30:30" ht="14" thickBot="1" x14ac:dyDescent="0.2">
      <c r="AD7830" s="98">
        <f t="shared" si="329"/>
        <v>52753</v>
      </c>
    </row>
    <row r="7831" spans="30:30" ht="14" thickBot="1" x14ac:dyDescent="0.2">
      <c r="AD7831" s="98">
        <f t="shared" si="329"/>
        <v>52754</v>
      </c>
    </row>
    <row r="7832" spans="30:30" ht="14" thickBot="1" x14ac:dyDescent="0.2">
      <c r="AD7832" s="98">
        <f t="shared" si="329"/>
        <v>52755</v>
      </c>
    </row>
    <row r="7833" spans="30:30" ht="14" thickBot="1" x14ac:dyDescent="0.2">
      <c r="AD7833" s="98">
        <f t="shared" si="329"/>
        <v>52756</v>
      </c>
    </row>
    <row r="7834" spans="30:30" ht="14" thickBot="1" x14ac:dyDescent="0.2">
      <c r="AD7834" s="98">
        <f t="shared" si="329"/>
        <v>52757</v>
      </c>
    </row>
    <row r="7835" spans="30:30" ht="14" thickBot="1" x14ac:dyDescent="0.2">
      <c r="AD7835" s="98">
        <f t="shared" si="329"/>
        <v>52758</v>
      </c>
    </row>
    <row r="7836" spans="30:30" ht="14" thickBot="1" x14ac:dyDescent="0.2">
      <c r="AD7836" s="98">
        <f t="shared" si="329"/>
        <v>52759</v>
      </c>
    </row>
    <row r="7837" spans="30:30" ht="14" thickBot="1" x14ac:dyDescent="0.2">
      <c r="AD7837" s="98">
        <f t="shared" si="329"/>
        <v>52760</v>
      </c>
    </row>
    <row r="7838" spans="30:30" ht="14" thickBot="1" x14ac:dyDescent="0.2">
      <c r="AD7838" s="98">
        <f t="shared" si="329"/>
        <v>52761</v>
      </c>
    </row>
    <row r="7839" spans="30:30" ht="14" thickBot="1" x14ac:dyDescent="0.2">
      <c r="AD7839" s="98">
        <f t="shared" si="329"/>
        <v>52762</v>
      </c>
    </row>
    <row r="7840" spans="30:30" ht="14" thickBot="1" x14ac:dyDescent="0.2">
      <c r="AD7840" s="98">
        <f t="shared" si="329"/>
        <v>52763</v>
      </c>
    </row>
    <row r="7841" spans="30:30" ht="14" thickBot="1" x14ac:dyDescent="0.2">
      <c r="AD7841" s="98">
        <f t="shared" si="329"/>
        <v>52764</v>
      </c>
    </row>
    <row r="7842" spans="30:30" ht="14" thickBot="1" x14ac:dyDescent="0.2">
      <c r="AD7842" s="98">
        <f t="shared" si="329"/>
        <v>52765</v>
      </c>
    </row>
    <row r="7843" spans="30:30" ht="14" thickBot="1" x14ac:dyDescent="0.2">
      <c r="AD7843" s="98">
        <f t="shared" si="329"/>
        <v>52766</v>
      </c>
    </row>
    <row r="7844" spans="30:30" ht="14" thickBot="1" x14ac:dyDescent="0.2">
      <c r="AD7844" s="98">
        <f t="shared" si="329"/>
        <v>52767</v>
      </c>
    </row>
    <row r="7845" spans="30:30" ht="14" thickBot="1" x14ac:dyDescent="0.2">
      <c r="AD7845" s="98">
        <f t="shared" si="329"/>
        <v>52768</v>
      </c>
    </row>
    <row r="7846" spans="30:30" ht="14" thickBot="1" x14ac:dyDescent="0.2">
      <c r="AD7846" s="98">
        <f t="shared" si="329"/>
        <v>52769</v>
      </c>
    </row>
    <row r="7847" spans="30:30" ht="14" thickBot="1" x14ac:dyDescent="0.2">
      <c r="AD7847" s="98">
        <f t="shared" si="329"/>
        <v>52770</v>
      </c>
    </row>
    <row r="7848" spans="30:30" ht="14" thickBot="1" x14ac:dyDescent="0.2">
      <c r="AD7848" s="98">
        <f t="shared" si="329"/>
        <v>52771</v>
      </c>
    </row>
    <row r="7849" spans="30:30" ht="14" thickBot="1" x14ac:dyDescent="0.2">
      <c r="AD7849" s="98">
        <f t="shared" si="329"/>
        <v>52772</v>
      </c>
    </row>
    <row r="7850" spans="30:30" ht="14" thickBot="1" x14ac:dyDescent="0.2">
      <c r="AD7850" s="98">
        <f t="shared" si="329"/>
        <v>52773</v>
      </c>
    </row>
    <row r="7851" spans="30:30" ht="14" thickBot="1" x14ac:dyDescent="0.2">
      <c r="AD7851" s="98">
        <f t="shared" si="329"/>
        <v>52774</v>
      </c>
    </row>
    <row r="7852" spans="30:30" ht="14" thickBot="1" x14ac:dyDescent="0.2">
      <c r="AD7852" s="98">
        <f t="shared" si="329"/>
        <v>52775</v>
      </c>
    </row>
    <row r="7853" spans="30:30" ht="14" thickBot="1" x14ac:dyDescent="0.2">
      <c r="AD7853" s="98">
        <f t="shared" si="329"/>
        <v>52776</v>
      </c>
    </row>
    <row r="7854" spans="30:30" ht="14" thickBot="1" x14ac:dyDescent="0.2">
      <c r="AD7854" s="98">
        <f t="shared" si="329"/>
        <v>52777</v>
      </c>
    </row>
    <row r="7855" spans="30:30" ht="14" thickBot="1" x14ac:dyDescent="0.2">
      <c r="AD7855" s="98">
        <f t="shared" si="329"/>
        <v>52778</v>
      </c>
    </row>
    <row r="7856" spans="30:30" ht="14" thickBot="1" x14ac:dyDescent="0.2">
      <c r="AD7856" s="98">
        <f t="shared" si="329"/>
        <v>52779</v>
      </c>
    </row>
    <row r="7857" spans="30:30" ht="14" thickBot="1" x14ac:dyDescent="0.2">
      <c r="AD7857" s="98">
        <f t="shared" si="329"/>
        <v>52780</v>
      </c>
    </row>
    <row r="7858" spans="30:30" ht="14" thickBot="1" x14ac:dyDescent="0.2">
      <c r="AD7858" s="98">
        <f t="shared" si="329"/>
        <v>52781</v>
      </c>
    </row>
    <row r="7859" spans="30:30" ht="14" thickBot="1" x14ac:dyDescent="0.2">
      <c r="AD7859" s="98">
        <f t="shared" si="329"/>
        <v>52782</v>
      </c>
    </row>
    <row r="7860" spans="30:30" ht="14" thickBot="1" x14ac:dyDescent="0.2">
      <c r="AD7860" s="98">
        <f t="shared" si="329"/>
        <v>52783</v>
      </c>
    </row>
    <row r="7861" spans="30:30" ht="14" thickBot="1" x14ac:dyDescent="0.2">
      <c r="AD7861" s="98">
        <f t="shared" si="329"/>
        <v>52784</v>
      </c>
    </row>
    <row r="7862" spans="30:30" ht="14" thickBot="1" x14ac:dyDescent="0.2">
      <c r="AD7862" s="98">
        <f t="shared" si="329"/>
        <v>52785</v>
      </c>
    </row>
    <row r="7863" spans="30:30" ht="14" thickBot="1" x14ac:dyDescent="0.2">
      <c r="AD7863" s="98">
        <f t="shared" si="329"/>
        <v>52786</v>
      </c>
    </row>
    <row r="7864" spans="30:30" ht="14" thickBot="1" x14ac:dyDescent="0.2">
      <c r="AD7864" s="98">
        <f t="shared" si="329"/>
        <v>52787</v>
      </c>
    </row>
    <row r="7865" spans="30:30" ht="14" thickBot="1" x14ac:dyDescent="0.2">
      <c r="AD7865" s="98">
        <f t="shared" si="329"/>
        <v>52788</v>
      </c>
    </row>
    <row r="7866" spans="30:30" ht="14" thickBot="1" x14ac:dyDescent="0.2">
      <c r="AD7866" s="98">
        <f t="shared" si="329"/>
        <v>52789</v>
      </c>
    </row>
    <row r="7867" spans="30:30" ht="14" thickBot="1" x14ac:dyDescent="0.2">
      <c r="AD7867" s="98">
        <f t="shared" si="329"/>
        <v>52790</v>
      </c>
    </row>
    <row r="7868" spans="30:30" ht="14" thickBot="1" x14ac:dyDescent="0.2">
      <c r="AD7868" s="98">
        <f t="shared" si="329"/>
        <v>52791</v>
      </c>
    </row>
    <row r="7869" spans="30:30" ht="14" thickBot="1" x14ac:dyDescent="0.2">
      <c r="AD7869" s="98">
        <f t="shared" si="329"/>
        <v>52792</v>
      </c>
    </row>
    <row r="7870" spans="30:30" ht="14" thickBot="1" x14ac:dyDescent="0.2">
      <c r="AD7870" s="98">
        <f t="shared" si="329"/>
        <v>52793</v>
      </c>
    </row>
    <row r="7871" spans="30:30" ht="14" thickBot="1" x14ac:dyDescent="0.2">
      <c r="AD7871" s="98">
        <f t="shared" si="329"/>
        <v>52794</v>
      </c>
    </row>
    <row r="7872" spans="30:30" ht="14" thickBot="1" x14ac:dyDescent="0.2">
      <c r="AD7872" s="98">
        <f t="shared" si="329"/>
        <v>52795</v>
      </c>
    </row>
    <row r="7873" spans="30:30" ht="14" thickBot="1" x14ac:dyDescent="0.2">
      <c r="AD7873" s="98">
        <f t="shared" si="329"/>
        <v>52796</v>
      </c>
    </row>
    <row r="7874" spans="30:30" ht="14" thickBot="1" x14ac:dyDescent="0.2">
      <c r="AD7874" s="98">
        <f t="shared" si="329"/>
        <v>52797</v>
      </c>
    </row>
    <row r="7875" spans="30:30" ht="14" thickBot="1" x14ac:dyDescent="0.2">
      <c r="AD7875" s="98">
        <f t="shared" si="329"/>
        <v>52798</v>
      </c>
    </row>
    <row r="7876" spans="30:30" ht="14" thickBot="1" x14ac:dyDescent="0.2">
      <c r="AD7876" s="98">
        <f t="shared" si="329"/>
        <v>52799</v>
      </c>
    </row>
    <row r="7877" spans="30:30" ht="14" thickBot="1" x14ac:dyDescent="0.2">
      <c r="AD7877" s="98">
        <f t="shared" si="329"/>
        <v>52800</v>
      </c>
    </row>
    <row r="7878" spans="30:30" ht="14" thickBot="1" x14ac:dyDescent="0.2">
      <c r="AD7878" s="98">
        <f t="shared" si="329"/>
        <v>52801</v>
      </c>
    </row>
    <row r="7879" spans="30:30" ht="14" thickBot="1" x14ac:dyDescent="0.2">
      <c r="AD7879" s="98">
        <f t="shared" si="329"/>
        <v>52802</v>
      </c>
    </row>
    <row r="7880" spans="30:30" ht="14" thickBot="1" x14ac:dyDescent="0.2">
      <c r="AD7880" s="98">
        <f t="shared" si="329"/>
        <v>52803</v>
      </c>
    </row>
    <row r="7881" spans="30:30" ht="14" thickBot="1" x14ac:dyDescent="0.2">
      <c r="AD7881" s="98">
        <f t="shared" ref="AD7881:AD7944" si="330">AD7880+1</f>
        <v>52804</v>
      </c>
    </row>
    <row r="7882" spans="30:30" ht="14" thickBot="1" x14ac:dyDescent="0.2">
      <c r="AD7882" s="98">
        <f t="shared" si="330"/>
        <v>52805</v>
      </c>
    </row>
    <row r="7883" spans="30:30" ht="14" thickBot="1" x14ac:dyDescent="0.2">
      <c r="AD7883" s="98">
        <f t="shared" si="330"/>
        <v>52806</v>
      </c>
    </row>
    <row r="7884" spans="30:30" ht="14" thickBot="1" x14ac:dyDescent="0.2">
      <c r="AD7884" s="98">
        <f t="shared" si="330"/>
        <v>52807</v>
      </c>
    </row>
    <row r="7885" spans="30:30" ht="14" thickBot="1" x14ac:dyDescent="0.2">
      <c r="AD7885" s="98">
        <f t="shared" si="330"/>
        <v>52808</v>
      </c>
    </row>
    <row r="7886" spans="30:30" ht="14" thickBot="1" x14ac:dyDescent="0.2">
      <c r="AD7886" s="98">
        <f t="shared" si="330"/>
        <v>52809</v>
      </c>
    </row>
    <row r="7887" spans="30:30" ht="14" thickBot="1" x14ac:dyDescent="0.2">
      <c r="AD7887" s="98">
        <f t="shared" si="330"/>
        <v>52810</v>
      </c>
    </row>
    <row r="7888" spans="30:30" ht="14" thickBot="1" x14ac:dyDescent="0.2">
      <c r="AD7888" s="98">
        <f t="shared" si="330"/>
        <v>52811</v>
      </c>
    </row>
    <row r="7889" spans="30:30" ht="14" thickBot="1" x14ac:dyDescent="0.2">
      <c r="AD7889" s="98">
        <f t="shared" si="330"/>
        <v>52812</v>
      </c>
    </row>
    <row r="7890" spans="30:30" ht="14" thickBot="1" x14ac:dyDescent="0.2">
      <c r="AD7890" s="98">
        <f t="shared" si="330"/>
        <v>52813</v>
      </c>
    </row>
    <row r="7891" spans="30:30" ht="14" thickBot="1" x14ac:dyDescent="0.2">
      <c r="AD7891" s="98">
        <f t="shared" si="330"/>
        <v>52814</v>
      </c>
    </row>
    <row r="7892" spans="30:30" ht="14" thickBot="1" x14ac:dyDescent="0.2">
      <c r="AD7892" s="98">
        <f t="shared" si="330"/>
        <v>52815</v>
      </c>
    </row>
    <row r="7893" spans="30:30" ht="14" thickBot="1" x14ac:dyDescent="0.2">
      <c r="AD7893" s="98">
        <f t="shared" si="330"/>
        <v>52816</v>
      </c>
    </row>
    <row r="7894" spans="30:30" ht="14" thickBot="1" x14ac:dyDescent="0.2">
      <c r="AD7894" s="98">
        <f t="shared" si="330"/>
        <v>52817</v>
      </c>
    </row>
    <row r="7895" spans="30:30" ht="14" thickBot="1" x14ac:dyDescent="0.2">
      <c r="AD7895" s="98">
        <f t="shared" si="330"/>
        <v>52818</v>
      </c>
    </row>
    <row r="7896" spans="30:30" ht="14" thickBot="1" x14ac:dyDescent="0.2">
      <c r="AD7896" s="98">
        <f t="shared" si="330"/>
        <v>52819</v>
      </c>
    </row>
    <row r="7897" spans="30:30" ht="14" thickBot="1" x14ac:dyDescent="0.2">
      <c r="AD7897" s="98">
        <f t="shared" si="330"/>
        <v>52820</v>
      </c>
    </row>
    <row r="7898" spans="30:30" ht="14" thickBot="1" x14ac:dyDescent="0.2">
      <c r="AD7898" s="98">
        <f t="shared" si="330"/>
        <v>52821</v>
      </c>
    </row>
    <row r="7899" spans="30:30" ht="14" thickBot="1" x14ac:dyDescent="0.2">
      <c r="AD7899" s="98">
        <f t="shared" si="330"/>
        <v>52822</v>
      </c>
    </row>
    <row r="7900" spans="30:30" ht="14" thickBot="1" x14ac:dyDescent="0.2">
      <c r="AD7900" s="98">
        <f t="shared" si="330"/>
        <v>52823</v>
      </c>
    </row>
    <row r="7901" spans="30:30" ht="14" thickBot="1" x14ac:dyDescent="0.2">
      <c r="AD7901" s="98">
        <f t="shared" si="330"/>
        <v>52824</v>
      </c>
    </row>
    <row r="7902" spans="30:30" ht="14" thickBot="1" x14ac:dyDescent="0.2">
      <c r="AD7902" s="98">
        <f t="shared" si="330"/>
        <v>52825</v>
      </c>
    </row>
    <row r="7903" spans="30:30" ht="14" thickBot="1" x14ac:dyDescent="0.2">
      <c r="AD7903" s="98">
        <f t="shared" si="330"/>
        <v>52826</v>
      </c>
    </row>
    <row r="7904" spans="30:30" ht="14" thickBot="1" x14ac:dyDescent="0.2">
      <c r="AD7904" s="98">
        <f t="shared" si="330"/>
        <v>52827</v>
      </c>
    </row>
    <row r="7905" spans="30:30" ht="14" thickBot="1" x14ac:dyDescent="0.2">
      <c r="AD7905" s="98">
        <f t="shared" si="330"/>
        <v>52828</v>
      </c>
    </row>
    <row r="7906" spans="30:30" ht="14" thickBot="1" x14ac:dyDescent="0.2">
      <c r="AD7906" s="98">
        <f t="shared" si="330"/>
        <v>52829</v>
      </c>
    </row>
    <row r="7907" spans="30:30" ht="14" thickBot="1" x14ac:dyDescent="0.2">
      <c r="AD7907" s="98">
        <f t="shared" si="330"/>
        <v>52830</v>
      </c>
    </row>
    <row r="7908" spans="30:30" ht="14" thickBot="1" x14ac:dyDescent="0.2">
      <c r="AD7908" s="98">
        <f t="shared" si="330"/>
        <v>52831</v>
      </c>
    </row>
    <row r="7909" spans="30:30" ht="14" thickBot="1" x14ac:dyDescent="0.2">
      <c r="AD7909" s="98">
        <f t="shared" si="330"/>
        <v>52832</v>
      </c>
    </row>
    <row r="7910" spans="30:30" ht="14" thickBot="1" x14ac:dyDescent="0.2">
      <c r="AD7910" s="98">
        <f t="shared" si="330"/>
        <v>52833</v>
      </c>
    </row>
    <row r="7911" spans="30:30" ht="14" thickBot="1" x14ac:dyDescent="0.2">
      <c r="AD7911" s="98">
        <f t="shared" si="330"/>
        <v>52834</v>
      </c>
    </row>
    <row r="7912" spans="30:30" ht="14" thickBot="1" x14ac:dyDescent="0.2">
      <c r="AD7912" s="98">
        <f t="shared" si="330"/>
        <v>52835</v>
      </c>
    </row>
    <row r="7913" spans="30:30" ht="14" thickBot="1" x14ac:dyDescent="0.2">
      <c r="AD7913" s="98">
        <f t="shared" si="330"/>
        <v>52836</v>
      </c>
    </row>
    <row r="7914" spans="30:30" ht="14" thickBot="1" x14ac:dyDescent="0.2">
      <c r="AD7914" s="98">
        <f t="shared" si="330"/>
        <v>52837</v>
      </c>
    </row>
    <row r="7915" spans="30:30" ht="14" thickBot="1" x14ac:dyDescent="0.2">
      <c r="AD7915" s="98">
        <f t="shared" si="330"/>
        <v>52838</v>
      </c>
    </row>
    <row r="7916" spans="30:30" ht="14" thickBot="1" x14ac:dyDescent="0.2">
      <c r="AD7916" s="98">
        <f t="shared" si="330"/>
        <v>52839</v>
      </c>
    </row>
    <row r="7917" spans="30:30" ht="14" thickBot="1" x14ac:dyDescent="0.2">
      <c r="AD7917" s="98">
        <f t="shared" si="330"/>
        <v>52840</v>
      </c>
    </row>
    <row r="7918" spans="30:30" ht="14" thickBot="1" x14ac:dyDescent="0.2">
      <c r="AD7918" s="98">
        <f t="shared" si="330"/>
        <v>52841</v>
      </c>
    </row>
    <row r="7919" spans="30:30" ht="14" thickBot="1" x14ac:dyDescent="0.2">
      <c r="AD7919" s="98">
        <f t="shared" si="330"/>
        <v>52842</v>
      </c>
    </row>
    <row r="7920" spans="30:30" ht="14" thickBot="1" x14ac:dyDescent="0.2">
      <c r="AD7920" s="98">
        <f t="shared" si="330"/>
        <v>52843</v>
      </c>
    </row>
    <row r="7921" spans="30:30" ht="14" thickBot="1" x14ac:dyDescent="0.2">
      <c r="AD7921" s="98">
        <f t="shared" si="330"/>
        <v>52844</v>
      </c>
    </row>
    <row r="7922" spans="30:30" ht="14" thickBot="1" x14ac:dyDescent="0.2">
      <c r="AD7922" s="98">
        <f t="shared" si="330"/>
        <v>52845</v>
      </c>
    </row>
    <row r="7923" spans="30:30" ht="14" thickBot="1" x14ac:dyDescent="0.2">
      <c r="AD7923" s="98">
        <f t="shared" si="330"/>
        <v>52846</v>
      </c>
    </row>
    <row r="7924" spans="30:30" ht="14" thickBot="1" x14ac:dyDescent="0.2">
      <c r="AD7924" s="98">
        <f t="shared" si="330"/>
        <v>52847</v>
      </c>
    </row>
    <row r="7925" spans="30:30" ht="14" thickBot="1" x14ac:dyDescent="0.2">
      <c r="AD7925" s="98">
        <f t="shared" si="330"/>
        <v>52848</v>
      </c>
    </row>
    <row r="7926" spans="30:30" ht="14" thickBot="1" x14ac:dyDescent="0.2">
      <c r="AD7926" s="98">
        <f t="shared" si="330"/>
        <v>52849</v>
      </c>
    </row>
    <row r="7927" spans="30:30" ht="14" thickBot="1" x14ac:dyDescent="0.2">
      <c r="AD7927" s="98">
        <f t="shared" si="330"/>
        <v>52850</v>
      </c>
    </row>
    <row r="7928" spans="30:30" ht="14" thickBot="1" x14ac:dyDescent="0.2">
      <c r="AD7928" s="98">
        <f t="shared" si="330"/>
        <v>52851</v>
      </c>
    </row>
    <row r="7929" spans="30:30" ht="14" thickBot="1" x14ac:dyDescent="0.2">
      <c r="AD7929" s="98">
        <f t="shared" si="330"/>
        <v>52852</v>
      </c>
    </row>
    <row r="7930" spans="30:30" ht="14" thickBot="1" x14ac:dyDescent="0.2">
      <c r="AD7930" s="98">
        <f t="shared" si="330"/>
        <v>52853</v>
      </c>
    </row>
    <row r="7931" spans="30:30" ht="14" thickBot="1" x14ac:dyDescent="0.2">
      <c r="AD7931" s="98">
        <f t="shared" si="330"/>
        <v>52854</v>
      </c>
    </row>
    <row r="7932" spans="30:30" ht="14" thickBot="1" x14ac:dyDescent="0.2">
      <c r="AD7932" s="98">
        <f t="shared" si="330"/>
        <v>52855</v>
      </c>
    </row>
    <row r="7933" spans="30:30" ht="14" thickBot="1" x14ac:dyDescent="0.2">
      <c r="AD7933" s="98">
        <f t="shared" si="330"/>
        <v>52856</v>
      </c>
    </row>
    <row r="7934" spans="30:30" ht="14" thickBot="1" x14ac:dyDescent="0.2">
      <c r="AD7934" s="98">
        <f t="shared" si="330"/>
        <v>52857</v>
      </c>
    </row>
    <row r="7935" spans="30:30" ht="14" thickBot="1" x14ac:dyDescent="0.2">
      <c r="AD7935" s="98">
        <f t="shared" si="330"/>
        <v>52858</v>
      </c>
    </row>
    <row r="7936" spans="30:30" ht="14" thickBot="1" x14ac:dyDescent="0.2">
      <c r="AD7936" s="98">
        <f t="shared" si="330"/>
        <v>52859</v>
      </c>
    </row>
    <row r="7937" spans="30:30" ht="14" thickBot="1" x14ac:dyDescent="0.2">
      <c r="AD7937" s="98">
        <f t="shared" si="330"/>
        <v>52860</v>
      </c>
    </row>
    <row r="7938" spans="30:30" ht="14" thickBot="1" x14ac:dyDescent="0.2">
      <c r="AD7938" s="98">
        <f t="shared" si="330"/>
        <v>52861</v>
      </c>
    </row>
    <row r="7939" spans="30:30" ht="14" thickBot="1" x14ac:dyDescent="0.2">
      <c r="AD7939" s="98">
        <f t="shared" si="330"/>
        <v>52862</v>
      </c>
    </row>
    <row r="7940" spans="30:30" ht="14" thickBot="1" x14ac:dyDescent="0.2">
      <c r="AD7940" s="98">
        <f t="shared" si="330"/>
        <v>52863</v>
      </c>
    </row>
    <row r="7941" spans="30:30" ht="14" thickBot="1" x14ac:dyDescent="0.2">
      <c r="AD7941" s="98">
        <f t="shared" si="330"/>
        <v>52864</v>
      </c>
    </row>
    <row r="7942" spans="30:30" ht="14" thickBot="1" x14ac:dyDescent="0.2">
      <c r="AD7942" s="98">
        <f t="shared" si="330"/>
        <v>52865</v>
      </c>
    </row>
    <row r="7943" spans="30:30" ht="14" thickBot="1" x14ac:dyDescent="0.2">
      <c r="AD7943" s="98">
        <f t="shared" si="330"/>
        <v>52866</v>
      </c>
    </row>
    <row r="7944" spans="30:30" ht="14" thickBot="1" x14ac:dyDescent="0.2">
      <c r="AD7944" s="98">
        <f t="shared" si="330"/>
        <v>52867</v>
      </c>
    </row>
    <row r="7945" spans="30:30" ht="14" thickBot="1" x14ac:dyDescent="0.2">
      <c r="AD7945" s="98">
        <f t="shared" ref="AD7945:AD8008" si="331">AD7944+1</f>
        <v>52868</v>
      </c>
    </row>
    <row r="7946" spans="30:30" ht="14" thickBot="1" x14ac:dyDescent="0.2">
      <c r="AD7946" s="98">
        <f t="shared" si="331"/>
        <v>52869</v>
      </c>
    </row>
    <row r="7947" spans="30:30" ht="14" thickBot="1" x14ac:dyDescent="0.2">
      <c r="AD7947" s="98">
        <f t="shared" si="331"/>
        <v>52870</v>
      </c>
    </row>
    <row r="7948" spans="30:30" ht="14" thickBot="1" x14ac:dyDescent="0.2">
      <c r="AD7948" s="98">
        <f t="shared" si="331"/>
        <v>52871</v>
      </c>
    </row>
    <row r="7949" spans="30:30" ht="14" thickBot="1" x14ac:dyDescent="0.2">
      <c r="AD7949" s="98">
        <f t="shared" si="331"/>
        <v>52872</v>
      </c>
    </row>
    <row r="7950" spans="30:30" ht="14" thickBot="1" x14ac:dyDescent="0.2">
      <c r="AD7950" s="98">
        <f t="shared" si="331"/>
        <v>52873</v>
      </c>
    </row>
    <row r="7951" spans="30:30" ht="14" thickBot="1" x14ac:dyDescent="0.2">
      <c r="AD7951" s="98">
        <f t="shared" si="331"/>
        <v>52874</v>
      </c>
    </row>
    <row r="7952" spans="30:30" ht="14" thickBot="1" x14ac:dyDescent="0.2">
      <c r="AD7952" s="98">
        <f t="shared" si="331"/>
        <v>52875</v>
      </c>
    </row>
    <row r="7953" spans="30:30" ht="14" thickBot="1" x14ac:dyDescent="0.2">
      <c r="AD7953" s="98">
        <f t="shared" si="331"/>
        <v>52876</v>
      </c>
    </row>
    <row r="7954" spans="30:30" ht="14" thickBot="1" x14ac:dyDescent="0.2">
      <c r="AD7954" s="98">
        <f t="shared" si="331"/>
        <v>52877</v>
      </c>
    </row>
    <row r="7955" spans="30:30" ht="14" thickBot="1" x14ac:dyDescent="0.2">
      <c r="AD7955" s="98">
        <f t="shared" si="331"/>
        <v>52878</v>
      </c>
    </row>
    <row r="7956" spans="30:30" ht="14" thickBot="1" x14ac:dyDescent="0.2">
      <c r="AD7956" s="98">
        <f t="shared" si="331"/>
        <v>52879</v>
      </c>
    </row>
    <row r="7957" spans="30:30" ht="14" thickBot="1" x14ac:dyDescent="0.2">
      <c r="AD7957" s="98">
        <f t="shared" si="331"/>
        <v>52880</v>
      </c>
    </row>
    <row r="7958" spans="30:30" ht="14" thickBot="1" x14ac:dyDescent="0.2">
      <c r="AD7958" s="98">
        <f t="shared" si="331"/>
        <v>52881</v>
      </c>
    </row>
    <row r="7959" spans="30:30" ht="14" thickBot="1" x14ac:dyDescent="0.2">
      <c r="AD7959" s="98">
        <f t="shared" si="331"/>
        <v>52882</v>
      </c>
    </row>
    <row r="7960" spans="30:30" ht="14" thickBot="1" x14ac:dyDescent="0.2">
      <c r="AD7960" s="98">
        <f t="shared" si="331"/>
        <v>52883</v>
      </c>
    </row>
    <row r="7961" spans="30:30" ht="14" thickBot="1" x14ac:dyDescent="0.2">
      <c r="AD7961" s="98">
        <f t="shared" si="331"/>
        <v>52884</v>
      </c>
    </row>
    <row r="7962" spans="30:30" ht="14" thickBot="1" x14ac:dyDescent="0.2">
      <c r="AD7962" s="98">
        <f t="shared" si="331"/>
        <v>52885</v>
      </c>
    </row>
    <row r="7963" spans="30:30" ht="14" thickBot="1" x14ac:dyDescent="0.2">
      <c r="AD7963" s="98">
        <f t="shared" si="331"/>
        <v>52886</v>
      </c>
    </row>
    <row r="7964" spans="30:30" ht="14" thickBot="1" x14ac:dyDescent="0.2">
      <c r="AD7964" s="98">
        <f t="shared" si="331"/>
        <v>52887</v>
      </c>
    </row>
    <row r="7965" spans="30:30" ht="14" thickBot="1" x14ac:dyDescent="0.2">
      <c r="AD7965" s="98">
        <f t="shared" si="331"/>
        <v>52888</v>
      </c>
    </row>
    <row r="7966" spans="30:30" ht="14" thickBot="1" x14ac:dyDescent="0.2">
      <c r="AD7966" s="98">
        <f t="shared" si="331"/>
        <v>52889</v>
      </c>
    </row>
    <row r="7967" spans="30:30" ht="14" thickBot="1" x14ac:dyDescent="0.2">
      <c r="AD7967" s="98">
        <f t="shared" si="331"/>
        <v>52890</v>
      </c>
    </row>
    <row r="7968" spans="30:30" ht="14" thickBot="1" x14ac:dyDescent="0.2">
      <c r="AD7968" s="98">
        <f t="shared" si="331"/>
        <v>52891</v>
      </c>
    </row>
    <row r="7969" spans="30:30" ht="14" thickBot="1" x14ac:dyDescent="0.2">
      <c r="AD7969" s="98">
        <f t="shared" si="331"/>
        <v>52892</v>
      </c>
    </row>
    <row r="7970" spans="30:30" ht="14" thickBot="1" x14ac:dyDescent="0.2">
      <c r="AD7970" s="98">
        <f t="shared" si="331"/>
        <v>52893</v>
      </c>
    </row>
    <row r="7971" spans="30:30" ht="14" thickBot="1" x14ac:dyDescent="0.2">
      <c r="AD7971" s="98">
        <f t="shared" si="331"/>
        <v>52894</v>
      </c>
    </row>
    <row r="7972" spans="30:30" ht="14" thickBot="1" x14ac:dyDescent="0.2">
      <c r="AD7972" s="98">
        <f t="shared" si="331"/>
        <v>52895</v>
      </c>
    </row>
    <row r="7973" spans="30:30" ht="14" thickBot="1" x14ac:dyDescent="0.2">
      <c r="AD7973" s="98">
        <f t="shared" si="331"/>
        <v>52896</v>
      </c>
    </row>
    <row r="7974" spans="30:30" ht="14" thickBot="1" x14ac:dyDescent="0.2">
      <c r="AD7974" s="98">
        <f t="shared" si="331"/>
        <v>52897</v>
      </c>
    </row>
    <row r="7975" spans="30:30" ht="14" thickBot="1" x14ac:dyDescent="0.2">
      <c r="AD7975" s="98">
        <f t="shared" si="331"/>
        <v>52898</v>
      </c>
    </row>
    <row r="7976" spans="30:30" ht="14" thickBot="1" x14ac:dyDescent="0.2">
      <c r="AD7976" s="98">
        <f t="shared" si="331"/>
        <v>52899</v>
      </c>
    </row>
    <row r="7977" spans="30:30" ht="14" thickBot="1" x14ac:dyDescent="0.2">
      <c r="AD7977" s="98">
        <f t="shared" si="331"/>
        <v>52900</v>
      </c>
    </row>
    <row r="7978" spans="30:30" ht="14" thickBot="1" x14ac:dyDescent="0.2">
      <c r="AD7978" s="98">
        <f t="shared" si="331"/>
        <v>52901</v>
      </c>
    </row>
    <row r="7979" spans="30:30" ht="14" thickBot="1" x14ac:dyDescent="0.2">
      <c r="AD7979" s="98">
        <f t="shared" si="331"/>
        <v>52902</v>
      </c>
    </row>
    <row r="7980" spans="30:30" ht="14" thickBot="1" x14ac:dyDescent="0.2">
      <c r="AD7980" s="98">
        <f t="shared" si="331"/>
        <v>52903</v>
      </c>
    </row>
    <row r="7981" spans="30:30" ht="14" thickBot="1" x14ac:dyDescent="0.2">
      <c r="AD7981" s="98">
        <f t="shared" si="331"/>
        <v>52904</v>
      </c>
    </row>
    <row r="7982" spans="30:30" ht="14" thickBot="1" x14ac:dyDescent="0.2">
      <c r="AD7982" s="98">
        <f t="shared" si="331"/>
        <v>52905</v>
      </c>
    </row>
    <row r="7983" spans="30:30" ht="14" thickBot="1" x14ac:dyDescent="0.2">
      <c r="AD7983" s="98">
        <f t="shared" si="331"/>
        <v>52906</v>
      </c>
    </row>
    <row r="7984" spans="30:30" ht="14" thickBot="1" x14ac:dyDescent="0.2">
      <c r="AD7984" s="98">
        <f t="shared" si="331"/>
        <v>52907</v>
      </c>
    </row>
    <row r="7985" spans="30:30" ht="14" thickBot="1" x14ac:dyDescent="0.2">
      <c r="AD7985" s="98">
        <f t="shared" si="331"/>
        <v>52908</v>
      </c>
    </row>
    <row r="7986" spans="30:30" ht="14" thickBot="1" x14ac:dyDescent="0.2">
      <c r="AD7986" s="98">
        <f t="shared" si="331"/>
        <v>52909</v>
      </c>
    </row>
    <row r="7987" spans="30:30" ht="14" thickBot="1" x14ac:dyDescent="0.2">
      <c r="AD7987" s="98">
        <f t="shared" si="331"/>
        <v>52910</v>
      </c>
    </row>
    <row r="7988" spans="30:30" ht="14" thickBot="1" x14ac:dyDescent="0.2">
      <c r="AD7988" s="98">
        <f t="shared" si="331"/>
        <v>52911</v>
      </c>
    </row>
    <row r="7989" spans="30:30" ht="14" thickBot="1" x14ac:dyDescent="0.2">
      <c r="AD7989" s="98">
        <f t="shared" si="331"/>
        <v>52912</v>
      </c>
    </row>
    <row r="7990" spans="30:30" ht="14" thickBot="1" x14ac:dyDescent="0.2">
      <c r="AD7990" s="98">
        <f t="shared" si="331"/>
        <v>52913</v>
      </c>
    </row>
    <row r="7991" spans="30:30" ht="14" thickBot="1" x14ac:dyDescent="0.2">
      <c r="AD7991" s="98">
        <f t="shared" si="331"/>
        <v>52914</v>
      </c>
    </row>
    <row r="7992" spans="30:30" ht="14" thickBot="1" x14ac:dyDescent="0.2">
      <c r="AD7992" s="98">
        <f t="shared" si="331"/>
        <v>52915</v>
      </c>
    </row>
    <row r="7993" spans="30:30" ht="14" thickBot="1" x14ac:dyDescent="0.2">
      <c r="AD7993" s="98">
        <f t="shared" si="331"/>
        <v>52916</v>
      </c>
    </row>
    <row r="7994" spans="30:30" ht="14" thickBot="1" x14ac:dyDescent="0.2">
      <c r="AD7994" s="98">
        <f t="shared" si="331"/>
        <v>52917</v>
      </c>
    </row>
    <row r="7995" spans="30:30" ht="14" thickBot="1" x14ac:dyDescent="0.2">
      <c r="AD7995" s="98">
        <f t="shared" si="331"/>
        <v>52918</v>
      </c>
    </row>
    <row r="7996" spans="30:30" ht="14" thickBot="1" x14ac:dyDescent="0.2">
      <c r="AD7996" s="98">
        <f t="shared" si="331"/>
        <v>52919</v>
      </c>
    </row>
    <row r="7997" spans="30:30" ht="14" thickBot="1" x14ac:dyDescent="0.2">
      <c r="AD7997" s="98">
        <f t="shared" si="331"/>
        <v>52920</v>
      </c>
    </row>
    <row r="7998" spans="30:30" ht="14" thickBot="1" x14ac:dyDescent="0.2">
      <c r="AD7998" s="98">
        <f t="shared" si="331"/>
        <v>52921</v>
      </c>
    </row>
    <row r="7999" spans="30:30" ht="14" thickBot="1" x14ac:dyDescent="0.2">
      <c r="AD7999" s="98">
        <f t="shared" si="331"/>
        <v>52922</v>
      </c>
    </row>
    <row r="8000" spans="30:30" ht="14" thickBot="1" x14ac:dyDescent="0.2">
      <c r="AD8000" s="98">
        <f t="shared" si="331"/>
        <v>52923</v>
      </c>
    </row>
    <row r="8001" spans="30:30" ht="14" thickBot="1" x14ac:dyDescent="0.2">
      <c r="AD8001" s="98">
        <f t="shared" si="331"/>
        <v>52924</v>
      </c>
    </row>
    <row r="8002" spans="30:30" ht="14" thickBot="1" x14ac:dyDescent="0.2">
      <c r="AD8002" s="98">
        <f t="shared" si="331"/>
        <v>52925</v>
      </c>
    </row>
    <row r="8003" spans="30:30" ht="14" thickBot="1" x14ac:dyDescent="0.2">
      <c r="AD8003" s="98">
        <f t="shared" si="331"/>
        <v>52926</v>
      </c>
    </row>
    <row r="8004" spans="30:30" ht="14" thickBot="1" x14ac:dyDescent="0.2">
      <c r="AD8004" s="98">
        <f t="shared" si="331"/>
        <v>52927</v>
      </c>
    </row>
    <row r="8005" spans="30:30" ht="14" thickBot="1" x14ac:dyDescent="0.2">
      <c r="AD8005" s="98">
        <f t="shared" si="331"/>
        <v>52928</v>
      </c>
    </row>
    <row r="8006" spans="30:30" ht="14" thickBot="1" x14ac:dyDescent="0.2">
      <c r="AD8006" s="98">
        <f t="shared" si="331"/>
        <v>52929</v>
      </c>
    </row>
    <row r="8007" spans="30:30" ht="14" thickBot="1" x14ac:dyDescent="0.2">
      <c r="AD8007" s="98">
        <f t="shared" si="331"/>
        <v>52930</v>
      </c>
    </row>
    <row r="8008" spans="30:30" ht="14" thickBot="1" x14ac:dyDescent="0.2">
      <c r="AD8008" s="98">
        <f t="shared" si="331"/>
        <v>52931</v>
      </c>
    </row>
    <row r="8009" spans="30:30" ht="14" thickBot="1" x14ac:dyDescent="0.2">
      <c r="AD8009" s="98">
        <f t="shared" ref="AD8009:AD8072" si="332">AD8008+1</f>
        <v>52932</v>
      </c>
    </row>
    <row r="8010" spans="30:30" ht="14" thickBot="1" x14ac:dyDescent="0.2">
      <c r="AD8010" s="98">
        <f t="shared" si="332"/>
        <v>52933</v>
      </c>
    </row>
    <row r="8011" spans="30:30" ht="14" thickBot="1" x14ac:dyDescent="0.2">
      <c r="AD8011" s="98">
        <f t="shared" si="332"/>
        <v>52934</v>
      </c>
    </row>
    <row r="8012" spans="30:30" ht="14" thickBot="1" x14ac:dyDescent="0.2">
      <c r="AD8012" s="98">
        <f t="shared" si="332"/>
        <v>52935</v>
      </c>
    </row>
    <row r="8013" spans="30:30" ht="14" thickBot="1" x14ac:dyDescent="0.2">
      <c r="AD8013" s="98">
        <f t="shared" si="332"/>
        <v>52936</v>
      </c>
    </row>
    <row r="8014" spans="30:30" ht="14" thickBot="1" x14ac:dyDescent="0.2">
      <c r="AD8014" s="98">
        <f t="shared" si="332"/>
        <v>52937</v>
      </c>
    </row>
    <row r="8015" spans="30:30" ht="14" thickBot="1" x14ac:dyDescent="0.2">
      <c r="AD8015" s="98">
        <f t="shared" si="332"/>
        <v>52938</v>
      </c>
    </row>
    <row r="8016" spans="30:30" ht="14" thickBot="1" x14ac:dyDescent="0.2">
      <c r="AD8016" s="98">
        <f t="shared" si="332"/>
        <v>52939</v>
      </c>
    </row>
    <row r="8017" spans="30:30" ht="14" thickBot="1" x14ac:dyDescent="0.2">
      <c r="AD8017" s="98">
        <f t="shared" si="332"/>
        <v>52940</v>
      </c>
    </row>
    <row r="8018" spans="30:30" ht="14" thickBot="1" x14ac:dyDescent="0.2">
      <c r="AD8018" s="98">
        <f t="shared" si="332"/>
        <v>52941</v>
      </c>
    </row>
    <row r="8019" spans="30:30" ht="14" thickBot="1" x14ac:dyDescent="0.2">
      <c r="AD8019" s="98">
        <f t="shared" si="332"/>
        <v>52942</v>
      </c>
    </row>
    <row r="8020" spans="30:30" ht="14" thickBot="1" x14ac:dyDescent="0.2">
      <c r="AD8020" s="98">
        <f t="shared" si="332"/>
        <v>52943</v>
      </c>
    </row>
    <row r="8021" spans="30:30" ht="14" thickBot="1" x14ac:dyDescent="0.2">
      <c r="AD8021" s="98">
        <f t="shared" si="332"/>
        <v>52944</v>
      </c>
    </row>
    <row r="8022" spans="30:30" ht="14" thickBot="1" x14ac:dyDescent="0.2">
      <c r="AD8022" s="98">
        <f t="shared" si="332"/>
        <v>52945</v>
      </c>
    </row>
    <row r="8023" spans="30:30" ht="14" thickBot="1" x14ac:dyDescent="0.2">
      <c r="AD8023" s="98">
        <f t="shared" si="332"/>
        <v>52946</v>
      </c>
    </row>
    <row r="8024" spans="30:30" ht="14" thickBot="1" x14ac:dyDescent="0.2">
      <c r="AD8024" s="98">
        <f t="shared" si="332"/>
        <v>52947</v>
      </c>
    </row>
    <row r="8025" spans="30:30" ht="14" thickBot="1" x14ac:dyDescent="0.2">
      <c r="AD8025" s="98">
        <f t="shared" si="332"/>
        <v>52948</v>
      </c>
    </row>
    <row r="8026" spans="30:30" ht="14" thickBot="1" x14ac:dyDescent="0.2">
      <c r="AD8026" s="98">
        <f t="shared" si="332"/>
        <v>52949</v>
      </c>
    </row>
    <row r="8027" spans="30:30" ht="14" thickBot="1" x14ac:dyDescent="0.2">
      <c r="AD8027" s="98">
        <f t="shared" si="332"/>
        <v>52950</v>
      </c>
    </row>
    <row r="8028" spans="30:30" ht="14" thickBot="1" x14ac:dyDescent="0.2">
      <c r="AD8028" s="98">
        <f t="shared" si="332"/>
        <v>52951</v>
      </c>
    </row>
    <row r="8029" spans="30:30" ht="14" thickBot="1" x14ac:dyDescent="0.2">
      <c r="AD8029" s="98">
        <f t="shared" si="332"/>
        <v>52952</v>
      </c>
    </row>
    <row r="8030" spans="30:30" ht="14" thickBot="1" x14ac:dyDescent="0.2">
      <c r="AD8030" s="98">
        <f t="shared" si="332"/>
        <v>52953</v>
      </c>
    </row>
    <row r="8031" spans="30:30" ht="14" thickBot="1" x14ac:dyDescent="0.2">
      <c r="AD8031" s="98">
        <f t="shared" si="332"/>
        <v>52954</v>
      </c>
    </row>
    <row r="8032" spans="30:30" ht="14" thickBot="1" x14ac:dyDescent="0.2">
      <c r="AD8032" s="98">
        <f t="shared" si="332"/>
        <v>52955</v>
      </c>
    </row>
    <row r="8033" spans="30:30" ht="14" thickBot="1" x14ac:dyDescent="0.2">
      <c r="AD8033" s="98">
        <f t="shared" si="332"/>
        <v>52956</v>
      </c>
    </row>
    <row r="8034" spans="30:30" ht="14" thickBot="1" x14ac:dyDescent="0.2">
      <c r="AD8034" s="98">
        <f t="shared" si="332"/>
        <v>52957</v>
      </c>
    </row>
    <row r="8035" spans="30:30" ht="14" thickBot="1" x14ac:dyDescent="0.2">
      <c r="AD8035" s="98">
        <f t="shared" si="332"/>
        <v>52958</v>
      </c>
    </row>
    <row r="8036" spans="30:30" ht="14" thickBot="1" x14ac:dyDescent="0.2">
      <c r="AD8036" s="98">
        <f t="shared" si="332"/>
        <v>52959</v>
      </c>
    </row>
    <row r="8037" spans="30:30" ht="14" thickBot="1" x14ac:dyDescent="0.2">
      <c r="AD8037" s="98">
        <f t="shared" si="332"/>
        <v>52960</v>
      </c>
    </row>
    <row r="8038" spans="30:30" ht="14" thickBot="1" x14ac:dyDescent="0.2">
      <c r="AD8038" s="98">
        <f t="shared" si="332"/>
        <v>52961</v>
      </c>
    </row>
    <row r="8039" spans="30:30" ht="14" thickBot="1" x14ac:dyDescent="0.2">
      <c r="AD8039" s="98">
        <f t="shared" si="332"/>
        <v>52962</v>
      </c>
    </row>
    <row r="8040" spans="30:30" ht="14" thickBot="1" x14ac:dyDescent="0.2">
      <c r="AD8040" s="98">
        <f t="shared" si="332"/>
        <v>52963</v>
      </c>
    </row>
    <row r="8041" spans="30:30" ht="14" thickBot="1" x14ac:dyDescent="0.2">
      <c r="AD8041" s="98">
        <f t="shared" si="332"/>
        <v>52964</v>
      </c>
    </row>
    <row r="8042" spans="30:30" ht="14" thickBot="1" x14ac:dyDescent="0.2">
      <c r="AD8042" s="98">
        <f t="shared" si="332"/>
        <v>52965</v>
      </c>
    </row>
    <row r="8043" spans="30:30" ht="14" thickBot="1" x14ac:dyDescent="0.2">
      <c r="AD8043" s="98">
        <f t="shared" si="332"/>
        <v>52966</v>
      </c>
    </row>
    <row r="8044" spans="30:30" ht="14" thickBot="1" x14ac:dyDescent="0.2">
      <c r="AD8044" s="98">
        <f t="shared" si="332"/>
        <v>52967</v>
      </c>
    </row>
    <row r="8045" spans="30:30" ht="14" thickBot="1" x14ac:dyDescent="0.2">
      <c r="AD8045" s="98">
        <f t="shared" si="332"/>
        <v>52968</v>
      </c>
    </row>
    <row r="8046" spans="30:30" ht="14" thickBot="1" x14ac:dyDescent="0.2">
      <c r="AD8046" s="98">
        <f t="shared" si="332"/>
        <v>52969</v>
      </c>
    </row>
    <row r="8047" spans="30:30" ht="14" thickBot="1" x14ac:dyDescent="0.2">
      <c r="AD8047" s="98">
        <f t="shared" si="332"/>
        <v>52970</v>
      </c>
    </row>
    <row r="8048" spans="30:30" ht="14" thickBot="1" x14ac:dyDescent="0.2">
      <c r="AD8048" s="98">
        <f t="shared" si="332"/>
        <v>52971</v>
      </c>
    </row>
    <row r="8049" spans="30:30" ht="14" thickBot="1" x14ac:dyDescent="0.2">
      <c r="AD8049" s="98">
        <f t="shared" si="332"/>
        <v>52972</v>
      </c>
    </row>
    <row r="8050" spans="30:30" ht="14" thickBot="1" x14ac:dyDescent="0.2">
      <c r="AD8050" s="98">
        <f t="shared" si="332"/>
        <v>52973</v>
      </c>
    </row>
    <row r="8051" spans="30:30" ht="14" thickBot="1" x14ac:dyDescent="0.2">
      <c r="AD8051" s="98">
        <f t="shared" si="332"/>
        <v>52974</v>
      </c>
    </row>
    <row r="8052" spans="30:30" ht="14" thickBot="1" x14ac:dyDescent="0.2">
      <c r="AD8052" s="98">
        <f t="shared" si="332"/>
        <v>52975</v>
      </c>
    </row>
    <row r="8053" spans="30:30" ht="14" thickBot="1" x14ac:dyDescent="0.2">
      <c r="AD8053" s="98">
        <f t="shared" si="332"/>
        <v>52976</v>
      </c>
    </row>
    <row r="8054" spans="30:30" ht="14" thickBot="1" x14ac:dyDescent="0.2">
      <c r="AD8054" s="98">
        <f t="shared" si="332"/>
        <v>52977</v>
      </c>
    </row>
    <row r="8055" spans="30:30" ht="14" thickBot="1" x14ac:dyDescent="0.2">
      <c r="AD8055" s="98">
        <f t="shared" si="332"/>
        <v>52978</v>
      </c>
    </row>
    <row r="8056" spans="30:30" ht="14" thickBot="1" x14ac:dyDescent="0.2">
      <c r="AD8056" s="98">
        <f t="shared" si="332"/>
        <v>52979</v>
      </c>
    </row>
    <row r="8057" spans="30:30" ht="14" thickBot="1" x14ac:dyDescent="0.2">
      <c r="AD8057" s="98">
        <f t="shared" si="332"/>
        <v>52980</v>
      </c>
    </row>
    <row r="8058" spans="30:30" ht="14" thickBot="1" x14ac:dyDescent="0.2">
      <c r="AD8058" s="98">
        <f t="shared" si="332"/>
        <v>52981</v>
      </c>
    </row>
    <row r="8059" spans="30:30" ht="14" thickBot="1" x14ac:dyDescent="0.2">
      <c r="AD8059" s="98">
        <f t="shared" si="332"/>
        <v>52982</v>
      </c>
    </row>
    <row r="8060" spans="30:30" ht="14" thickBot="1" x14ac:dyDescent="0.2">
      <c r="AD8060" s="98">
        <f t="shared" si="332"/>
        <v>52983</v>
      </c>
    </row>
    <row r="8061" spans="30:30" ht="14" thickBot="1" x14ac:dyDescent="0.2">
      <c r="AD8061" s="98">
        <f t="shared" si="332"/>
        <v>52984</v>
      </c>
    </row>
    <row r="8062" spans="30:30" ht="14" thickBot="1" x14ac:dyDescent="0.2">
      <c r="AD8062" s="98">
        <f t="shared" si="332"/>
        <v>52985</v>
      </c>
    </row>
    <row r="8063" spans="30:30" ht="14" thickBot="1" x14ac:dyDescent="0.2">
      <c r="AD8063" s="98">
        <f t="shared" si="332"/>
        <v>52986</v>
      </c>
    </row>
    <row r="8064" spans="30:30" ht="14" thickBot="1" x14ac:dyDescent="0.2">
      <c r="AD8064" s="98">
        <f t="shared" si="332"/>
        <v>52987</v>
      </c>
    </row>
    <row r="8065" spans="30:30" ht="14" thickBot="1" x14ac:dyDescent="0.2">
      <c r="AD8065" s="98">
        <f t="shared" si="332"/>
        <v>52988</v>
      </c>
    </row>
    <row r="8066" spans="30:30" ht="14" thickBot="1" x14ac:dyDescent="0.2">
      <c r="AD8066" s="98">
        <f t="shared" si="332"/>
        <v>52989</v>
      </c>
    </row>
    <row r="8067" spans="30:30" ht="14" thickBot="1" x14ac:dyDescent="0.2">
      <c r="AD8067" s="98">
        <f t="shared" si="332"/>
        <v>52990</v>
      </c>
    </row>
    <row r="8068" spans="30:30" ht="14" thickBot="1" x14ac:dyDescent="0.2">
      <c r="AD8068" s="98">
        <f t="shared" si="332"/>
        <v>52991</v>
      </c>
    </row>
    <row r="8069" spans="30:30" ht="14" thickBot="1" x14ac:dyDescent="0.2">
      <c r="AD8069" s="98">
        <f t="shared" si="332"/>
        <v>52992</v>
      </c>
    </row>
    <row r="8070" spans="30:30" ht="14" thickBot="1" x14ac:dyDescent="0.2">
      <c r="AD8070" s="98">
        <f t="shared" si="332"/>
        <v>52993</v>
      </c>
    </row>
    <row r="8071" spans="30:30" ht="14" thickBot="1" x14ac:dyDescent="0.2">
      <c r="AD8071" s="98">
        <f t="shared" si="332"/>
        <v>52994</v>
      </c>
    </row>
    <row r="8072" spans="30:30" ht="14" thickBot="1" x14ac:dyDescent="0.2">
      <c r="AD8072" s="98">
        <f t="shared" si="332"/>
        <v>52995</v>
      </c>
    </row>
    <row r="8073" spans="30:30" ht="14" thickBot="1" x14ac:dyDescent="0.2">
      <c r="AD8073" s="98">
        <f t="shared" ref="AD8073:AD8136" si="333">AD8072+1</f>
        <v>52996</v>
      </c>
    </row>
    <row r="8074" spans="30:30" ht="14" thickBot="1" x14ac:dyDescent="0.2">
      <c r="AD8074" s="98">
        <f t="shared" si="333"/>
        <v>52997</v>
      </c>
    </row>
    <row r="8075" spans="30:30" ht="14" thickBot="1" x14ac:dyDescent="0.2">
      <c r="AD8075" s="98">
        <f t="shared" si="333"/>
        <v>52998</v>
      </c>
    </row>
    <row r="8076" spans="30:30" ht="14" thickBot="1" x14ac:dyDescent="0.2">
      <c r="AD8076" s="98">
        <f t="shared" si="333"/>
        <v>52999</v>
      </c>
    </row>
    <row r="8077" spans="30:30" ht="14" thickBot="1" x14ac:dyDescent="0.2">
      <c r="AD8077" s="98">
        <f t="shared" si="333"/>
        <v>53000</v>
      </c>
    </row>
    <row r="8078" spans="30:30" ht="14" thickBot="1" x14ac:dyDescent="0.2">
      <c r="AD8078" s="98">
        <f t="shared" si="333"/>
        <v>53001</v>
      </c>
    </row>
    <row r="8079" spans="30:30" ht="14" thickBot="1" x14ac:dyDescent="0.2">
      <c r="AD8079" s="98">
        <f t="shared" si="333"/>
        <v>53002</v>
      </c>
    </row>
    <row r="8080" spans="30:30" ht="14" thickBot="1" x14ac:dyDescent="0.2">
      <c r="AD8080" s="98">
        <f t="shared" si="333"/>
        <v>53003</v>
      </c>
    </row>
    <row r="8081" spans="30:30" ht="14" thickBot="1" x14ac:dyDescent="0.2">
      <c r="AD8081" s="98">
        <f t="shared" si="333"/>
        <v>53004</v>
      </c>
    </row>
    <row r="8082" spans="30:30" ht="14" thickBot="1" x14ac:dyDescent="0.2">
      <c r="AD8082" s="98">
        <f t="shared" si="333"/>
        <v>53005</v>
      </c>
    </row>
    <row r="8083" spans="30:30" ht="14" thickBot="1" x14ac:dyDescent="0.2">
      <c r="AD8083" s="98">
        <f t="shared" si="333"/>
        <v>53006</v>
      </c>
    </row>
    <row r="8084" spans="30:30" ht="14" thickBot="1" x14ac:dyDescent="0.2">
      <c r="AD8084" s="98">
        <f t="shared" si="333"/>
        <v>53007</v>
      </c>
    </row>
    <row r="8085" spans="30:30" ht="14" thickBot="1" x14ac:dyDescent="0.2">
      <c r="AD8085" s="98">
        <f t="shared" si="333"/>
        <v>53008</v>
      </c>
    </row>
    <row r="8086" spans="30:30" ht="14" thickBot="1" x14ac:dyDescent="0.2">
      <c r="AD8086" s="98">
        <f t="shared" si="333"/>
        <v>53009</v>
      </c>
    </row>
    <row r="8087" spans="30:30" ht="14" thickBot="1" x14ac:dyDescent="0.2">
      <c r="AD8087" s="98">
        <f t="shared" si="333"/>
        <v>53010</v>
      </c>
    </row>
    <row r="8088" spans="30:30" ht="14" thickBot="1" x14ac:dyDescent="0.2">
      <c r="AD8088" s="98">
        <f t="shared" si="333"/>
        <v>53011</v>
      </c>
    </row>
    <row r="8089" spans="30:30" ht="14" thickBot="1" x14ac:dyDescent="0.2">
      <c r="AD8089" s="98">
        <f t="shared" si="333"/>
        <v>53012</v>
      </c>
    </row>
    <row r="8090" spans="30:30" ht="14" thickBot="1" x14ac:dyDescent="0.2">
      <c r="AD8090" s="98">
        <f t="shared" si="333"/>
        <v>53013</v>
      </c>
    </row>
    <row r="8091" spans="30:30" ht="14" thickBot="1" x14ac:dyDescent="0.2">
      <c r="AD8091" s="98">
        <f t="shared" si="333"/>
        <v>53014</v>
      </c>
    </row>
    <row r="8092" spans="30:30" ht="14" thickBot="1" x14ac:dyDescent="0.2">
      <c r="AD8092" s="98">
        <f t="shared" si="333"/>
        <v>53015</v>
      </c>
    </row>
    <row r="8093" spans="30:30" ht="14" thickBot="1" x14ac:dyDescent="0.2">
      <c r="AD8093" s="98">
        <f t="shared" si="333"/>
        <v>53016</v>
      </c>
    </row>
    <row r="8094" spans="30:30" ht="14" thickBot="1" x14ac:dyDescent="0.2">
      <c r="AD8094" s="98">
        <f t="shared" si="333"/>
        <v>53017</v>
      </c>
    </row>
    <row r="8095" spans="30:30" ht="14" thickBot="1" x14ac:dyDescent="0.2">
      <c r="AD8095" s="98">
        <f t="shared" si="333"/>
        <v>53018</v>
      </c>
    </row>
    <row r="8096" spans="30:30" ht="14" thickBot="1" x14ac:dyDescent="0.2">
      <c r="AD8096" s="98">
        <f t="shared" si="333"/>
        <v>53019</v>
      </c>
    </row>
    <row r="8097" spans="30:30" ht="14" thickBot="1" x14ac:dyDescent="0.2">
      <c r="AD8097" s="98">
        <f t="shared" si="333"/>
        <v>53020</v>
      </c>
    </row>
    <row r="8098" spans="30:30" ht="14" thickBot="1" x14ac:dyDescent="0.2">
      <c r="AD8098" s="98">
        <f t="shared" si="333"/>
        <v>53021</v>
      </c>
    </row>
    <row r="8099" spans="30:30" ht="14" thickBot="1" x14ac:dyDescent="0.2">
      <c r="AD8099" s="98">
        <f t="shared" si="333"/>
        <v>53022</v>
      </c>
    </row>
    <row r="8100" spans="30:30" ht="14" thickBot="1" x14ac:dyDescent="0.2">
      <c r="AD8100" s="98">
        <f t="shared" si="333"/>
        <v>53023</v>
      </c>
    </row>
    <row r="8101" spans="30:30" ht="14" thickBot="1" x14ac:dyDescent="0.2">
      <c r="AD8101" s="98">
        <f t="shared" si="333"/>
        <v>53024</v>
      </c>
    </row>
    <row r="8102" spans="30:30" ht="14" thickBot="1" x14ac:dyDescent="0.2">
      <c r="AD8102" s="98">
        <f t="shared" si="333"/>
        <v>53025</v>
      </c>
    </row>
    <row r="8103" spans="30:30" ht="14" thickBot="1" x14ac:dyDescent="0.2">
      <c r="AD8103" s="98">
        <f t="shared" si="333"/>
        <v>53026</v>
      </c>
    </row>
    <row r="8104" spans="30:30" ht="14" thickBot="1" x14ac:dyDescent="0.2">
      <c r="AD8104" s="98">
        <f t="shared" si="333"/>
        <v>53027</v>
      </c>
    </row>
    <row r="8105" spans="30:30" ht="14" thickBot="1" x14ac:dyDescent="0.2">
      <c r="AD8105" s="98">
        <f t="shared" si="333"/>
        <v>53028</v>
      </c>
    </row>
    <row r="8106" spans="30:30" ht="14" thickBot="1" x14ac:dyDescent="0.2">
      <c r="AD8106" s="98">
        <f t="shared" si="333"/>
        <v>53029</v>
      </c>
    </row>
    <row r="8107" spans="30:30" ht="14" thickBot="1" x14ac:dyDescent="0.2">
      <c r="AD8107" s="98">
        <f t="shared" si="333"/>
        <v>53030</v>
      </c>
    </row>
    <row r="8108" spans="30:30" ht="14" thickBot="1" x14ac:dyDescent="0.2">
      <c r="AD8108" s="98">
        <f t="shared" si="333"/>
        <v>53031</v>
      </c>
    </row>
    <row r="8109" spans="30:30" ht="14" thickBot="1" x14ac:dyDescent="0.2">
      <c r="AD8109" s="98">
        <f t="shared" si="333"/>
        <v>53032</v>
      </c>
    </row>
    <row r="8110" spans="30:30" ht="14" thickBot="1" x14ac:dyDescent="0.2">
      <c r="AD8110" s="98">
        <f t="shared" si="333"/>
        <v>53033</v>
      </c>
    </row>
    <row r="8111" spans="30:30" ht="14" thickBot="1" x14ac:dyDescent="0.2">
      <c r="AD8111" s="98">
        <f t="shared" si="333"/>
        <v>53034</v>
      </c>
    </row>
    <row r="8112" spans="30:30" ht="14" thickBot="1" x14ac:dyDescent="0.2">
      <c r="AD8112" s="98">
        <f t="shared" si="333"/>
        <v>53035</v>
      </c>
    </row>
    <row r="8113" spans="30:30" ht="14" thickBot="1" x14ac:dyDescent="0.2">
      <c r="AD8113" s="98">
        <f t="shared" si="333"/>
        <v>53036</v>
      </c>
    </row>
    <row r="8114" spans="30:30" ht="14" thickBot="1" x14ac:dyDescent="0.2">
      <c r="AD8114" s="98">
        <f t="shared" si="333"/>
        <v>53037</v>
      </c>
    </row>
    <row r="8115" spans="30:30" ht="14" thickBot="1" x14ac:dyDescent="0.2">
      <c r="AD8115" s="98">
        <f t="shared" si="333"/>
        <v>53038</v>
      </c>
    </row>
    <row r="8116" spans="30:30" ht="14" thickBot="1" x14ac:dyDescent="0.2">
      <c r="AD8116" s="98">
        <f t="shared" si="333"/>
        <v>53039</v>
      </c>
    </row>
    <row r="8117" spans="30:30" ht="14" thickBot="1" x14ac:dyDescent="0.2">
      <c r="AD8117" s="98">
        <f t="shared" si="333"/>
        <v>53040</v>
      </c>
    </row>
    <row r="8118" spans="30:30" ht="14" thickBot="1" x14ac:dyDescent="0.2">
      <c r="AD8118" s="98">
        <f t="shared" si="333"/>
        <v>53041</v>
      </c>
    </row>
    <row r="8119" spans="30:30" ht="14" thickBot="1" x14ac:dyDescent="0.2">
      <c r="AD8119" s="98">
        <f t="shared" si="333"/>
        <v>53042</v>
      </c>
    </row>
    <row r="8120" spans="30:30" ht="14" thickBot="1" x14ac:dyDescent="0.2">
      <c r="AD8120" s="98">
        <f t="shared" si="333"/>
        <v>53043</v>
      </c>
    </row>
    <row r="8121" spans="30:30" ht="14" thickBot="1" x14ac:dyDescent="0.2">
      <c r="AD8121" s="98">
        <f t="shared" si="333"/>
        <v>53044</v>
      </c>
    </row>
    <row r="8122" spans="30:30" ht="14" thickBot="1" x14ac:dyDescent="0.2">
      <c r="AD8122" s="98">
        <f t="shared" si="333"/>
        <v>53045</v>
      </c>
    </row>
    <row r="8123" spans="30:30" ht="14" thickBot="1" x14ac:dyDescent="0.2">
      <c r="AD8123" s="98">
        <f t="shared" si="333"/>
        <v>53046</v>
      </c>
    </row>
    <row r="8124" spans="30:30" ht="14" thickBot="1" x14ac:dyDescent="0.2">
      <c r="AD8124" s="98">
        <f t="shared" si="333"/>
        <v>53047</v>
      </c>
    </row>
    <row r="8125" spans="30:30" ht="14" thickBot="1" x14ac:dyDescent="0.2">
      <c r="AD8125" s="98">
        <f t="shared" si="333"/>
        <v>53048</v>
      </c>
    </row>
    <row r="8126" spans="30:30" ht="14" thickBot="1" x14ac:dyDescent="0.2">
      <c r="AD8126" s="98">
        <f t="shared" si="333"/>
        <v>53049</v>
      </c>
    </row>
    <row r="8127" spans="30:30" ht="14" thickBot="1" x14ac:dyDescent="0.2">
      <c r="AD8127" s="98">
        <f t="shared" si="333"/>
        <v>53050</v>
      </c>
    </row>
    <row r="8128" spans="30:30" ht="14" thickBot="1" x14ac:dyDescent="0.2">
      <c r="AD8128" s="98">
        <f t="shared" si="333"/>
        <v>53051</v>
      </c>
    </row>
    <row r="8129" spans="30:30" ht="14" thickBot="1" x14ac:dyDescent="0.2">
      <c r="AD8129" s="98">
        <f t="shared" si="333"/>
        <v>53052</v>
      </c>
    </row>
    <row r="8130" spans="30:30" ht="14" thickBot="1" x14ac:dyDescent="0.2">
      <c r="AD8130" s="98">
        <f t="shared" si="333"/>
        <v>53053</v>
      </c>
    </row>
    <row r="8131" spans="30:30" ht="14" thickBot="1" x14ac:dyDescent="0.2">
      <c r="AD8131" s="98">
        <f t="shared" si="333"/>
        <v>53054</v>
      </c>
    </row>
    <row r="8132" spans="30:30" ht="14" thickBot="1" x14ac:dyDescent="0.2">
      <c r="AD8132" s="98">
        <f t="shared" si="333"/>
        <v>53055</v>
      </c>
    </row>
    <row r="8133" spans="30:30" ht="14" thickBot="1" x14ac:dyDescent="0.2">
      <c r="AD8133" s="98">
        <f t="shared" si="333"/>
        <v>53056</v>
      </c>
    </row>
    <row r="8134" spans="30:30" ht="14" thickBot="1" x14ac:dyDescent="0.2">
      <c r="AD8134" s="98">
        <f t="shared" si="333"/>
        <v>53057</v>
      </c>
    </row>
    <row r="8135" spans="30:30" ht="14" thickBot="1" x14ac:dyDescent="0.2">
      <c r="AD8135" s="98">
        <f t="shared" si="333"/>
        <v>53058</v>
      </c>
    </row>
    <row r="8136" spans="30:30" ht="14" thickBot="1" x14ac:dyDescent="0.2">
      <c r="AD8136" s="98">
        <f t="shared" si="333"/>
        <v>53059</v>
      </c>
    </row>
    <row r="8137" spans="30:30" ht="14" thickBot="1" x14ac:dyDescent="0.2">
      <c r="AD8137" s="98">
        <f t="shared" ref="AD8137:AD8200" si="334">AD8136+1</f>
        <v>53060</v>
      </c>
    </row>
    <row r="8138" spans="30:30" ht="14" thickBot="1" x14ac:dyDescent="0.2">
      <c r="AD8138" s="98">
        <f t="shared" si="334"/>
        <v>53061</v>
      </c>
    </row>
    <row r="8139" spans="30:30" ht="14" thickBot="1" x14ac:dyDescent="0.2">
      <c r="AD8139" s="98">
        <f t="shared" si="334"/>
        <v>53062</v>
      </c>
    </row>
    <row r="8140" spans="30:30" ht="14" thickBot="1" x14ac:dyDescent="0.2">
      <c r="AD8140" s="98">
        <f t="shared" si="334"/>
        <v>53063</v>
      </c>
    </row>
    <row r="8141" spans="30:30" ht="14" thickBot="1" x14ac:dyDescent="0.2">
      <c r="AD8141" s="98">
        <f t="shared" si="334"/>
        <v>53064</v>
      </c>
    </row>
    <row r="8142" spans="30:30" ht="14" thickBot="1" x14ac:dyDescent="0.2">
      <c r="AD8142" s="98">
        <f t="shared" si="334"/>
        <v>53065</v>
      </c>
    </row>
    <row r="8143" spans="30:30" ht="14" thickBot="1" x14ac:dyDescent="0.2">
      <c r="AD8143" s="98">
        <f t="shared" si="334"/>
        <v>53066</v>
      </c>
    </row>
    <row r="8144" spans="30:30" ht="14" thickBot="1" x14ac:dyDescent="0.2">
      <c r="AD8144" s="98">
        <f t="shared" si="334"/>
        <v>53067</v>
      </c>
    </row>
    <row r="8145" spans="30:30" ht="14" thickBot="1" x14ac:dyDescent="0.2">
      <c r="AD8145" s="98">
        <f t="shared" si="334"/>
        <v>53068</v>
      </c>
    </row>
    <row r="8146" spans="30:30" ht="14" thickBot="1" x14ac:dyDescent="0.2">
      <c r="AD8146" s="98">
        <f t="shared" si="334"/>
        <v>53069</v>
      </c>
    </row>
    <row r="8147" spans="30:30" ht="14" thickBot="1" x14ac:dyDescent="0.2">
      <c r="AD8147" s="98">
        <f t="shared" si="334"/>
        <v>53070</v>
      </c>
    </row>
    <row r="8148" spans="30:30" ht="14" thickBot="1" x14ac:dyDescent="0.2">
      <c r="AD8148" s="98">
        <f t="shared" si="334"/>
        <v>53071</v>
      </c>
    </row>
    <row r="8149" spans="30:30" ht="14" thickBot="1" x14ac:dyDescent="0.2">
      <c r="AD8149" s="98">
        <f t="shared" si="334"/>
        <v>53072</v>
      </c>
    </row>
    <row r="8150" spans="30:30" ht="14" thickBot="1" x14ac:dyDescent="0.2">
      <c r="AD8150" s="98">
        <f t="shared" si="334"/>
        <v>53073</v>
      </c>
    </row>
    <row r="8151" spans="30:30" ht="14" thickBot="1" x14ac:dyDescent="0.2">
      <c r="AD8151" s="98">
        <f t="shared" si="334"/>
        <v>53074</v>
      </c>
    </row>
    <row r="8152" spans="30:30" ht="14" thickBot="1" x14ac:dyDescent="0.2">
      <c r="AD8152" s="98">
        <f t="shared" si="334"/>
        <v>53075</v>
      </c>
    </row>
    <row r="8153" spans="30:30" ht="14" thickBot="1" x14ac:dyDescent="0.2">
      <c r="AD8153" s="98">
        <f t="shared" si="334"/>
        <v>53076</v>
      </c>
    </row>
    <row r="8154" spans="30:30" ht="14" thickBot="1" x14ac:dyDescent="0.2">
      <c r="AD8154" s="98">
        <f t="shared" si="334"/>
        <v>53077</v>
      </c>
    </row>
    <row r="8155" spans="30:30" ht="14" thickBot="1" x14ac:dyDescent="0.2">
      <c r="AD8155" s="98">
        <f t="shared" si="334"/>
        <v>53078</v>
      </c>
    </row>
    <row r="8156" spans="30:30" ht="14" thickBot="1" x14ac:dyDescent="0.2">
      <c r="AD8156" s="98">
        <f t="shared" si="334"/>
        <v>53079</v>
      </c>
    </row>
    <row r="8157" spans="30:30" ht="14" thickBot="1" x14ac:dyDescent="0.2">
      <c r="AD8157" s="98">
        <f t="shared" si="334"/>
        <v>53080</v>
      </c>
    </row>
    <row r="8158" spans="30:30" ht="14" thickBot="1" x14ac:dyDescent="0.2">
      <c r="AD8158" s="98">
        <f t="shared" si="334"/>
        <v>53081</v>
      </c>
    </row>
    <row r="8159" spans="30:30" ht="14" thickBot="1" x14ac:dyDescent="0.2">
      <c r="AD8159" s="98">
        <f t="shared" si="334"/>
        <v>53082</v>
      </c>
    </row>
    <row r="8160" spans="30:30" ht="14" thickBot="1" x14ac:dyDescent="0.2">
      <c r="AD8160" s="98">
        <f t="shared" si="334"/>
        <v>53083</v>
      </c>
    </row>
    <row r="8161" spans="30:30" ht="14" thickBot="1" x14ac:dyDescent="0.2">
      <c r="AD8161" s="98">
        <f t="shared" si="334"/>
        <v>53084</v>
      </c>
    </row>
    <row r="8162" spans="30:30" ht="14" thickBot="1" x14ac:dyDescent="0.2">
      <c r="AD8162" s="98">
        <f t="shared" si="334"/>
        <v>53085</v>
      </c>
    </row>
    <row r="8163" spans="30:30" ht="14" thickBot="1" x14ac:dyDescent="0.2">
      <c r="AD8163" s="98">
        <f t="shared" si="334"/>
        <v>53086</v>
      </c>
    </row>
    <row r="8164" spans="30:30" ht="14" thickBot="1" x14ac:dyDescent="0.2">
      <c r="AD8164" s="98">
        <f t="shared" si="334"/>
        <v>53087</v>
      </c>
    </row>
    <row r="8165" spans="30:30" ht="14" thickBot="1" x14ac:dyDescent="0.2">
      <c r="AD8165" s="98">
        <f t="shared" si="334"/>
        <v>53088</v>
      </c>
    </row>
    <row r="8166" spans="30:30" ht="14" thickBot="1" x14ac:dyDescent="0.2">
      <c r="AD8166" s="98">
        <f t="shared" si="334"/>
        <v>53089</v>
      </c>
    </row>
    <row r="8167" spans="30:30" ht="14" thickBot="1" x14ac:dyDescent="0.2">
      <c r="AD8167" s="98">
        <f t="shared" si="334"/>
        <v>53090</v>
      </c>
    </row>
    <row r="8168" spans="30:30" ht="14" thickBot="1" x14ac:dyDescent="0.2">
      <c r="AD8168" s="98">
        <f t="shared" si="334"/>
        <v>53091</v>
      </c>
    </row>
    <row r="8169" spans="30:30" ht="14" thickBot="1" x14ac:dyDescent="0.2">
      <c r="AD8169" s="98">
        <f t="shared" si="334"/>
        <v>53092</v>
      </c>
    </row>
    <row r="8170" spans="30:30" ht="14" thickBot="1" x14ac:dyDescent="0.2">
      <c r="AD8170" s="98">
        <f t="shared" si="334"/>
        <v>53093</v>
      </c>
    </row>
    <row r="8171" spans="30:30" ht="14" thickBot="1" x14ac:dyDescent="0.2">
      <c r="AD8171" s="98">
        <f t="shared" si="334"/>
        <v>53094</v>
      </c>
    </row>
    <row r="8172" spans="30:30" ht="14" thickBot="1" x14ac:dyDescent="0.2">
      <c r="AD8172" s="98">
        <f t="shared" si="334"/>
        <v>53095</v>
      </c>
    </row>
    <row r="8173" spans="30:30" ht="14" thickBot="1" x14ac:dyDescent="0.2">
      <c r="AD8173" s="98">
        <f t="shared" si="334"/>
        <v>53096</v>
      </c>
    </row>
    <row r="8174" spans="30:30" ht="14" thickBot="1" x14ac:dyDescent="0.2">
      <c r="AD8174" s="98">
        <f t="shared" si="334"/>
        <v>53097</v>
      </c>
    </row>
    <row r="8175" spans="30:30" ht="14" thickBot="1" x14ac:dyDescent="0.2">
      <c r="AD8175" s="98">
        <f t="shared" si="334"/>
        <v>53098</v>
      </c>
    </row>
    <row r="8176" spans="30:30" ht="14" thickBot="1" x14ac:dyDescent="0.2">
      <c r="AD8176" s="98">
        <f t="shared" si="334"/>
        <v>53099</v>
      </c>
    </row>
    <row r="8177" spans="30:30" ht="14" thickBot="1" x14ac:dyDescent="0.2">
      <c r="AD8177" s="98">
        <f t="shared" si="334"/>
        <v>53100</v>
      </c>
    </row>
    <row r="8178" spans="30:30" ht="14" thickBot="1" x14ac:dyDescent="0.2">
      <c r="AD8178" s="98">
        <f t="shared" si="334"/>
        <v>53101</v>
      </c>
    </row>
    <row r="8179" spans="30:30" ht="14" thickBot="1" x14ac:dyDescent="0.2">
      <c r="AD8179" s="98">
        <f t="shared" si="334"/>
        <v>53102</v>
      </c>
    </row>
    <row r="8180" spans="30:30" ht="14" thickBot="1" x14ac:dyDescent="0.2">
      <c r="AD8180" s="98">
        <f t="shared" si="334"/>
        <v>53103</v>
      </c>
    </row>
    <row r="8181" spans="30:30" ht="14" thickBot="1" x14ac:dyDescent="0.2">
      <c r="AD8181" s="98">
        <f t="shared" si="334"/>
        <v>53104</v>
      </c>
    </row>
    <row r="8182" spans="30:30" ht="14" thickBot="1" x14ac:dyDescent="0.2">
      <c r="AD8182" s="98">
        <f t="shared" si="334"/>
        <v>53105</v>
      </c>
    </row>
    <row r="8183" spans="30:30" ht="14" thickBot="1" x14ac:dyDescent="0.2">
      <c r="AD8183" s="98">
        <f t="shared" si="334"/>
        <v>53106</v>
      </c>
    </row>
    <row r="8184" spans="30:30" ht="14" thickBot="1" x14ac:dyDescent="0.2">
      <c r="AD8184" s="98">
        <f t="shared" si="334"/>
        <v>53107</v>
      </c>
    </row>
    <row r="8185" spans="30:30" ht="14" thickBot="1" x14ac:dyDescent="0.2">
      <c r="AD8185" s="98">
        <f t="shared" si="334"/>
        <v>53108</v>
      </c>
    </row>
    <row r="8186" spans="30:30" ht="14" thickBot="1" x14ac:dyDescent="0.2">
      <c r="AD8186" s="98">
        <f t="shared" si="334"/>
        <v>53109</v>
      </c>
    </row>
    <row r="8187" spans="30:30" ht="14" thickBot="1" x14ac:dyDescent="0.2">
      <c r="AD8187" s="98">
        <f t="shared" si="334"/>
        <v>53110</v>
      </c>
    </row>
    <row r="8188" spans="30:30" ht="14" thickBot="1" x14ac:dyDescent="0.2">
      <c r="AD8188" s="98">
        <f t="shared" si="334"/>
        <v>53111</v>
      </c>
    </row>
    <row r="8189" spans="30:30" ht="14" thickBot="1" x14ac:dyDescent="0.2">
      <c r="AD8189" s="98">
        <f t="shared" si="334"/>
        <v>53112</v>
      </c>
    </row>
    <row r="8190" spans="30:30" ht="14" thickBot="1" x14ac:dyDescent="0.2">
      <c r="AD8190" s="98">
        <f t="shared" si="334"/>
        <v>53113</v>
      </c>
    </row>
    <row r="8191" spans="30:30" ht="14" thickBot="1" x14ac:dyDescent="0.2">
      <c r="AD8191" s="98">
        <f t="shared" si="334"/>
        <v>53114</v>
      </c>
    </row>
    <row r="8192" spans="30:30" ht="14" thickBot="1" x14ac:dyDescent="0.2">
      <c r="AD8192" s="98">
        <f t="shared" si="334"/>
        <v>53115</v>
      </c>
    </row>
    <row r="8193" spans="30:30" ht="14" thickBot="1" x14ac:dyDescent="0.2">
      <c r="AD8193" s="98">
        <f t="shared" si="334"/>
        <v>53116</v>
      </c>
    </row>
    <row r="8194" spans="30:30" ht="14" thickBot="1" x14ac:dyDescent="0.2">
      <c r="AD8194" s="98">
        <f t="shared" si="334"/>
        <v>53117</v>
      </c>
    </row>
    <row r="8195" spans="30:30" ht="14" thickBot="1" x14ac:dyDescent="0.2">
      <c r="AD8195" s="98">
        <f t="shared" si="334"/>
        <v>53118</v>
      </c>
    </row>
    <row r="8196" spans="30:30" ht="14" thickBot="1" x14ac:dyDescent="0.2">
      <c r="AD8196" s="98">
        <f t="shared" si="334"/>
        <v>53119</v>
      </c>
    </row>
    <row r="8197" spans="30:30" ht="14" thickBot="1" x14ac:dyDescent="0.2">
      <c r="AD8197" s="98">
        <f t="shared" si="334"/>
        <v>53120</v>
      </c>
    </row>
    <row r="8198" spans="30:30" ht="14" thickBot="1" x14ac:dyDescent="0.2">
      <c r="AD8198" s="98">
        <f t="shared" si="334"/>
        <v>53121</v>
      </c>
    </row>
    <row r="8199" spans="30:30" ht="14" thickBot="1" x14ac:dyDescent="0.2">
      <c r="AD8199" s="98">
        <f t="shared" si="334"/>
        <v>53122</v>
      </c>
    </row>
    <row r="8200" spans="30:30" ht="14" thickBot="1" x14ac:dyDescent="0.2">
      <c r="AD8200" s="98">
        <f t="shared" si="334"/>
        <v>53123</v>
      </c>
    </row>
    <row r="8201" spans="30:30" ht="14" thickBot="1" x14ac:dyDescent="0.2">
      <c r="AD8201" s="98">
        <f t="shared" ref="AD8201:AD8264" si="335">AD8200+1</f>
        <v>53124</v>
      </c>
    </row>
    <row r="8202" spans="30:30" ht="14" thickBot="1" x14ac:dyDescent="0.2">
      <c r="AD8202" s="98">
        <f t="shared" si="335"/>
        <v>53125</v>
      </c>
    </row>
    <row r="8203" spans="30:30" ht="14" thickBot="1" x14ac:dyDescent="0.2">
      <c r="AD8203" s="98">
        <f t="shared" si="335"/>
        <v>53126</v>
      </c>
    </row>
    <row r="8204" spans="30:30" ht="14" thickBot="1" x14ac:dyDescent="0.2">
      <c r="AD8204" s="98">
        <f t="shared" si="335"/>
        <v>53127</v>
      </c>
    </row>
    <row r="8205" spans="30:30" ht="14" thickBot="1" x14ac:dyDescent="0.2">
      <c r="AD8205" s="98">
        <f t="shared" si="335"/>
        <v>53128</v>
      </c>
    </row>
    <row r="8206" spans="30:30" ht="14" thickBot="1" x14ac:dyDescent="0.2">
      <c r="AD8206" s="98">
        <f t="shared" si="335"/>
        <v>53129</v>
      </c>
    </row>
    <row r="8207" spans="30:30" ht="14" thickBot="1" x14ac:dyDescent="0.2">
      <c r="AD8207" s="98">
        <f t="shared" si="335"/>
        <v>53130</v>
      </c>
    </row>
    <row r="8208" spans="30:30" ht="14" thickBot="1" x14ac:dyDescent="0.2">
      <c r="AD8208" s="98">
        <f t="shared" si="335"/>
        <v>53131</v>
      </c>
    </row>
    <row r="8209" spans="30:30" ht="14" thickBot="1" x14ac:dyDescent="0.2">
      <c r="AD8209" s="98">
        <f t="shared" si="335"/>
        <v>53132</v>
      </c>
    </row>
    <row r="8210" spans="30:30" ht="14" thickBot="1" x14ac:dyDescent="0.2">
      <c r="AD8210" s="98">
        <f t="shared" si="335"/>
        <v>53133</v>
      </c>
    </row>
    <row r="8211" spans="30:30" ht="14" thickBot="1" x14ac:dyDescent="0.2">
      <c r="AD8211" s="98">
        <f t="shared" si="335"/>
        <v>53134</v>
      </c>
    </row>
    <row r="8212" spans="30:30" ht="14" thickBot="1" x14ac:dyDescent="0.2">
      <c r="AD8212" s="98">
        <f t="shared" si="335"/>
        <v>53135</v>
      </c>
    </row>
    <row r="8213" spans="30:30" ht="14" thickBot="1" x14ac:dyDescent="0.2">
      <c r="AD8213" s="98">
        <f t="shared" si="335"/>
        <v>53136</v>
      </c>
    </row>
    <row r="8214" spans="30:30" ht="14" thickBot="1" x14ac:dyDescent="0.2">
      <c r="AD8214" s="98">
        <f t="shared" si="335"/>
        <v>53137</v>
      </c>
    </row>
    <row r="8215" spans="30:30" ht="14" thickBot="1" x14ac:dyDescent="0.2">
      <c r="AD8215" s="98">
        <f t="shared" si="335"/>
        <v>53138</v>
      </c>
    </row>
    <row r="8216" spans="30:30" ht="14" thickBot="1" x14ac:dyDescent="0.2">
      <c r="AD8216" s="98">
        <f t="shared" si="335"/>
        <v>53139</v>
      </c>
    </row>
    <row r="8217" spans="30:30" ht="14" thickBot="1" x14ac:dyDescent="0.2">
      <c r="AD8217" s="98">
        <f t="shared" si="335"/>
        <v>53140</v>
      </c>
    </row>
    <row r="8218" spans="30:30" ht="14" thickBot="1" x14ac:dyDescent="0.2">
      <c r="AD8218" s="98">
        <f t="shared" si="335"/>
        <v>53141</v>
      </c>
    </row>
    <row r="8219" spans="30:30" ht="14" thickBot="1" x14ac:dyDescent="0.2">
      <c r="AD8219" s="98">
        <f t="shared" si="335"/>
        <v>53142</v>
      </c>
    </row>
    <row r="8220" spans="30:30" ht="14" thickBot="1" x14ac:dyDescent="0.2">
      <c r="AD8220" s="98">
        <f t="shared" si="335"/>
        <v>53143</v>
      </c>
    </row>
    <row r="8221" spans="30:30" ht="14" thickBot="1" x14ac:dyDescent="0.2">
      <c r="AD8221" s="98">
        <f t="shared" si="335"/>
        <v>53144</v>
      </c>
    </row>
    <row r="8222" spans="30:30" ht="14" thickBot="1" x14ac:dyDescent="0.2">
      <c r="AD8222" s="98">
        <f t="shared" si="335"/>
        <v>53145</v>
      </c>
    </row>
    <row r="8223" spans="30:30" ht="14" thickBot="1" x14ac:dyDescent="0.2">
      <c r="AD8223" s="98">
        <f t="shared" si="335"/>
        <v>53146</v>
      </c>
    </row>
    <row r="8224" spans="30:30" ht="14" thickBot="1" x14ac:dyDescent="0.2">
      <c r="AD8224" s="98">
        <f t="shared" si="335"/>
        <v>53147</v>
      </c>
    </row>
    <row r="8225" spans="30:30" ht="14" thickBot="1" x14ac:dyDescent="0.2">
      <c r="AD8225" s="98">
        <f t="shared" si="335"/>
        <v>53148</v>
      </c>
    </row>
    <row r="8226" spans="30:30" ht="14" thickBot="1" x14ac:dyDescent="0.2">
      <c r="AD8226" s="98">
        <f t="shared" si="335"/>
        <v>53149</v>
      </c>
    </row>
    <row r="8227" spans="30:30" ht="14" thickBot="1" x14ac:dyDescent="0.2">
      <c r="AD8227" s="98">
        <f t="shared" si="335"/>
        <v>53150</v>
      </c>
    </row>
    <row r="8228" spans="30:30" ht="14" thickBot="1" x14ac:dyDescent="0.2">
      <c r="AD8228" s="98">
        <f t="shared" si="335"/>
        <v>53151</v>
      </c>
    </row>
    <row r="8229" spans="30:30" ht="14" thickBot="1" x14ac:dyDescent="0.2">
      <c r="AD8229" s="98">
        <f t="shared" si="335"/>
        <v>53152</v>
      </c>
    </row>
    <row r="8230" spans="30:30" ht="14" thickBot="1" x14ac:dyDescent="0.2">
      <c r="AD8230" s="98">
        <f t="shared" si="335"/>
        <v>53153</v>
      </c>
    </row>
    <row r="8231" spans="30:30" ht="14" thickBot="1" x14ac:dyDescent="0.2">
      <c r="AD8231" s="98">
        <f t="shared" si="335"/>
        <v>53154</v>
      </c>
    </row>
    <row r="8232" spans="30:30" ht="14" thickBot="1" x14ac:dyDescent="0.2">
      <c r="AD8232" s="98">
        <f t="shared" si="335"/>
        <v>53155</v>
      </c>
    </row>
    <row r="8233" spans="30:30" ht="14" thickBot="1" x14ac:dyDescent="0.2">
      <c r="AD8233" s="98">
        <f t="shared" si="335"/>
        <v>53156</v>
      </c>
    </row>
    <row r="8234" spans="30:30" ht="14" thickBot="1" x14ac:dyDescent="0.2">
      <c r="AD8234" s="98">
        <f t="shared" si="335"/>
        <v>53157</v>
      </c>
    </row>
    <row r="8235" spans="30:30" ht="14" thickBot="1" x14ac:dyDescent="0.2">
      <c r="AD8235" s="98">
        <f t="shared" si="335"/>
        <v>53158</v>
      </c>
    </row>
    <row r="8236" spans="30:30" ht="14" thickBot="1" x14ac:dyDescent="0.2">
      <c r="AD8236" s="98">
        <f t="shared" si="335"/>
        <v>53159</v>
      </c>
    </row>
    <row r="8237" spans="30:30" ht="14" thickBot="1" x14ac:dyDescent="0.2">
      <c r="AD8237" s="98">
        <f t="shared" si="335"/>
        <v>53160</v>
      </c>
    </row>
    <row r="8238" spans="30:30" ht="14" thickBot="1" x14ac:dyDescent="0.2">
      <c r="AD8238" s="98">
        <f t="shared" si="335"/>
        <v>53161</v>
      </c>
    </row>
    <row r="8239" spans="30:30" ht="14" thickBot="1" x14ac:dyDescent="0.2">
      <c r="AD8239" s="98">
        <f t="shared" si="335"/>
        <v>53162</v>
      </c>
    </row>
    <row r="8240" spans="30:30" ht="14" thickBot="1" x14ac:dyDescent="0.2">
      <c r="AD8240" s="98">
        <f t="shared" si="335"/>
        <v>53163</v>
      </c>
    </row>
    <row r="8241" spans="30:30" ht="14" thickBot="1" x14ac:dyDescent="0.2">
      <c r="AD8241" s="98">
        <f t="shared" si="335"/>
        <v>53164</v>
      </c>
    </row>
    <row r="8242" spans="30:30" ht="14" thickBot="1" x14ac:dyDescent="0.2">
      <c r="AD8242" s="98">
        <f t="shared" si="335"/>
        <v>53165</v>
      </c>
    </row>
    <row r="8243" spans="30:30" ht="14" thickBot="1" x14ac:dyDescent="0.2">
      <c r="AD8243" s="98">
        <f t="shared" si="335"/>
        <v>53166</v>
      </c>
    </row>
    <row r="8244" spans="30:30" ht="14" thickBot="1" x14ac:dyDescent="0.2">
      <c r="AD8244" s="98">
        <f t="shared" si="335"/>
        <v>53167</v>
      </c>
    </row>
    <row r="8245" spans="30:30" ht="14" thickBot="1" x14ac:dyDescent="0.2">
      <c r="AD8245" s="98">
        <f t="shared" si="335"/>
        <v>53168</v>
      </c>
    </row>
    <row r="8246" spans="30:30" ht="14" thickBot="1" x14ac:dyDescent="0.2">
      <c r="AD8246" s="98">
        <f t="shared" si="335"/>
        <v>53169</v>
      </c>
    </row>
    <row r="8247" spans="30:30" ht="14" thickBot="1" x14ac:dyDescent="0.2">
      <c r="AD8247" s="98">
        <f t="shared" si="335"/>
        <v>53170</v>
      </c>
    </row>
    <row r="8248" spans="30:30" ht="14" thickBot="1" x14ac:dyDescent="0.2">
      <c r="AD8248" s="98">
        <f t="shared" si="335"/>
        <v>53171</v>
      </c>
    </row>
    <row r="8249" spans="30:30" ht="14" thickBot="1" x14ac:dyDescent="0.2">
      <c r="AD8249" s="98">
        <f t="shared" si="335"/>
        <v>53172</v>
      </c>
    </row>
    <row r="8250" spans="30:30" ht="14" thickBot="1" x14ac:dyDescent="0.2">
      <c r="AD8250" s="98">
        <f t="shared" si="335"/>
        <v>53173</v>
      </c>
    </row>
    <row r="8251" spans="30:30" ht="14" thickBot="1" x14ac:dyDescent="0.2">
      <c r="AD8251" s="98">
        <f t="shared" si="335"/>
        <v>53174</v>
      </c>
    </row>
    <row r="8252" spans="30:30" ht="14" thickBot="1" x14ac:dyDescent="0.2">
      <c r="AD8252" s="98">
        <f t="shared" si="335"/>
        <v>53175</v>
      </c>
    </row>
    <row r="8253" spans="30:30" ht="14" thickBot="1" x14ac:dyDescent="0.2">
      <c r="AD8253" s="98">
        <f t="shared" si="335"/>
        <v>53176</v>
      </c>
    </row>
    <row r="8254" spans="30:30" ht="14" thickBot="1" x14ac:dyDescent="0.2">
      <c r="AD8254" s="98">
        <f t="shared" si="335"/>
        <v>53177</v>
      </c>
    </row>
    <row r="8255" spans="30:30" ht="14" thickBot="1" x14ac:dyDescent="0.2">
      <c r="AD8255" s="98">
        <f t="shared" si="335"/>
        <v>53178</v>
      </c>
    </row>
    <row r="8256" spans="30:30" ht="14" thickBot="1" x14ac:dyDescent="0.2">
      <c r="AD8256" s="98">
        <f t="shared" si="335"/>
        <v>53179</v>
      </c>
    </row>
    <row r="8257" spans="30:30" ht="14" thickBot="1" x14ac:dyDescent="0.2">
      <c r="AD8257" s="98">
        <f t="shared" si="335"/>
        <v>53180</v>
      </c>
    </row>
    <row r="8258" spans="30:30" ht="14" thickBot="1" x14ac:dyDescent="0.2">
      <c r="AD8258" s="98">
        <f t="shared" si="335"/>
        <v>53181</v>
      </c>
    </row>
    <row r="8259" spans="30:30" ht="14" thickBot="1" x14ac:dyDescent="0.2">
      <c r="AD8259" s="98">
        <f t="shared" si="335"/>
        <v>53182</v>
      </c>
    </row>
    <row r="8260" spans="30:30" ht="14" thickBot="1" x14ac:dyDescent="0.2">
      <c r="AD8260" s="98">
        <f t="shared" si="335"/>
        <v>53183</v>
      </c>
    </row>
    <row r="8261" spans="30:30" ht="14" thickBot="1" x14ac:dyDescent="0.2">
      <c r="AD8261" s="98">
        <f t="shared" si="335"/>
        <v>53184</v>
      </c>
    </row>
    <row r="8262" spans="30:30" ht="14" thickBot="1" x14ac:dyDescent="0.2">
      <c r="AD8262" s="98">
        <f t="shared" si="335"/>
        <v>53185</v>
      </c>
    </row>
    <row r="8263" spans="30:30" ht="14" thickBot="1" x14ac:dyDescent="0.2">
      <c r="AD8263" s="98">
        <f t="shared" si="335"/>
        <v>53186</v>
      </c>
    </row>
    <row r="8264" spans="30:30" ht="14" thickBot="1" x14ac:dyDescent="0.2">
      <c r="AD8264" s="98">
        <f t="shared" si="335"/>
        <v>53187</v>
      </c>
    </row>
    <row r="8265" spans="30:30" ht="14" thickBot="1" x14ac:dyDescent="0.2">
      <c r="AD8265" s="98">
        <f t="shared" ref="AD8265:AD8328" si="336">AD8264+1</f>
        <v>53188</v>
      </c>
    </row>
    <row r="8266" spans="30:30" ht="14" thickBot="1" x14ac:dyDescent="0.2">
      <c r="AD8266" s="98">
        <f t="shared" si="336"/>
        <v>53189</v>
      </c>
    </row>
    <row r="8267" spans="30:30" ht="14" thickBot="1" x14ac:dyDescent="0.2">
      <c r="AD8267" s="98">
        <f t="shared" si="336"/>
        <v>53190</v>
      </c>
    </row>
    <row r="8268" spans="30:30" ht="14" thickBot="1" x14ac:dyDescent="0.2">
      <c r="AD8268" s="98">
        <f t="shared" si="336"/>
        <v>53191</v>
      </c>
    </row>
    <row r="8269" spans="30:30" ht="14" thickBot="1" x14ac:dyDescent="0.2">
      <c r="AD8269" s="98">
        <f t="shared" si="336"/>
        <v>53192</v>
      </c>
    </row>
    <row r="8270" spans="30:30" ht="14" thickBot="1" x14ac:dyDescent="0.2">
      <c r="AD8270" s="98">
        <f t="shared" si="336"/>
        <v>53193</v>
      </c>
    </row>
    <row r="8271" spans="30:30" ht="14" thickBot="1" x14ac:dyDescent="0.2">
      <c r="AD8271" s="98">
        <f t="shared" si="336"/>
        <v>53194</v>
      </c>
    </row>
    <row r="8272" spans="30:30" ht="14" thickBot="1" x14ac:dyDescent="0.2">
      <c r="AD8272" s="98">
        <f t="shared" si="336"/>
        <v>53195</v>
      </c>
    </row>
    <row r="8273" spans="30:30" ht="14" thickBot="1" x14ac:dyDescent="0.2">
      <c r="AD8273" s="98">
        <f t="shared" si="336"/>
        <v>53196</v>
      </c>
    </row>
    <row r="8274" spans="30:30" ht="14" thickBot="1" x14ac:dyDescent="0.2">
      <c r="AD8274" s="98">
        <f t="shared" si="336"/>
        <v>53197</v>
      </c>
    </row>
    <row r="8275" spans="30:30" ht="14" thickBot="1" x14ac:dyDescent="0.2">
      <c r="AD8275" s="98">
        <f t="shared" si="336"/>
        <v>53198</v>
      </c>
    </row>
    <row r="8276" spans="30:30" ht="14" thickBot="1" x14ac:dyDescent="0.2">
      <c r="AD8276" s="98">
        <f t="shared" si="336"/>
        <v>53199</v>
      </c>
    </row>
    <row r="8277" spans="30:30" ht="14" thickBot="1" x14ac:dyDescent="0.2">
      <c r="AD8277" s="98">
        <f t="shared" si="336"/>
        <v>53200</v>
      </c>
    </row>
    <row r="8278" spans="30:30" ht="14" thickBot="1" x14ac:dyDescent="0.2">
      <c r="AD8278" s="98">
        <f t="shared" si="336"/>
        <v>53201</v>
      </c>
    </row>
    <row r="8279" spans="30:30" ht="14" thickBot="1" x14ac:dyDescent="0.2">
      <c r="AD8279" s="98">
        <f t="shared" si="336"/>
        <v>53202</v>
      </c>
    </row>
    <row r="8280" spans="30:30" ht="14" thickBot="1" x14ac:dyDescent="0.2">
      <c r="AD8280" s="98">
        <f t="shared" si="336"/>
        <v>53203</v>
      </c>
    </row>
    <row r="8281" spans="30:30" ht="14" thickBot="1" x14ac:dyDescent="0.2">
      <c r="AD8281" s="98">
        <f t="shared" si="336"/>
        <v>53204</v>
      </c>
    </row>
    <row r="8282" spans="30:30" ht="14" thickBot="1" x14ac:dyDescent="0.2">
      <c r="AD8282" s="98">
        <f t="shared" si="336"/>
        <v>53205</v>
      </c>
    </row>
    <row r="8283" spans="30:30" ht="14" thickBot="1" x14ac:dyDescent="0.2">
      <c r="AD8283" s="98">
        <f t="shared" si="336"/>
        <v>53206</v>
      </c>
    </row>
    <row r="8284" spans="30:30" ht="14" thickBot="1" x14ac:dyDescent="0.2">
      <c r="AD8284" s="98">
        <f t="shared" si="336"/>
        <v>53207</v>
      </c>
    </row>
    <row r="8285" spans="30:30" ht="14" thickBot="1" x14ac:dyDescent="0.2">
      <c r="AD8285" s="98">
        <f t="shared" si="336"/>
        <v>53208</v>
      </c>
    </row>
    <row r="8286" spans="30:30" ht="14" thickBot="1" x14ac:dyDescent="0.2">
      <c r="AD8286" s="98">
        <f t="shared" si="336"/>
        <v>53209</v>
      </c>
    </row>
    <row r="8287" spans="30:30" ht="14" thickBot="1" x14ac:dyDescent="0.2">
      <c r="AD8287" s="98">
        <f t="shared" si="336"/>
        <v>53210</v>
      </c>
    </row>
    <row r="8288" spans="30:30" ht="14" thickBot="1" x14ac:dyDescent="0.2">
      <c r="AD8288" s="98">
        <f t="shared" si="336"/>
        <v>53211</v>
      </c>
    </row>
    <row r="8289" spans="30:30" ht="14" thickBot="1" x14ac:dyDescent="0.2">
      <c r="AD8289" s="98">
        <f t="shared" si="336"/>
        <v>53212</v>
      </c>
    </row>
    <row r="8290" spans="30:30" ht="14" thickBot="1" x14ac:dyDescent="0.2">
      <c r="AD8290" s="98">
        <f t="shared" si="336"/>
        <v>53213</v>
      </c>
    </row>
    <row r="8291" spans="30:30" ht="14" thickBot="1" x14ac:dyDescent="0.2">
      <c r="AD8291" s="98">
        <f t="shared" si="336"/>
        <v>53214</v>
      </c>
    </row>
    <row r="8292" spans="30:30" ht="14" thickBot="1" x14ac:dyDescent="0.2">
      <c r="AD8292" s="98">
        <f t="shared" si="336"/>
        <v>53215</v>
      </c>
    </row>
    <row r="8293" spans="30:30" ht="14" thickBot="1" x14ac:dyDescent="0.2">
      <c r="AD8293" s="98">
        <f t="shared" si="336"/>
        <v>53216</v>
      </c>
    </row>
    <row r="8294" spans="30:30" ht="14" thickBot="1" x14ac:dyDescent="0.2">
      <c r="AD8294" s="98">
        <f t="shared" si="336"/>
        <v>53217</v>
      </c>
    </row>
    <row r="8295" spans="30:30" ht="14" thickBot="1" x14ac:dyDescent="0.2">
      <c r="AD8295" s="98">
        <f t="shared" si="336"/>
        <v>53218</v>
      </c>
    </row>
    <row r="8296" spans="30:30" ht="14" thickBot="1" x14ac:dyDescent="0.2">
      <c r="AD8296" s="98">
        <f t="shared" si="336"/>
        <v>53219</v>
      </c>
    </row>
    <row r="8297" spans="30:30" ht="14" thickBot="1" x14ac:dyDescent="0.2">
      <c r="AD8297" s="98">
        <f t="shared" si="336"/>
        <v>53220</v>
      </c>
    </row>
    <row r="8298" spans="30:30" ht="14" thickBot="1" x14ac:dyDescent="0.2">
      <c r="AD8298" s="98">
        <f t="shared" si="336"/>
        <v>53221</v>
      </c>
    </row>
    <row r="8299" spans="30:30" ht="14" thickBot="1" x14ac:dyDescent="0.2">
      <c r="AD8299" s="98">
        <f t="shared" si="336"/>
        <v>53222</v>
      </c>
    </row>
    <row r="8300" spans="30:30" ht="14" thickBot="1" x14ac:dyDescent="0.2">
      <c r="AD8300" s="98">
        <f t="shared" si="336"/>
        <v>53223</v>
      </c>
    </row>
    <row r="8301" spans="30:30" ht="14" thickBot="1" x14ac:dyDescent="0.2">
      <c r="AD8301" s="98">
        <f t="shared" si="336"/>
        <v>53224</v>
      </c>
    </row>
    <row r="8302" spans="30:30" ht="14" thickBot="1" x14ac:dyDescent="0.2">
      <c r="AD8302" s="98">
        <f t="shared" si="336"/>
        <v>53225</v>
      </c>
    </row>
    <row r="8303" spans="30:30" ht="14" thickBot="1" x14ac:dyDescent="0.2">
      <c r="AD8303" s="98">
        <f t="shared" si="336"/>
        <v>53226</v>
      </c>
    </row>
    <row r="8304" spans="30:30" ht="14" thickBot="1" x14ac:dyDescent="0.2">
      <c r="AD8304" s="98">
        <f t="shared" si="336"/>
        <v>53227</v>
      </c>
    </row>
    <row r="8305" spans="30:30" ht="14" thickBot="1" x14ac:dyDescent="0.2">
      <c r="AD8305" s="98">
        <f t="shared" si="336"/>
        <v>53228</v>
      </c>
    </row>
    <row r="8306" spans="30:30" ht="14" thickBot="1" x14ac:dyDescent="0.2">
      <c r="AD8306" s="98">
        <f t="shared" si="336"/>
        <v>53229</v>
      </c>
    </row>
    <row r="8307" spans="30:30" ht="14" thickBot="1" x14ac:dyDescent="0.2">
      <c r="AD8307" s="98">
        <f t="shared" si="336"/>
        <v>53230</v>
      </c>
    </row>
    <row r="8308" spans="30:30" ht="14" thickBot="1" x14ac:dyDescent="0.2">
      <c r="AD8308" s="98">
        <f t="shared" si="336"/>
        <v>53231</v>
      </c>
    </row>
    <row r="8309" spans="30:30" ht="14" thickBot="1" x14ac:dyDescent="0.2">
      <c r="AD8309" s="98">
        <f t="shared" si="336"/>
        <v>53232</v>
      </c>
    </row>
    <row r="8310" spans="30:30" ht="14" thickBot="1" x14ac:dyDescent="0.2">
      <c r="AD8310" s="98">
        <f t="shared" si="336"/>
        <v>53233</v>
      </c>
    </row>
    <row r="8311" spans="30:30" ht="14" thickBot="1" x14ac:dyDescent="0.2">
      <c r="AD8311" s="98">
        <f t="shared" si="336"/>
        <v>53234</v>
      </c>
    </row>
    <row r="8312" spans="30:30" ht="14" thickBot="1" x14ac:dyDescent="0.2">
      <c r="AD8312" s="98">
        <f t="shared" si="336"/>
        <v>53235</v>
      </c>
    </row>
    <row r="8313" spans="30:30" ht="14" thickBot="1" x14ac:dyDescent="0.2">
      <c r="AD8313" s="98">
        <f t="shared" si="336"/>
        <v>53236</v>
      </c>
    </row>
    <row r="8314" spans="30:30" ht="14" thickBot="1" x14ac:dyDescent="0.2">
      <c r="AD8314" s="98">
        <f t="shared" si="336"/>
        <v>53237</v>
      </c>
    </row>
    <row r="8315" spans="30:30" ht="14" thickBot="1" x14ac:dyDescent="0.2">
      <c r="AD8315" s="98">
        <f t="shared" si="336"/>
        <v>53238</v>
      </c>
    </row>
    <row r="8316" spans="30:30" ht="14" thickBot="1" x14ac:dyDescent="0.2">
      <c r="AD8316" s="98">
        <f t="shared" si="336"/>
        <v>53239</v>
      </c>
    </row>
    <row r="8317" spans="30:30" ht="14" thickBot="1" x14ac:dyDescent="0.2">
      <c r="AD8317" s="98">
        <f t="shared" si="336"/>
        <v>53240</v>
      </c>
    </row>
    <row r="8318" spans="30:30" ht="14" thickBot="1" x14ac:dyDescent="0.2">
      <c r="AD8318" s="98">
        <f t="shared" si="336"/>
        <v>53241</v>
      </c>
    </row>
    <row r="8319" spans="30:30" ht="14" thickBot="1" x14ac:dyDescent="0.2">
      <c r="AD8319" s="98">
        <f t="shared" si="336"/>
        <v>53242</v>
      </c>
    </row>
    <row r="8320" spans="30:30" ht="14" thickBot="1" x14ac:dyDescent="0.2">
      <c r="AD8320" s="98">
        <f t="shared" si="336"/>
        <v>53243</v>
      </c>
    </row>
    <row r="8321" spans="30:30" ht="14" thickBot="1" x14ac:dyDescent="0.2">
      <c r="AD8321" s="98">
        <f t="shared" si="336"/>
        <v>53244</v>
      </c>
    </row>
    <row r="8322" spans="30:30" ht="14" thickBot="1" x14ac:dyDescent="0.2">
      <c r="AD8322" s="98">
        <f t="shared" si="336"/>
        <v>53245</v>
      </c>
    </row>
    <row r="8323" spans="30:30" ht="14" thickBot="1" x14ac:dyDescent="0.2">
      <c r="AD8323" s="98">
        <f t="shared" si="336"/>
        <v>53246</v>
      </c>
    </row>
    <row r="8324" spans="30:30" ht="14" thickBot="1" x14ac:dyDescent="0.2">
      <c r="AD8324" s="98">
        <f t="shared" si="336"/>
        <v>53247</v>
      </c>
    </row>
    <row r="8325" spans="30:30" ht="14" thickBot="1" x14ac:dyDescent="0.2">
      <c r="AD8325" s="98">
        <f t="shared" si="336"/>
        <v>53248</v>
      </c>
    </row>
    <row r="8326" spans="30:30" ht="14" thickBot="1" x14ac:dyDescent="0.2">
      <c r="AD8326" s="98">
        <f t="shared" si="336"/>
        <v>53249</v>
      </c>
    </row>
    <row r="8327" spans="30:30" ht="14" thickBot="1" x14ac:dyDescent="0.2">
      <c r="AD8327" s="98">
        <f t="shared" si="336"/>
        <v>53250</v>
      </c>
    </row>
    <row r="8328" spans="30:30" ht="14" thickBot="1" x14ac:dyDescent="0.2">
      <c r="AD8328" s="98">
        <f t="shared" si="336"/>
        <v>53251</v>
      </c>
    </row>
    <row r="8329" spans="30:30" ht="14" thickBot="1" x14ac:dyDescent="0.2">
      <c r="AD8329" s="98">
        <f t="shared" ref="AD8329:AD8392" si="337">AD8328+1</f>
        <v>53252</v>
      </c>
    </row>
    <row r="8330" spans="30:30" ht="14" thickBot="1" x14ac:dyDescent="0.2">
      <c r="AD8330" s="98">
        <f t="shared" si="337"/>
        <v>53253</v>
      </c>
    </row>
    <row r="8331" spans="30:30" ht="14" thickBot="1" x14ac:dyDescent="0.2">
      <c r="AD8331" s="98">
        <f t="shared" si="337"/>
        <v>53254</v>
      </c>
    </row>
    <row r="8332" spans="30:30" ht="14" thickBot="1" x14ac:dyDescent="0.2">
      <c r="AD8332" s="98">
        <f t="shared" si="337"/>
        <v>53255</v>
      </c>
    </row>
    <row r="8333" spans="30:30" ht="14" thickBot="1" x14ac:dyDescent="0.2">
      <c r="AD8333" s="98">
        <f t="shared" si="337"/>
        <v>53256</v>
      </c>
    </row>
    <row r="8334" spans="30:30" ht="14" thickBot="1" x14ac:dyDescent="0.2">
      <c r="AD8334" s="98">
        <f t="shared" si="337"/>
        <v>53257</v>
      </c>
    </row>
    <row r="8335" spans="30:30" ht="14" thickBot="1" x14ac:dyDescent="0.2">
      <c r="AD8335" s="98">
        <f t="shared" si="337"/>
        <v>53258</v>
      </c>
    </row>
    <row r="8336" spans="30:30" ht="14" thickBot="1" x14ac:dyDescent="0.2">
      <c r="AD8336" s="98">
        <f t="shared" si="337"/>
        <v>53259</v>
      </c>
    </row>
    <row r="8337" spans="30:30" ht="14" thickBot="1" x14ac:dyDescent="0.2">
      <c r="AD8337" s="98">
        <f t="shared" si="337"/>
        <v>53260</v>
      </c>
    </row>
    <row r="8338" spans="30:30" ht="14" thickBot="1" x14ac:dyDescent="0.2">
      <c r="AD8338" s="98">
        <f t="shared" si="337"/>
        <v>53261</v>
      </c>
    </row>
    <row r="8339" spans="30:30" ht="14" thickBot="1" x14ac:dyDescent="0.2">
      <c r="AD8339" s="98">
        <f t="shared" si="337"/>
        <v>53262</v>
      </c>
    </row>
    <row r="8340" spans="30:30" ht="14" thickBot="1" x14ac:dyDescent="0.2">
      <c r="AD8340" s="98">
        <f t="shared" si="337"/>
        <v>53263</v>
      </c>
    </row>
    <row r="8341" spans="30:30" ht="14" thickBot="1" x14ac:dyDescent="0.2">
      <c r="AD8341" s="98">
        <f t="shared" si="337"/>
        <v>53264</v>
      </c>
    </row>
    <row r="8342" spans="30:30" ht="14" thickBot="1" x14ac:dyDescent="0.2">
      <c r="AD8342" s="98">
        <f t="shared" si="337"/>
        <v>53265</v>
      </c>
    </row>
    <row r="8343" spans="30:30" ht="14" thickBot="1" x14ac:dyDescent="0.2">
      <c r="AD8343" s="98">
        <f t="shared" si="337"/>
        <v>53266</v>
      </c>
    </row>
    <row r="8344" spans="30:30" ht="14" thickBot="1" x14ac:dyDescent="0.2">
      <c r="AD8344" s="98">
        <f t="shared" si="337"/>
        <v>53267</v>
      </c>
    </row>
    <row r="8345" spans="30:30" ht="14" thickBot="1" x14ac:dyDescent="0.2">
      <c r="AD8345" s="98">
        <f t="shared" si="337"/>
        <v>53268</v>
      </c>
    </row>
    <row r="8346" spans="30:30" ht="14" thickBot="1" x14ac:dyDescent="0.2">
      <c r="AD8346" s="98">
        <f t="shared" si="337"/>
        <v>53269</v>
      </c>
    </row>
    <row r="8347" spans="30:30" ht="14" thickBot="1" x14ac:dyDescent="0.2">
      <c r="AD8347" s="98">
        <f t="shared" si="337"/>
        <v>53270</v>
      </c>
    </row>
    <row r="8348" spans="30:30" ht="14" thickBot="1" x14ac:dyDescent="0.2">
      <c r="AD8348" s="98">
        <f t="shared" si="337"/>
        <v>53271</v>
      </c>
    </row>
    <row r="8349" spans="30:30" ht="14" thickBot="1" x14ac:dyDescent="0.2">
      <c r="AD8349" s="98">
        <f t="shared" si="337"/>
        <v>53272</v>
      </c>
    </row>
    <row r="8350" spans="30:30" ht="14" thickBot="1" x14ac:dyDescent="0.2">
      <c r="AD8350" s="98">
        <f t="shared" si="337"/>
        <v>53273</v>
      </c>
    </row>
    <row r="8351" spans="30:30" ht="14" thickBot="1" x14ac:dyDescent="0.2">
      <c r="AD8351" s="98">
        <f t="shared" si="337"/>
        <v>53274</v>
      </c>
    </row>
    <row r="8352" spans="30:30" ht="14" thickBot="1" x14ac:dyDescent="0.2">
      <c r="AD8352" s="98">
        <f t="shared" si="337"/>
        <v>53275</v>
      </c>
    </row>
    <row r="8353" spans="30:30" ht="14" thickBot="1" x14ac:dyDescent="0.2">
      <c r="AD8353" s="98">
        <f t="shared" si="337"/>
        <v>53276</v>
      </c>
    </row>
    <row r="8354" spans="30:30" ht="14" thickBot="1" x14ac:dyDescent="0.2">
      <c r="AD8354" s="98">
        <f t="shared" si="337"/>
        <v>53277</v>
      </c>
    </row>
    <row r="8355" spans="30:30" ht="14" thickBot="1" x14ac:dyDescent="0.2">
      <c r="AD8355" s="98">
        <f t="shared" si="337"/>
        <v>53278</v>
      </c>
    </row>
    <row r="8356" spans="30:30" ht="14" thickBot="1" x14ac:dyDescent="0.2">
      <c r="AD8356" s="98">
        <f t="shared" si="337"/>
        <v>53279</v>
      </c>
    </row>
    <row r="8357" spans="30:30" ht="14" thickBot="1" x14ac:dyDescent="0.2">
      <c r="AD8357" s="98">
        <f t="shared" si="337"/>
        <v>53280</v>
      </c>
    </row>
    <row r="8358" spans="30:30" ht="14" thickBot="1" x14ac:dyDescent="0.2">
      <c r="AD8358" s="98">
        <f t="shared" si="337"/>
        <v>53281</v>
      </c>
    </row>
    <row r="8359" spans="30:30" ht="14" thickBot="1" x14ac:dyDescent="0.2">
      <c r="AD8359" s="98">
        <f t="shared" si="337"/>
        <v>53282</v>
      </c>
    </row>
    <row r="8360" spans="30:30" ht="14" thickBot="1" x14ac:dyDescent="0.2">
      <c r="AD8360" s="98">
        <f t="shared" si="337"/>
        <v>53283</v>
      </c>
    </row>
    <row r="8361" spans="30:30" ht="14" thickBot="1" x14ac:dyDescent="0.2">
      <c r="AD8361" s="98">
        <f t="shared" si="337"/>
        <v>53284</v>
      </c>
    </row>
    <row r="8362" spans="30:30" ht="14" thickBot="1" x14ac:dyDescent="0.2">
      <c r="AD8362" s="98">
        <f t="shared" si="337"/>
        <v>53285</v>
      </c>
    </row>
    <row r="8363" spans="30:30" ht="14" thickBot="1" x14ac:dyDescent="0.2">
      <c r="AD8363" s="98">
        <f t="shared" si="337"/>
        <v>53286</v>
      </c>
    </row>
    <row r="8364" spans="30:30" ht="14" thickBot="1" x14ac:dyDescent="0.2">
      <c r="AD8364" s="98">
        <f t="shared" si="337"/>
        <v>53287</v>
      </c>
    </row>
    <row r="8365" spans="30:30" ht="14" thickBot="1" x14ac:dyDescent="0.2">
      <c r="AD8365" s="98">
        <f t="shared" si="337"/>
        <v>53288</v>
      </c>
    </row>
    <row r="8366" spans="30:30" ht="14" thickBot="1" x14ac:dyDescent="0.2">
      <c r="AD8366" s="98">
        <f t="shared" si="337"/>
        <v>53289</v>
      </c>
    </row>
    <row r="8367" spans="30:30" ht="14" thickBot="1" x14ac:dyDescent="0.2">
      <c r="AD8367" s="98">
        <f t="shared" si="337"/>
        <v>53290</v>
      </c>
    </row>
    <row r="8368" spans="30:30" ht="14" thickBot="1" x14ac:dyDescent="0.2">
      <c r="AD8368" s="98">
        <f t="shared" si="337"/>
        <v>53291</v>
      </c>
    </row>
    <row r="8369" spans="30:30" ht="14" thickBot="1" x14ac:dyDescent="0.2">
      <c r="AD8369" s="98">
        <f t="shared" si="337"/>
        <v>53292</v>
      </c>
    </row>
    <row r="8370" spans="30:30" ht="14" thickBot="1" x14ac:dyDescent="0.2">
      <c r="AD8370" s="98">
        <f t="shared" si="337"/>
        <v>53293</v>
      </c>
    </row>
    <row r="8371" spans="30:30" ht="14" thickBot="1" x14ac:dyDescent="0.2">
      <c r="AD8371" s="98">
        <f t="shared" si="337"/>
        <v>53294</v>
      </c>
    </row>
    <row r="8372" spans="30:30" ht="14" thickBot="1" x14ac:dyDescent="0.2">
      <c r="AD8372" s="98">
        <f t="shared" si="337"/>
        <v>53295</v>
      </c>
    </row>
    <row r="8373" spans="30:30" ht="14" thickBot="1" x14ac:dyDescent="0.2">
      <c r="AD8373" s="98">
        <f t="shared" si="337"/>
        <v>53296</v>
      </c>
    </row>
    <row r="8374" spans="30:30" ht="14" thickBot="1" x14ac:dyDescent="0.2">
      <c r="AD8374" s="98">
        <f t="shared" si="337"/>
        <v>53297</v>
      </c>
    </row>
    <row r="8375" spans="30:30" ht="14" thickBot="1" x14ac:dyDescent="0.2">
      <c r="AD8375" s="98">
        <f t="shared" si="337"/>
        <v>53298</v>
      </c>
    </row>
    <row r="8376" spans="30:30" ht="14" thickBot="1" x14ac:dyDescent="0.2">
      <c r="AD8376" s="98">
        <f t="shared" si="337"/>
        <v>53299</v>
      </c>
    </row>
    <row r="8377" spans="30:30" ht="14" thickBot="1" x14ac:dyDescent="0.2">
      <c r="AD8377" s="98">
        <f t="shared" si="337"/>
        <v>53300</v>
      </c>
    </row>
    <row r="8378" spans="30:30" ht="14" thickBot="1" x14ac:dyDescent="0.2">
      <c r="AD8378" s="98">
        <f t="shared" si="337"/>
        <v>53301</v>
      </c>
    </row>
    <row r="8379" spans="30:30" ht="14" thickBot="1" x14ac:dyDescent="0.2">
      <c r="AD8379" s="98">
        <f t="shared" si="337"/>
        <v>53302</v>
      </c>
    </row>
    <row r="8380" spans="30:30" ht="14" thickBot="1" x14ac:dyDescent="0.2">
      <c r="AD8380" s="98">
        <f t="shared" si="337"/>
        <v>53303</v>
      </c>
    </row>
    <row r="8381" spans="30:30" ht="14" thickBot="1" x14ac:dyDescent="0.2">
      <c r="AD8381" s="98">
        <f t="shared" si="337"/>
        <v>53304</v>
      </c>
    </row>
    <row r="8382" spans="30:30" ht="14" thickBot="1" x14ac:dyDescent="0.2">
      <c r="AD8382" s="98">
        <f t="shared" si="337"/>
        <v>53305</v>
      </c>
    </row>
    <row r="8383" spans="30:30" ht="14" thickBot="1" x14ac:dyDescent="0.2">
      <c r="AD8383" s="98">
        <f t="shared" si="337"/>
        <v>53306</v>
      </c>
    </row>
    <row r="8384" spans="30:30" ht="14" thickBot="1" x14ac:dyDescent="0.2">
      <c r="AD8384" s="98">
        <f t="shared" si="337"/>
        <v>53307</v>
      </c>
    </row>
    <row r="8385" spans="30:30" ht="14" thickBot="1" x14ac:dyDescent="0.2">
      <c r="AD8385" s="98">
        <f t="shared" si="337"/>
        <v>53308</v>
      </c>
    </row>
    <row r="8386" spans="30:30" ht="14" thickBot="1" x14ac:dyDescent="0.2">
      <c r="AD8386" s="98">
        <f t="shared" si="337"/>
        <v>53309</v>
      </c>
    </row>
    <row r="8387" spans="30:30" ht="14" thickBot="1" x14ac:dyDescent="0.2">
      <c r="AD8387" s="98">
        <f t="shared" si="337"/>
        <v>53310</v>
      </c>
    </row>
    <row r="8388" spans="30:30" ht="14" thickBot="1" x14ac:dyDescent="0.2">
      <c r="AD8388" s="98">
        <f t="shared" si="337"/>
        <v>53311</v>
      </c>
    </row>
    <row r="8389" spans="30:30" ht="14" thickBot="1" x14ac:dyDescent="0.2">
      <c r="AD8389" s="98">
        <f t="shared" si="337"/>
        <v>53312</v>
      </c>
    </row>
    <row r="8390" spans="30:30" ht="14" thickBot="1" x14ac:dyDescent="0.2">
      <c r="AD8390" s="98">
        <f t="shared" si="337"/>
        <v>53313</v>
      </c>
    </row>
    <row r="8391" spans="30:30" ht="14" thickBot="1" x14ac:dyDescent="0.2">
      <c r="AD8391" s="98">
        <f t="shared" si="337"/>
        <v>53314</v>
      </c>
    </row>
    <row r="8392" spans="30:30" ht="14" thickBot="1" x14ac:dyDescent="0.2">
      <c r="AD8392" s="98">
        <f t="shared" si="337"/>
        <v>53315</v>
      </c>
    </row>
    <row r="8393" spans="30:30" ht="14" thickBot="1" x14ac:dyDescent="0.2">
      <c r="AD8393" s="98">
        <f t="shared" ref="AD8393:AD8450" si="338">AD8392+1</f>
        <v>53316</v>
      </c>
    </row>
    <row r="8394" spans="30:30" ht="14" thickBot="1" x14ac:dyDescent="0.2">
      <c r="AD8394" s="98">
        <f t="shared" si="338"/>
        <v>53317</v>
      </c>
    </row>
    <row r="8395" spans="30:30" ht="14" thickBot="1" x14ac:dyDescent="0.2">
      <c r="AD8395" s="98">
        <f t="shared" si="338"/>
        <v>53318</v>
      </c>
    </row>
    <row r="8396" spans="30:30" ht="14" thickBot="1" x14ac:dyDescent="0.2">
      <c r="AD8396" s="98">
        <f t="shared" si="338"/>
        <v>53319</v>
      </c>
    </row>
    <row r="8397" spans="30:30" ht="14" thickBot="1" x14ac:dyDescent="0.2">
      <c r="AD8397" s="98">
        <f t="shared" si="338"/>
        <v>53320</v>
      </c>
    </row>
    <row r="8398" spans="30:30" ht="14" thickBot="1" x14ac:dyDescent="0.2">
      <c r="AD8398" s="98">
        <f t="shared" si="338"/>
        <v>53321</v>
      </c>
    </row>
    <row r="8399" spans="30:30" ht="14" thickBot="1" x14ac:dyDescent="0.2">
      <c r="AD8399" s="98">
        <f t="shared" si="338"/>
        <v>53322</v>
      </c>
    </row>
    <row r="8400" spans="30:30" ht="14" thickBot="1" x14ac:dyDescent="0.2">
      <c r="AD8400" s="98">
        <f t="shared" si="338"/>
        <v>53323</v>
      </c>
    </row>
    <row r="8401" spans="30:30" ht="14" thickBot="1" x14ac:dyDescent="0.2">
      <c r="AD8401" s="98">
        <f t="shared" si="338"/>
        <v>53324</v>
      </c>
    </row>
    <row r="8402" spans="30:30" ht="14" thickBot="1" x14ac:dyDescent="0.2">
      <c r="AD8402" s="98">
        <f t="shared" si="338"/>
        <v>53325</v>
      </c>
    </row>
    <row r="8403" spans="30:30" ht="14" thickBot="1" x14ac:dyDescent="0.2">
      <c r="AD8403" s="98">
        <f t="shared" si="338"/>
        <v>53326</v>
      </c>
    </row>
    <row r="8404" spans="30:30" ht="14" thickBot="1" x14ac:dyDescent="0.2">
      <c r="AD8404" s="98">
        <f t="shared" si="338"/>
        <v>53327</v>
      </c>
    </row>
    <row r="8405" spans="30:30" ht="14" thickBot="1" x14ac:dyDescent="0.2">
      <c r="AD8405" s="98">
        <f t="shared" si="338"/>
        <v>53328</v>
      </c>
    </row>
    <row r="8406" spans="30:30" ht="14" thickBot="1" x14ac:dyDescent="0.2">
      <c r="AD8406" s="98">
        <f t="shared" si="338"/>
        <v>53329</v>
      </c>
    </row>
    <row r="8407" spans="30:30" ht="14" thickBot="1" x14ac:dyDescent="0.2">
      <c r="AD8407" s="98">
        <f t="shared" si="338"/>
        <v>53330</v>
      </c>
    </row>
    <row r="8408" spans="30:30" ht="14" thickBot="1" x14ac:dyDescent="0.2">
      <c r="AD8408" s="98">
        <f t="shared" si="338"/>
        <v>53331</v>
      </c>
    </row>
    <row r="8409" spans="30:30" ht="14" thickBot="1" x14ac:dyDescent="0.2">
      <c r="AD8409" s="98">
        <f t="shared" si="338"/>
        <v>53332</v>
      </c>
    </row>
    <row r="8410" spans="30:30" ht="14" thickBot="1" x14ac:dyDescent="0.2">
      <c r="AD8410" s="98">
        <f t="shared" si="338"/>
        <v>53333</v>
      </c>
    </row>
    <row r="8411" spans="30:30" ht="14" thickBot="1" x14ac:dyDescent="0.2">
      <c r="AD8411" s="98">
        <f t="shared" si="338"/>
        <v>53334</v>
      </c>
    </row>
    <row r="8412" spans="30:30" ht="14" thickBot="1" x14ac:dyDescent="0.2">
      <c r="AD8412" s="98">
        <f t="shared" si="338"/>
        <v>53335</v>
      </c>
    </row>
    <row r="8413" spans="30:30" ht="14" thickBot="1" x14ac:dyDescent="0.2">
      <c r="AD8413" s="98">
        <f t="shared" si="338"/>
        <v>53336</v>
      </c>
    </row>
    <row r="8414" spans="30:30" ht="14" thickBot="1" x14ac:dyDescent="0.2">
      <c r="AD8414" s="98">
        <f t="shared" si="338"/>
        <v>53337</v>
      </c>
    </row>
    <row r="8415" spans="30:30" ht="14" thickBot="1" x14ac:dyDescent="0.2">
      <c r="AD8415" s="98">
        <f t="shared" si="338"/>
        <v>53338</v>
      </c>
    </row>
    <row r="8416" spans="30:30" ht="14" thickBot="1" x14ac:dyDescent="0.2">
      <c r="AD8416" s="98">
        <f t="shared" si="338"/>
        <v>53339</v>
      </c>
    </row>
    <row r="8417" spans="30:30" ht="14" thickBot="1" x14ac:dyDescent="0.2">
      <c r="AD8417" s="98">
        <f t="shared" si="338"/>
        <v>53340</v>
      </c>
    </row>
    <row r="8418" spans="30:30" ht="14" thickBot="1" x14ac:dyDescent="0.2">
      <c r="AD8418" s="98">
        <f t="shared" si="338"/>
        <v>53341</v>
      </c>
    </row>
    <row r="8419" spans="30:30" ht="14" thickBot="1" x14ac:dyDescent="0.2">
      <c r="AD8419" s="98">
        <f t="shared" si="338"/>
        <v>53342</v>
      </c>
    </row>
    <row r="8420" spans="30:30" ht="14" thickBot="1" x14ac:dyDescent="0.2">
      <c r="AD8420" s="98">
        <f t="shared" si="338"/>
        <v>53343</v>
      </c>
    </row>
    <row r="8421" spans="30:30" ht="14" thickBot="1" x14ac:dyDescent="0.2">
      <c r="AD8421" s="98">
        <f t="shared" si="338"/>
        <v>53344</v>
      </c>
    </row>
    <row r="8422" spans="30:30" ht="14" thickBot="1" x14ac:dyDescent="0.2">
      <c r="AD8422" s="98">
        <f t="shared" si="338"/>
        <v>53345</v>
      </c>
    </row>
    <row r="8423" spans="30:30" ht="14" thickBot="1" x14ac:dyDescent="0.2">
      <c r="AD8423" s="98">
        <f t="shared" si="338"/>
        <v>53346</v>
      </c>
    </row>
    <row r="8424" spans="30:30" ht="14" thickBot="1" x14ac:dyDescent="0.2">
      <c r="AD8424" s="98">
        <f t="shared" si="338"/>
        <v>53347</v>
      </c>
    </row>
    <row r="8425" spans="30:30" ht="14" thickBot="1" x14ac:dyDescent="0.2">
      <c r="AD8425" s="98">
        <f t="shared" si="338"/>
        <v>53348</v>
      </c>
    </row>
    <row r="8426" spans="30:30" ht="14" thickBot="1" x14ac:dyDescent="0.2">
      <c r="AD8426" s="98">
        <f t="shared" si="338"/>
        <v>53349</v>
      </c>
    </row>
    <row r="8427" spans="30:30" ht="14" thickBot="1" x14ac:dyDescent="0.2">
      <c r="AD8427" s="98">
        <f t="shared" si="338"/>
        <v>53350</v>
      </c>
    </row>
    <row r="8428" spans="30:30" ht="14" thickBot="1" x14ac:dyDescent="0.2">
      <c r="AD8428" s="98">
        <f t="shared" si="338"/>
        <v>53351</v>
      </c>
    </row>
    <row r="8429" spans="30:30" ht="14" thickBot="1" x14ac:dyDescent="0.2">
      <c r="AD8429" s="98">
        <f t="shared" si="338"/>
        <v>53352</v>
      </c>
    </row>
    <row r="8430" spans="30:30" ht="14" thickBot="1" x14ac:dyDescent="0.2">
      <c r="AD8430" s="98">
        <f t="shared" si="338"/>
        <v>53353</v>
      </c>
    </row>
    <row r="8431" spans="30:30" ht="14" thickBot="1" x14ac:dyDescent="0.2">
      <c r="AD8431" s="98">
        <f t="shared" si="338"/>
        <v>53354</v>
      </c>
    </row>
    <row r="8432" spans="30:30" ht="14" thickBot="1" x14ac:dyDescent="0.2">
      <c r="AD8432" s="98">
        <f t="shared" si="338"/>
        <v>53355</v>
      </c>
    </row>
    <row r="8433" spans="30:30" ht="14" thickBot="1" x14ac:dyDescent="0.2">
      <c r="AD8433" s="98">
        <f t="shared" si="338"/>
        <v>53356</v>
      </c>
    </row>
    <row r="8434" spans="30:30" ht="14" thickBot="1" x14ac:dyDescent="0.2">
      <c r="AD8434" s="98">
        <f t="shared" si="338"/>
        <v>53357</v>
      </c>
    </row>
    <row r="8435" spans="30:30" ht="14" thickBot="1" x14ac:dyDescent="0.2">
      <c r="AD8435" s="98">
        <f t="shared" si="338"/>
        <v>53358</v>
      </c>
    </row>
    <row r="8436" spans="30:30" ht="14" thickBot="1" x14ac:dyDescent="0.2">
      <c r="AD8436" s="98">
        <f t="shared" si="338"/>
        <v>53359</v>
      </c>
    </row>
    <row r="8437" spans="30:30" ht="14" thickBot="1" x14ac:dyDescent="0.2">
      <c r="AD8437" s="98">
        <f t="shared" si="338"/>
        <v>53360</v>
      </c>
    </row>
    <row r="8438" spans="30:30" ht="14" thickBot="1" x14ac:dyDescent="0.2">
      <c r="AD8438" s="98">
        <f t="shared" si="338"/>
        <v>53361</v>
      </c>
    </row>
    <row r="8439" spans="30:30" ht="14" thickBot="1" x14ac:dyDescent="0.2">
      <c r="AD8439" s="98">
        <f t="shared" si="338"/>
        <v>53362</v>
      </c>
    </row>
    <row r="8440" spans="30:30" ht="14" thickBot="1" x14ac:dyDescent="0.2">
      <c r="AD8440" s="98">
        <f t="shared" si="338"/>
        <v>53363</v>
      </c>
    </row>
    <row r="8441" spans="30:30" ht="14" thickBot="1" x14ac:dyDescent="0.2">
      <c r="AD8441" s="98">
        <f t="shared" si="338"/>
        <v>53364</v>
      </c>
    </row>
    <row r="8442" spans="30:30" ht="14" thickBot="1" x14ac:dyDescent="0.2">
      <c r="AD8442" s="98">
        <f t="shared" si="338"/>
        <v>53365</v>
      </c>
    </row>
    <row r="8443" spans="30:30" ht="14" thickBot="1" x14ac:dyDescent="0.2">
      <c r="AD8443" s="98">
        <f t="shared" si="338"/>
        <v>53366</v>
      </c>
    </row>
    <row r="8444" spans="30:30" ht="14" thickBot="1" x14ac:dyDescent="0.2">
      <c r="AD8444" s="98">
        <f t="shared" si="338"/>
        <v>53367</v>
      </c>
    </row>
    <row r="8445" spans="30:30" ht="14" thickBot="1" x14ac:dyDescent="0.2">
      <c r="AD8445" s="98">
        <f t="shared" si="338"/>
        <v>53368</v>
      </c>
    </row>
    <row r="8446" spans="30:30" ht="14" thickBot="1" x14ac:dyDescent="0.2">
      <c r="AD8446" s="98">
        <f t="shared" si="338"/>
        <v>53369</v>
      </c>
    </row>
    <row r="8447" spans="30:30" ht="14" thickBot="1" x14ac:dyDescent="0.2">
      <c r="AD8447" s="98">
        <f t="shared" si="338"/>
        <v>53370</v>
      </c>
    </row>
    <row r="8448" spans="30:30" ht="14" thickBot="1" x14ac:dyDescent="0.2">
      <c r="AD8448" s="98">
        <f t="shared" si="338"/>
        <v>53371</v>
      </c>
    </row>
    <row r="8449" spans="30:30" ht="14" thickBot="1" x14ac:dyDescent="0.2">
      <c r="AD8449" s="98">
        <f t="shared" si="338"/>
        <v>53372</v>
      </c>
    </row>
    <row r="8450" spans="30:30" ht="14" thickBot="1" x14ac:dyDescent="0.2">
      <c r="AD8450" s="98">
        <f t="shared" si="338"/>
        <v>53373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IO261"/>
  <sheetViews>
    <sheetView zoomScale="67" zoomScaleNormal="70" workbookViewId="0">
      <selection activeCell="L39" sqref="L39"/>
    </sheetView>
  </sheetViews>
  <sheetFormatPr baseColWidth="10" defaultColWidth="12.83203125" defaultRowHeight="15" customHeight="1" x14ac:dyDescent="0.15"/>
  <cols>
    <col min="1" max="1" width="20.5" customWidth="1"/>
    <col min="2" max="2" width="10.5" customWidth="1"/>
    <col min="3" max="3" width="17.5" bestFit="1" customWidth="1"/>
    <col min="4" max="4" width="10.5" customWidth="1"/>
    <col min="5" max="5" width="24.6640625" customWidth="1"/>
    <col min="6" max="6" width="22.5" bestFit="1" customWidth="1"/>
    <col min="7" max="46" width="8.5" customWidth="1"/>
    <col min="47" max="47" width="10" customWidth="1"/>
    <col min="48" max="48" width="12.1640625" customWidth="1"/>
    <col min="49" max="249" width="10" customWidth="1"/>
  </cols>
  <sheetData>
    <row r="1" spans="1:48" ht="24" customHeight="1" x14ac:dyDescent="0.15">
      <c r="A1" s="238"/>
      <c r="B1" s="239"/>
      <c r="C1" s="239"/>
      <c r="D1" s="239"/>
      <c r="E1" s="239"/>
      <c r="F1" s="239"/>
      <c r="H1" s="1"/>
      <c r="I1" s="1"/>
      <c r="J1" s="1"/>
      <c r="K1" s="1"/>
      <c r="M1" s="239"/>
      <c r="N1" s="239"/>
      <c r="O1" s="239"/>
    </row>
    <row r="2" spans="1:48" ht="24" customHeight="1" x14ac:dyDescent="0.15">
      <c r="C2" s="240"/>
      <c r="D2" s="240"/>
      <c r="E2" s="240"/>
      <c r="F2" s="240"/>
      <c r="H2" s="1"/>
      <c r="I2" s="1"/>
      <c r="J2" s="1"/>
      <c r="K2" s="1"/>
      <c r="M2" s="239"/>
      <c r="N2" s="239"/>
      <c r="O2" s="239"/>
    </row>
    <row r="3" spans="1:48" ht="24" customHeight="1" x14ac:dyDescent="0.25">
      <c r="A3" s="36" t="s">
        <v>75</v>
      </c>
      <c r="C3" s="36" t="s">
        <v>76</v>
      </c>
      <c r="F3" s="241" t="s">
        <v>19</v>
      </c>
      <c r="G3" s="34" t="s">
        <v>100</v>
      </c>
    </row>
    <row r="4" spans="1:48" ht="24" customHeight="1" x14ac:dyDescent="0.15">
      <c r="A4" s="44" t="s">
        <v>77</v>
      </c>
      <c r="B4" s="45">
        <f>'Monitor Bonos'!C15</f>
        <v>0.2</v>
      </c>
      <c r="C4" s="46" t="s">
        <v>11</v>
      </c>
      <c r="D4" s="47">
        <f ca="1">SUM(H11:AV11)</f>
        <v>37.801568059457033</v>
      </c>
      <c r="E4" s="37"/>
      <c r="F4" s="8" t="s">
        <v>101</v>
      </c>
      <c r="G4" s="28">
        <f ca="1">B5</f>
        <v>45478</v>
      </c>
      <c r="H4" s="28">
        <v>44386</v>
      </c>
      <c r="I4" s="29">
        <v>44570</v>
      </c>
      <c r="J4" s="29">
        <v>44751</v>
      </c>
      <c r="K4" s="29">
        <v>44935</v>
      </c>
      <c r="L4" s="29">
        <v>45116</v>
      </c>
      <c r="M4" s="29">
        <v>45300</v>
      </c>
      <c r="N4" s="29">
        <v>45482</v>
      </c>
      <c r="O4" s="29">
        <v>45666</v>
      </c>
      <c r="P4" s="29">
        <v>45847</v>
      </c>
      <c r="Q4" s="29">
        <v>46031</v>
      </c>
      <c r="R4" s="29">
        <v>46212</v>
      </c>
      <c r="S4" s="29">
        <v>46396</v>
      </c>
      <c r="T4" s="29">
        <v>46577</v>
      </c>
      <c r="U4" s="29">
        <v>46761</v>
      </c>
      <c r="V4" s="29">
        <v>46943</v>
      </c>
      <c r="W4" s="29">
        <v>47127</v>
      </c>
      <c r="X4" s="29">
        <v>47308</v>
      </c>
      <c r="Y4" s="29">
        <v>47492</v>
      </c>
      <c r="Z4" s="29">
        <v>47673</v>
      </c>
      <c r="AA4" s="29">
        <v>47857</v>
      </c>
      <c r="AB4" s="29">
        <v>48038</v>
      </c>
      <c r="AC4" s="29">
        <v>48222</v>
      </c>
      <c r="AD4" s="29">
        <v>48404</v>
      </c>
      <c r="AE4" s="29">
        <v>48588</v>
      </c>
      <c r="AF4" s="29">
        <v>48769</v>
      </c>
      <c r="AG4" s="29">
        <v>48953</v>
      </c>
      <c r="AH4" s="29">
        <v>49134</v>
      </c>
      <c r="AI4" s="29">
        <v>49318</v>
      </c>
      <c r="AJ4" s="29">
        <v>49499</v>
      </c>
      <c r="AK4" s="29">
        <v>49683</v>
      </c>
      <c r="AL4" s="29">
        <v>49865</v>
      </c>
      <c r="AM4" s="29">
        <v>50049</v>
      </c>
      <c r="AN4" s="29">
        <v>50230</v>
      </c>
      <c r="AO4" s="29">
        <v>50414</v>
      </c>
      <c r="AP4" s="29">
        <v>50595</v>
      </c>
      <c r="AQ4" s="29">
        <v>50779</v>
      </c>
      <c r="AR4" s="29">
        <v>50960</v>
      </c>
      <c r="AS4" s="29">
        <v>51144</v>
      </c>
      <c r="AT4" s="29">
        <v>51326</v>
      </c>
      <c r="AU4" s="29">
        <v>51510</v>
      </c>
      <c r="AV4" s="30">
        <v>51691</v>
      </c>
    </row>
    <row r="5" spans="1:48" ht="24" customHeight="1" x14ac:dyDescent="0.15">
      <c r="A5" s="43" t="s">
        <v>79</v>
      </c>
      <c r="B5" s="38">
        <f ca="1">'Monitor Bonos'!$C$7</f>
        <v>45478</v>
      </c>
      <c r="C5" s="41" t="s">
        <v>80</v>
      </c>
      <c r="D5" s="40">
        <f ca="1">+B9*((B5-B8)/(B7-B8))</f>
        <v>5.25</v>
      </c>
      <c r="E5" s="37"/>
      <c r="F5" s="9" t="s">
        <v>81</v>
      </c>
      <c r="H5" s="16">
        <v>0</v>
      </c>
      <c r="I5" s="17">
        <f t="shared" ref="I5:AV5" ca="1" si="0">+(I4-$B$5)/365</f>
        <v>-2.4876712328767123</v>
      </c>
      <c r="J5" s="17">
        <f t="shared" ca="1" si="0"/>
        <v>-1.9917808219178081</v>
      </c>
      <c r="K5" s="17">
        <f t="shared" ca="1" si="0"/>
        <v>-1.4876712328767123</v>
      </c>
      <c r="L5" s="17">
        <f t="shared" ca="1" si="0"/>
        <v>-0.99178082191780825</v>
      </c>
      <c r="M5" s="17">
        <f t="shared" ca="1" si="0"/>
        <v>-0.48767123287671232</v>
      </c>
      <c r="N5" s="17">
        <f t="shared" ca="1" si="0"/>
        <v>1.0958904109589041E-2</v>
      </c>
      <c r="O5" s="17">
        <f t="shared" ca="1" si="0"/>
        <v>0.51506849315068493</v>
      </c>
      <c r="P5" s="17">
        <f t="shared" ca="1" si="0"/>
        <v>1.010958904109589</v>
      </c>
      <c r="Q5" s="17">
        <f t="shared" ca="1" si="0"/>
        <v>1.515068493150685</v>
      </c>
      <c r="R5" s="17">
        <f t="shared" ca="1" si="0"/>
        <v>2.010958904109589</v>
      </c>
      <c r="S5" s="17">
        <f t="shared" ca="1" si="0"/>
        <v>2.515068493150685</v>
      </c>
      <c r="T5" s="17">
        <f t="shared" ca="1" si="0"/>
        <v>3.010958904109589</v>
      </c>
      <c r="U5" s="17">
        <f t="shared" ca="1" si="0"/>
        <v>3.515068493150685</v>
      </c>
      <c r="V5" s="17">
        <f t="shared" ca="1" si="0"/>
        <v>4.0136986301369859</v>
      </c>
      <c r="W5" s="17">
        <f t="shared" ca="1" si="0"/>
        <v>4.5178082191780824</v>
      </c>
      <c r="X5" s="17">
        <f t="shared" ca="1" si="0"/>
        <v>5.0136986301369859</v>
      </c>
      <c r="Y5" s="17">
        <f t="shared" ca="1" si="0"/>
        <v>5.5178082191780824</v>
      </c>
      <c r="Z5" s="17">
        <f t="shared" ca="1" si="0"/>
        <v>6.0136986301369859</v>
      </c>
      <c r="AA5" s="17">
        <f t="shared" ca="1" si="0"/>
        <v>6.5178082191780824</v>
      </c>
      <c r="AB5" s="17">
        <f t="shared" ca="1" si="0"/>
        <v>7.0136986301369859</v>
      </c>
      <c r="AC5" s="17">
        <f t="shared" ca="1" si="0"/>
        <v>7.5178082191780824</v>
      </c>
      <c r="AD5" s="17">
        <f t="shared" ca="1" si="0"/>
        <v>8.0164383561643842</v>
      </c>
      <c r="AE5" s="17">
        <f t="shared" ca="1" si="0"/>
        <v>8.5205479452054789</v>
      </c>
      <c r="AF5" s="17">
        <f t="shared" ca="1" si="0"/>
        <v>9.0164383561643842</v>
      </c>
      <c r="AG5" s="17">
        <f t="shared" ca="1" si="0"/>
        <v>9.5205479452054789</v>
      </c>
      <c r="AH5" s="17">
        <f t="shared" ca="1" si="0"/>
        <v>10.016438356164384</v>
      </c>
      <c r="AI5" s="17">
        <f t="shared" ca="1" si="0"/>
        <v>10.520547945205479</v>
      </c>
      <c r="AJ5" s="17">
        <f t="shared" ca="1" si="0"/>
        <v>11.016438356164384</v>
      </c>
      <c r="AK5" s="17">
        <f t="shared" ca="1" si="0"/>
        <v>11.520547945205479</v>
      </c>
      <c r="AL5" s="17">
        <f t="shared" ca="1" si="0"/>
        <v>12.019178082191781</v>
      </c>
      <c r="AM5" s="17">
        <f t="shared" ca="1" si="0"/>
        <v>12.523287671232877</v>
      </c>
      <c r="AN5" s="17">
        <f t="shared" ca="1" si="0"/>
        <v>13.019178082191781</v>
      </c>
      <c r="AO5" s="17">
        <f t="shared" ca="1" si="0"/>
        <v>13.523287671232877</v>
      </c>
      <c r="AP5" s="17">
        <f t="shared" ca="1" si="0"/>
        <v>14.019178082191781</v>
      </c>
      <c r="AQ5" s="17">
        <f t="shared" ca="1" si="0"/>
        <v>14.523287671232877</v>
      </c>
      <c r="AR5" s="17">
        <f t="shared" ca="1" si="0"/>
        <v>15.019178082191781</v>
      </c>
      <c r="AS5" s="17">
        <f t="shared" ca="1" si="0"/>
        <v>15.523287671232877</v>
      </c>
      <c r="AT5" s="17">
        <f t="shared" ca="1" si="0"/>
        <v>16.021917808219179</v>
      </c>
      <c r="AU5" s="17">
        <f t="shared" ca="1" si="0"/>
        <v>16.526027397260275</v>
      </c>
      <c r="AV5" s="18">
        <f t="shared" ca="1" si="0"/>
        <v>17.021917808219179</v>
      </c>
    </row>
    <row r="6" spans="1:48" ht="24" customHeight="1" x14ac:dyDescent="0.15">
      <c r="A6" s="50" t="s">
        <v>82</v>
      </c>
      <c r="B6" s="51">
        <v>100</v>
      </c>
      <c r="C6" s="41" t="s">
        <v>83</v>
      </c>
      <c r="D6" s="39">
        <f ca="1">SUM(H14:AV14)/D4</f>
        <v>5.808663756639846</v>
      </c>
      <c r="E6" s="37"/>
      <c r="F6" s="10" t="s">
        <v>87</v>
      </c>
      <c r="L6" s="63">
        <v>3.5000000000000003E-2</v>
      </c>
      <c r="M6" s="63">
        <v>3.5000000000000003E-2</v>
      </c>
      <c r="N6" s="63">
        <v>3.5000000000000003E-2</v>
      </c>
      <c r="O6" s="63">
        <v>3.5000000000000003E-2</v>
      </c>
      <c r="P6" s="63">
        <v>3.5000000000000003E-2</v>
      </c>
      <c r="Q6" s="63">
        <v>3.5000000000000003E-2</v>
      </c>
      <c r="R6" s="63">
        <v>3.5000000000000003E-2</v>
      </c>
      <c r="S6" s="63">
        <v>3.5000000000000003E-2</v>
      </c>
      <c r="T6" s="63">
        <v>3.5000000000000003E-2</v>
      </c>
      <c r="U6" s="63">
        <v>3.5000000000000003E-2</v>
      </c>
      <c r="V6" s="63">
        <v>3.5000000000000003E-2</v>
      </c>
      <c r="W6" s="63">
        <v>3.5000000000000003E-2</v>
      </c>
      <c r="X6" s="63">
        <v>3.5000000000000003E-2</v>
      </c>
      <c r="Y6" s="63">
        <v>4.8750000000000002E-2</v>
      </c>
      <c r="Z6" s="63">
        <v>4.8750000000000002E-2</v>
      </c>
      <c r="AA6" s="63">
        <v>4.8750000000000002E-2</v>
      </c>
      <c r="AB6" s="63">
        <v>4.8750000000000002E-2</v>
      </c>
      <c r="AC6" s="63">
        <v>4.8750000000000002E-2</v>
      </c>
      <c r="AD6" s="63">
        <v>4.8750000000000002E-2</v>
      </c>
      <c r="AE6" s="63">
        <v>4.8750000000000002E-2</v>
      </c>
      <c r="AF6" s="63">
        <v>4.8750000000000002E-2</v>
      </c>
      <c r="AG6" s="63">
        <v>4.8750000000000002E-2</v>
      </c>
      <c r="AH6" s="63">
        <v>4.8750000000000002E-2</v>
      </c>
      <c r="AI6" s="63">
        <v>4.8750000000000002E-2</v>
      </c>
      <c r="AJ6" s="63">
        <v>4.8750000000000002E-2</v>
      </c>
      <c r="AK6" s="63">
        <v>4.8750000000000002E-2</v>
      </c>
      <c r="AL6" s="63">
        <v>4.8750000000000002E-2</v>
      </c>
      <c r="AM6" s="63">
        <v>4.8750000000000002E-2</v>
      </c>
      <c r="AN6" s="63">
        <v>4.8750000000000002E-2</v>
      </c>
      <c r="AO6" s="63">
        <v>4.8750000000000002E-2</v>
      </c>
      <c r="AP6" s="63">
        <v>4.8750000000000002E-2</v>
      </c>
      <c r="AQ6" s="63">
        <v>4.8750000000000002E-2</v>
      </c>
      <c r="AR6" s="63">
        <v>4.8750000000000002E-2</v>
      </c>
      <c r="AS6" s="63">
        <v>4.8750000000000002E-2</v>
      </c>
      <c r="AT6" s="63">
        <v>4.8750000000000002E-2</v>
      </c>
      <c r="AU6" s="63">
        <v>4.8750000000000002E-2</v>
      </c>
      <c r="AV6" s="63">
        <v>4.8750000000000002E-2</v>
      </c>
    </row>
    <row r="7" spans="1:48" ht="24" customHeight="1" x14ac:dyDescent="0.15">
      <c r="A7" s="50" t="s">
        <v>84</v>
      </c>
      <c r="B7" s="38">
        <f>L4</f>
        <v>45116</v>
      </c>
      <c r="C7" s="41" t="s">
        <v>85</v>
      </c>
      <c r="D7" s="39">
        <f ca="1">+D6/(1+B4/2)</f>
        <v>5.2806034151271319</v>
      </c>
      <c r="E7" s="37"/>
      <c r="F7" s="10" t="s">
        <v>29</v>
      </c>
      <c r="H7" s="19"/>
      <c r="I7" s="20"/>
      <c r="J7" s="20"/>
      <c r="K7" s="20"/>
      <c r="L7" s="21">
        <f>L6/2*L10</f>
        <v>1.7500000000000002</v>
      </c>
      <c r="M7" s="21">
        <f t="shared" ref="M7:AV7" si="1">M6/2*M10</f>
        <v>1.7500000000000002</v>
      </c>
      <c r="N7" s="21">
        <f t="shared" si="1"/>
        <v>1.7500000000000002</v>
      </c>
      <c r="O7" s="21">
        <f t="shared" si="1"/>
        <v>1.7500000000000002</v>
      </c>
      <c r="P7" s="21">
        <f t="shared" si="1"/>
        <v>1.7500000000000002</v>
      </c>
      <c r="Q7" s="21">
        <f t="shared" si="1"/>
        <v>1.7500000000000002</v>
      </c>
      <c r="R7" s="21">
        <f t="shared" si="1"/>
        <v>1.7500000000000002</v>
      </c>
      <c r="S7" s="21">
        <f t="shared" si="1"/>
        <v>1.7500000000000002</v>
      </c>
      <c r="T7" s="21">
        <f t="shared" si="1"/>
        <v>1.7500000000000002</v>
      </c>
      <c r="U7" s="21">
        <f t="shared" si="1"/>
        <v>1.7500000000000002</v>
      </c>
      <c r="V7" s="21">
        <f t="shared" si="1"/>
        <v>1.6875000000000002</v>
      </c>
      <c r="W7" s="21">
        <f t="shared" si="1"/>
        <v>1.6250000000000002</v>
      </c>
      <c r="X7" s="21">
        <f t="shared" si="1"/>
        <v>1.5625000000000002</v>
      </c>
      <c r="Y7" s="21">
        <f t="shared" si="1"/>
        <v>2.0892857142857144</v>
      </c>
      <c r="Z7" s="21">
        <f t="shared" si="1"/>
        <v>2.0022321428571432</v>
      </c>
      <c r="AA7" s="21">
        <f t="shared" si="1"/>
        <v>1.9151785714285718</v>
      </c>
      <c r="AB7" s="21">
        <f t="shared" si="1"/>
        <v>1.8281250000000004</v>
      </c>
      <c r="AC7" s="21">
        <f t="shared" si="1"/>
        <v>1.741071428571429</v>
      </c>
      <c r="AD7" s="21">
        <f t="shared" si="1"/>
        <v>1.6540178571428577</v>
      </c>
      <c r="AE7" s="21">
        <f t="shared" si="1"/>
        <v>1.5669642857142863</v>
      </c>
      <c r="AF7" s="21">
        <f t="shared" si="1"/>
        <v>1.4799107142857149</v>
      </c>
      <c r="AG7" s="21">
        <f t="shared" si="1"/>
        <v>1.3928571428571435</v>
      </c>
      <c r="AH7" s="21">
        <f t="shared" si="1"/>
        <v>1.3058035714285721</v>
      </c>
      <c r="AI7" s="21">
        <f t="shared" si="1"/>
        <v>1.2187500000000007</v>
      </c>
      <c r="AJ7" s="21">
        <f t="shared" si="1"/>
        <v>1.1316964285714293</v>
      </c>
      <c r="AK7" s="21">
        <f t="shared" si="1"/>
        <v>1.0446428571428579</v>
      </c>
      <c r="AL7" s="21">
        <f t="shared" si="1"/>
        <v>0.95758928571428659</v>
      </c>
      <c r="AM7" s="21">
        <f t="shared" si="1"/>
        <v>0.87053571428571519</v>
      </c>
      <c r="AN7" s="21">
        <f t="shared" si="1"/>
        <v>0.78348214285714379</v>
      </c>
      <c r="AO7" s="21">
        <f t="shared" si="1"/>
        <v>0.6964285714285724</v>
      </c>
      <c r="AP7" s="21">
        <f t="shared" si="1"/>
        <v>0.60937500000000089</v>
      </c>
      <c r="AQ7" s="21">
        <f t="shared" si="1"/>
        <v>0.52232142857142938</v>
      </c>
      <c r="AR7" s="21">
        <f t="shared" si="1"/>
        <v>0.43526785714285793</v>
      </c>
      <c r="AS7" s="21">
        <f t="shared" si="1"/>
        <v>0.34821428571428653</v>
      </c>
      <c r="AT7" s="21">
        <f t="shared" si="1"/>
        <v>0.26116071428571508</v>
      </c>
      <c r="AU7" s="21">
        <f t="shared" si="1"/>
        <v>0.17410714285714368</v>
      </c>
      <c r="AV7" s="21">
        <f t="shared" si="1"/>
        <v>8.7053571428572243E-2</v>
      </c>
    </row>
    <row r="8" spans="1:48" ht="24" customHeight="1" x14ac:dyDescent="0.15">
      <c r="A8" s="50" t="s">
        <v>86</v>
      </c>
      <c r="B8" s="38">
        <f>K4</f>
        <v>44935</v>
      </c>
      <c r="C8" s="41" t="s">
        <v>13</v>
      </c>
      <c r="D8" s="39">
        <f ca="1">SUM(H16:AV16)/D4</f>
        <v>37.911379780697814</v>
      </c>
      <c r="E8" s="37"/>
      <c r="F8" s="10" t="s">
        <v>28</v>
      </c>
      <c r="H8" s="19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  <c r="R8" s="23">
        <v>0</v>
      </c>
      <c r="S8" s="23">
        <v>0</v>
      </c>
      <c r="T8" s="23">
        <v>0</v>
      </c>
      <c r="U8" s="23">
        <v>3.5714285714285716</v>
      </c>
      <c r="V8" s="23">
        <v>3.5714285714285716</v>
      </c>
      <c r="W8" s="23">
        <v>3.5714285714285716</v>
      </c>
      <c r="X8" s="23">
        <v>3.5714285714285716</v>
      </c>
      <c r="Y8" s="23">
        <v>3.5714285714285716</v>
      </c>
      <c r="Z8" s="23">
        <v>3.5714285714285716</v>
      </c>
      <c r="AA8" s="23">
        <v>3.5714285714285716</v>
      </c>
      <c r="AB8" s="23">
        <v>3.5714285714285716</v>
      </c>
      <c r="AC8" s="23">
        <v>3.5714285714285716</v>
      </c>
      <c r="AD8" s="23">
        <v>3.5714285714285716</v>
      </c>
      <c r="AE8" s="23">
        <v>3.5714285714285716</v>
      </c>
      <c r="AF8" s="23">
        <v>3.5714285714285716</v>
      </c>
      <c r="AG8" s="23">
        <v>3.5714285714285716</v>
      </c>
      <c r="AH8" s="23">
        <v>3.5714285714285716</v>
      </c>
      <c r="AI8" s="23">
        <v>3.5714285714285716</v>
      </c>
      <c r="AJ8" s="23">
        <v>3.5714285714285716</v>
      </c>
      <c r="AK8" s="23">
        <v>3.5714285714285716</v>
      </c>
      <c r="AL8" s="23">
        <v>3.5714285714285716</v>
      </c>
      <c r="AM8" s="23">
        <v>3.5714285714285716</v>
      </c>
      <c r="AN8" s="23">
        <v>3.5714285714285716</v>
      </c>
      <c r="AO8" s="23">
        <v>3.5714285714285716</v>
      </c>
      <c r="AP8" s="23">
        <v>3.5714285714285716</v>
      </c>
      <c r="AQ8" s="23">
        <v>3.5714285714285716</v>
      </c>
      <c r="AR8" s="23">
        <v>3.5714285714285716</v>
      </c>
      <c r="AS8" s="23">
        <v>3.5714285714285716</v>
      </c>
      <c r="AT8" s="23">
        <v>3.5714285714285716</v>
      </c>
      <c r="AU8" s="23">
        <v>3.5714285714285716</v>
      </c>
      <c r="AV8" s="24">
        <v>3.5714285714285716</v>
      </c>
    </row>
    <row r="9" spans="1:48" ht="24" customHeight="1" x14ac:dyDescent="0.15">
      <c r="A9" s="50" t="s">
        <v>88</v>
      </c>
      <c r="B9" s="61">
        <v>1.75</v>
      </c>
      <c r="E9" s="37"/>
      <c r="F9" s="11" t="s">
        <v>92</v>
      </c>
      <c r="G9">
        <f>-B11</f>
        <v>-30</v>
      </c>
      <c r="H9" s="19">
        <f t="shared" ref="H9:AV9" si="2">IF(H5&lt;0,0,H8+H7)</f>
        <v>0</v>
      </c>
      <c r="I9" s="23">
        <f t="shared" ca="1" si="2"/>
        <v>0</v>
      </c>
      <c r="J9" s="23">
        <f t="shared" ca="1" si="2"/>
        <v>0</v>
      </c>
      <c r="K9" s="23">
        <f t="shared" ca="1" si="2"/>
        <v>0</v>
      </c>
      <c r="L9" s="23">
        <f t="shared" ca="1" si="2"/>
        <v>0</v>
      </c>
      <c r="M9" s="23">
        <f t="shared" ca="1" si="2"/>
        <v>0</v>
      </c>
      <c r="N9" s="23">
        <f t="shared" ca="1" si="2"/>
        <v>1.7500000000000002</v>
      </c>
      <c r="O9" s="23">
        <f t="shared" ca="1" si="2"/>
        <v>1.7500000000000002</v>
      </c>
      <c r="P9" s="23">
        <f t="shared" ca="1" si="2"/>
        <v>1.7500000000000002</v>
      </c>
      <c r="Q9" s="23">
        <f t="shared" ca="1" si="2"/>
        <v>1.7500000000000002</v>
      </c>
      <c r="R9" s="23">
        <f t="shared" ca="1" si="2"/>
        <v>1.7500000000000002</v>
      </c>
      <c r="S9" s="23">
        <f t="shared" ca="1" si="2"/>
        <v>1.7500000000000002</v>
      </c>
      <c r="T9" s="23">
        <f t="shared" ca="1" si="2"/>
        <v>1.7500000000000002</v>
      </c>
      <c r="U9" s="23">
        <f t="shared" ca="1" si="2"/>
        <v>5.3214285714285721</v>
      </c>
      <c r="V9" s="23">
        <f t="shared" ca="1" si="2"/>
        <v>5.2589285714285721</v>
      </c>
      <c r="W9" s="23">
        <f t="shared" ca="1" si="2"/>
        <v>5.1964285714285721</v>
      </c>
      <c r="X9" s="23">
        <f t="shared" ca="1" si="2"/>
        <v>5.1339285714285721</v>
      </c>
      <c r="Y9" s="23">
        <f t="shared" ca="1" si="2"/>
        <v>5.6607142857142865</v>
      </c>
      <c r="Z9" s="23">
        <f t="shared" ca="1" si="2"/>
        <v>5.5736607142857153</v>
      </c>
      <c r="AA9" s="23">
        <f t="shared" ca="1" si="2"/>
        <v>5.4866071428571432</v>
      </c>
      <c r="AB9" s="23">
        <f t="shared" ca="1" si="2"/>
        <v>5.3995535714285721</v>
      </c>
      <c r="AC9" s="23">
        <f t="shared" ca="1" si="2"/>
        <v>5.3125000000000009</v>
      </c>
      <c r="AD9" s="23">
        <f t="shared" ca="1" si="2"/>
        <v>5.2254464285714288</v>
      </c>
      <c r="AE9" s="23">
        <f t="shared" ca="1" si="2"/>
        <v>5.1383928571428577</v>
      </c>
      <c r="AF9" s="23">
        <f t="shared" ca="1" si="2"/>
        <v>5.0513392857142865</v>
      </c>
      <c r="AG9" s="23">
        <f t="shared" ca="1" si="2"/>
        <v>4.9642857142857153</v>
      </c>
      <c r="AH9" s="23">
        <f t="shared" ca="1" si="2"/>
        <v>4.8772321428571441</v>
      </c>
      <c r="AI9" s="23">
        <f t="shared" ca="1" si="2"/>
        <v>4.7901785714285721</v>
      </c>
      <c r="AJ9" s="23">
        <f t="shared" ca="1" si="2"/>
        <v>4.7031250000000009</v>
      </c>
      <c r="AK9" s="23">
        <f t="shared" ca="1" si="2"/>
        <v>4.6160714285714297</v>
      </c>
      <c r="AL9" s="23">
        <f t="shared" ca="1" si="2"/>
        <v>4.5290178571428585</v>
      </c>
      <c r="AM9" s="23">
        <f t="shared" ca="1" si="2"/>
        <v>4.4419642857142865</v>
      </c>
      <c r="AN9" s="23">
        <f t="shared" ca="1" si="2"/>
        <v>4.3549107142857153</v>
      </c>
      <c r="AO9" s="23">
        <f t="shared" ca="1" si="2"/>
        <v>4.2678571428571441</v>
      </c>
      <c r="AP9" s="23">
        <f t="shared" ca="1" si="2"/>
        <v>4.180803571428573</v>
      </c>
      <c r="AQ9" s="23">
        <f t="shared" ca="1" si="2"/>
        <v>4.0937500000000009</v>
      </c>
      <c r="AR9" s="23">
        <f t="shared" ca="1" si="2"/>
        <v>4.0066964285714297</v>
      </c>
      <c r="AS9" s="23">
        <f t="shared" ca="1" si="2"/>
        <v>3.9196428571428581</v>
      </c>
      <c r="AT9" s="23">
        <f t="shared" ca="1" si="2"/>
        <v>3.8325892857142865</v>
      </c>
      <c r="AU9" s="23">
        <f t="shared" ca="1" si="2"/>
        <v>3.7455357142857153</v>
      </c>
      <c r="AV9" s="24">
        <f t="shared" ca="1" si="2"/>
        <v>3.6584821428571437</v>
      </c>
    </row>
    <row r="10" spans="1:48" ht="24" customHeight="1" x14ac:dyDescent="0.15">
      <c r="F10" s="12" t="s">
        <v>89</v>
      </c>
      <c r="H10" s="25">
        <f>B6</f>
        <v>100</v>
      </c>
      <c r="I10" s="26">
        <f t="shared" ref="I10:AV10" si="3">H10-H8</f>
        <v>100</v>
      </c>
      <c r="J10" s="26">
        <f t="shared" si="3"/>
        <v>100</v>
      </c>
      <c r="K10" s="26">
        <f t="shared" si="3"/>
        <v>100</v>
      </c>
      <c r="L10" s="26">
        <f t="shared" si="3"/>
        <v>100</v>
      </c>
      <c r="M10" s="26">
        <f t="shared" si="3"/>
        <v>100</v>
      </c>
      <c r="N10" s="26">
        <f t="shared" si="3"/>
        <v>100</v>
      </c>
      <c r="O10" s="26">
        <f t="shared" si="3"/>
        <v>100</v>
      </c>
      <c r="P10" s="26">
        <f t="shared" si="3"/>
        <v>100</v>
      </c>
      <c r="Q10" s="26">
        <f t="shared" si="3"/>
        <v>100</v>
      </c>
      <c r="R10" s="26">
        <f t="shared" si="3"/>
        <v>100</v>
      </c>
      <c r="S10" s="26">
        <f t="shared" si="3"/>
        <v>100</v>
      </c>
      <c r="T10" s="26">
        <f t="shared" si="3"/>
        <v>100</v>
      </c>
      <c r="U10" s="26">
        <f t="shared" si="3"/>
        <v>100</v>
      </c>
      <c r="V10" s="26">
        <f t="shared" si="3"/>
        <v>96.428571428571431</v>
      </c>
      <c r="W10" s="26">
        <f t="shared" si="3"/>
        <v>92.857142857142861</v>
      </c>
      <c r="X10" s="26">
        <f t="shared" si="3"/>
        <v>89.285714285714292</v>
      </c>
      <c r="Y10" s="26">
        <f t="shared" si="3"/>
        <v>85.714285714285722</v>
      </c>
      <c r="Z10" s="26">
        <f t="shared" si="3"/>
        <v>82.142857142857153</v>
      </c>
      <c r="AA10" s="26">
        <f t="shared" si="3"/>
        <v>78.571428571428584</v>
      </c>
      <c r="AB10" s="26">
        <f t="shared" si="3"/>
        <v>75.000000000000014</v>
      </c>
      <c r="AC10" s="26">
        <f t="shared" si="3"/>
        <v>71.428571428571445</v>
      </c>
      <c r="AD10" s="26">
        <f t="shared" si="3"/>
        <v>67.857142857142875</v>
      </c>
      <c r="AE10" s="26">
        <f t="shared" si="3"/>
        <v>64.285714285714306</v>
      </c>
      <c r="AF10" s="26">
        <f t="shared" si="3"/>
        <v>60.714285714285737</v>
      </c>
      <c r="AG10" s="26">
        <f t="shared" si="3"/>
        <v>57.142857142857167</v>
      </c>
      <c r="AH10" s="26">
        <f t="shared" si="3"/>
        <v>53.571428571428598</v>
      </c>
      <c r="AI10" s="26">
        <f t="shared" si="3"/>
        <v>50.000000000000028</v>
      </c>
      <c r="AJ10" s="26">
        <f t="shared" si="3"/>
        <v>46.428571428571459</v>
      </c>
      <c r="AK10" s="26">
        <f t="shared" si="3"/>
        <v>42.85714285714289</v>
      </c>
      <c r="AL10" s="26">
        <f t="shared" si="3"/>
        <v>39.28571428571432</v>
      </c>
      <c r="AM10" s="26">
        <f t="shared" si="3"/>
        <v>35.714285714285751</v>
      </c>
      <c r="AN10" s="26">
        <f t="shared" si="3"/>
        <v>32.142857142857181</v>
      </c>
      <c r="AO10" s="26">
        <f t="shared" si="3"/>
        <v>28.571428571428608</v>
      </c>
      <c r="AP10" s="26">
        <f t="shared" si="3"/>
        <v>25.000000000000036</v>
      </c>
      <c r="AQ10" s="26">
        <f t="shared" si="3"/>
        <v>21.428571428571463</v>
      </c>
      <c r="AR10" s="26">
        <f t="shared" si="3"/>
        <v>17.85714285714289</v>
      </c>
      <c r="AS10" s="26">
        <f t="shared" si="3"/>
        <v>14.285714285714318</v>
      </c>
      <c r="AT10" s="26">
        <f t="shared" si="3"/>
        <v>10.714285714285747</v>
      </c>
      <c r="AU10" s="26">
        <f t="shared" si="3"/>
        <v>7.1428571428571761</v>
      </c>
      <c r="AV10" s="27">
        <f t="shared" si="3"/>
        <v>3.5714285714286045</v>
      </c>
    </row>
    <row r="11" spans="1:48" ht="24" customHeight="1" x14ac:dyDescent="0.15">
      <c r="A11" s="44" t="s">
        <v>11</v>
      </c>
      <c r="B11" s="91">
        <f>'Monitor Bonos'!M15</f>
        <v>30</v>
      </c>
      <c r="C11" s="48" t="s">
        <v>77</v>
      </c>
      <c r="D11" s="69">
        <f ca="1">XIRR(G9:AV9,G4:AV4)</f>
        <v>0.25146859288215639</v>
      </c>
      <c r="E11" s="31"/>
      <c r="F11" s="11" t="s">
        <v>102</v>
      </c>
      <c r="H11" s="52">
        <f t="shared" ref="H11:AV11" si="4">+H9/(1+$B$4)^(H5)</f>
        <v>0</v>
      </c>
      <c r="I11" s="53">
        <f t="shared" ca="1" si="4"/>
        <v>0</v>
      </c>
      <c r="J11" s="53">
        <f t="shared" ca="1" si="4"/>
        <v>0</v>
      </c>
      <c r="K11" s="53">
        <f t="shared" ca="1" si="4"/>
        <v>0</v>
      </c>
      <c r="L11" s="54">
        <f t="shared" ca="1" si="4"/>
        <v>0</v>
      </c>
      <c r="M11" s="54">
        <f t="shared" ca="1" si="4"/>
        <v>0</v>
      </c>
      <c r="N11" s="54">
        <f t="shared" ca="1" si="4"/>
        <v>1.7465069130320874</v>
      </c>
      <c r="O11" s="54">
        <f t="shared" ca="1" si="4"/>
        <v>1.5931412535590603</v>
      </c>
      <c r="P11" s="54">
        <f t="shared" ca="1" si="4"/>
        <v>1.4554224275267398</v>
      </c>
      <c r="Q11" s="54">
        <f t="shared" ca="1" si="4"/>
        <v>1.3276177112992167</v>
      </c>
      <c r="R11" s="54">
        <f t="shared" ca="1" si="4"/>
        <v>1.2128520229389497</v>
      </c>
      <c r="S11" s="54">
        <f t="shared" ca="1" si="4"/>
        <v>1.1063480927493474</v>
      </c>
      <c r="T11" s="54">
        <f t="shared" ca="1" si="4"/>
        <v>1.0107100191157916</v>
      </c>
      <c r="U11" s="54">
        <f t="shared" ca="1" si="4"/>
        <v>2.8035011193818495</v>
      </c>
      <c r="V11" s="54">
        <f t="shared" ca="1" si="4"/>
        <v>2.5298083012407742</v>
      </c>
      <c r="W11" s="54">
        <f t="shared" ca="1" si="4"/>
        <v>2.2802332688208193</v>
      </c>
      <c r="X11" s="54">
        <f t="shared" ca="1" si="4"/>
        <v>2.0580641952652026</v>
      </c>
      <c r="Y11" s="54">
        <f t="shared" ca="1" si="4"/>
        <v>2.0699712090956464</v>
      </c>
      <c r="Z11" s="54">
        <f t="shared" ca="1" si="4"/>
        <v>1.8619515563685549</v>
      </c>
      <c r="AA11" s="54">
        <f t="shared" ca="1" si="4"/>
        <v>1.671920751826071</v>
      </c>
      <c r="AB11" s="54">
        <f t="shared" ca="1" si="4"/>
        <v>1.5031573938244338</v>
      </c>
      <c r="AC11" s="54">
        <f t="shared" ca="1" si="4"/>
        <v>1.3490545800603637</v>
      </c>
      <c r="AD11" s="54">
        <f t="shared" ca="1" si="4"/>
        <v>1.2116350325468936</v>
      </c>
      <c r="AE11" s="54">
        <f t="shared" ca="1" si="4"/>
        <v>1.0868252055637178</v>
      </c>
      <c r="AF11" s="54">
        <f t="shared" ca="1" si="4"/>
        <v>0.97605370876178998</v>
      </c>
      <c r="AG11" s="54">
        <f t="shared" ca="1" si="4"/>
        <v>0.87499973109387086</v>
      </c>
      <c r="AH11" s="54">
        <f t="shared" ca="1" si="4"/>
        <v>0.78534296422319627</v>
      </c>
      <c r="AI11" s="54">
        <f t="shared" ca="1" si="4"/>
        <v>0.70359315907053599</v>
      </c>
      <c r="AJ11" s="54">
        <f t="shared" ca="1" si="4"/>
        <v>0.6310898648429728</v>
      </c>
      <c r="AK11" s="54">
        <f t="shared" ca="1" si="4"/>
        <v>0.5650165629690389</v>
      </c>
      <c r="AL11" s="54">
        <f t="shared" ca="1" si="4"/>
        <v>0.50618647398670402</v>
      </c>
      <c r="AM11" s="54">
        <f t="shared" ca="1" si="4"/>
        <v>0.45286164521782646</v>
      </c>
      <c r="AN11" s="54">
        <f t="shared" ca="1" si="4"/>
        <v>0.40560613222772285</v>
      </c>
      <c r="AO11" s="54">
        <f t="shared" ca="1" si="4"/>
        <v>0.36259274106217937</v>
      </c>
      <c r="AP11" s="54">
        <f t="shared" ca="1" si="4"/>
        <v>0.3244918356665491</v>
      </c>
      <c r="AQ11" s="54">
        <f t="shared" ca="1" si="4"/>
        <v>0.28983398148014167</v>
      </c>
      <c r="AR11" s="54">
        <f t="shared" ca="1" si="4"/>
        <v>0.25914880095277437</v>
      </c>
      <c r="AS11" s="54">
        <f t="shared" ca="1" si="4"/>
        <v>0.23125612117372257</v>
      </c>
      <c r="AT11" s="54">
        <f t="shared" ca="1" si="4"/>
        <v>0.20646995590803349</v>
      </c>
      <c r="AU11" s="54">
        <f t="shared" ca="1" si="4"/>
        <v>0.18406130673779025</v>
      </c>
      <c r="AV11" s="55">
        <f t="shared" ca="1" si="4"/>
        <v>0.16424201986666034</v>
      </c>
    </row>
    <row r="12" spans="1:48" ht="24" customHeight="1" x14ac:dyDescent="0.15">
      <c r="C12" s="41" t="s">
        <v>83</v>
      </c>
      <c r="D12" s="39">
        <f ca="1">SUM(H14:AV14)/B11</f>
        <v>7.31921994437075</v>
      </c>
      <c r="F12" s="11" t="s">
        <v>103</v>
      </c>
      <c r="H12" s="56">
        <f t="shared" ref="H12:AV12" ca="1" si="5">+H9/(1+$D$11)^(H5)</f>
        <v>0</v>
      </c>
      <c r="I12" s="57">
        <f t="shared" ca="1" si="5"/>
        <v>0</v>
      </c>
      <c r="J12" s="57">
        <f t="shared" ca="1" si="5"/>
        <v>0</v>
      </c>
      <c r="K12" s="57">
        <f t="shared" ca="1" si="5"/>
        <v>0</v>
      </c>
      <c r="L12" s="57">
        <f t="shared" ca="1" si="5"/>
        <v>0</v>
      </c>
      <c r="M12" s="57">
        <f t="shared" ca="1" si="5"/>
        <v>0</v>
      </c>
      <c r="N12" s="57">
        <f t="shared" ca="1" si="5"/>
        <v>1.7457032994249526</v>
      </c>
      <c r="O12" s="57">
        <f t="shared" ca="1" si="5"/>
        <v>1.5590501999748703</v>
      </c>
      <c r="P12" s="57">
        <f t="shared" ca="1" si="5"/>
        <v>1.3949237794330616</v>
      </c>
      <c r="Q12" s="57">
        <f t="shared" ca="1" si="5"/>
        <v>1.2457765291451284</v>
      </c>
      <c r="R12" s="57">
        <f t="shared" ca="1" si="5"/>
        <v>1.1146294740170228</v>
      </c>
      <c r="S12" s="57">
        <f t="shared" ca="1" si="5"/>
        <v>0.99545169269975931</v>
      </c>
      <c r="T12" s="57">
        <f t="shared" ca="1" si="5"/>
        <v>0.89065716899056147</v>
      </c>
      <c r="U12" s="57">
        <f t="shared" ca="1" si="5"/>
        <v>2.4187468839811275</v>
      </c>
      <c r="V12" s="57">
        <f t="shared" ca="1" si="5"/>
        <v>2.1373858623606892</v>
      </c>
      <c r="W12" s="57">
        <f t="shared" ca="1" si="5"/>
        <v>1.8861676367111178</v>
      </c>
      <c r="X12" s="57">
        <f t="shared" ca="1" si="5"/>
        <v>1.6673068230112984</v>
      </c>
      <c r="Y12" s="57">
        <f t="shared" ca="1" si="5"/>
        <v>1.641824027636918</v>
      </c>
      <c r="Z12" s="57">
        <f t="shared" ca="1" si="5"/>
        <v>1.4463928917413227</v>
      </c>
      <c r="AA12" s="57">
        <f t="shared" ca="1" si="5"/>
        <v>1.2715670968594666</v>
      </c>
      <c r="AB12" s="57">
        <f t="shared" ca="1" si="5"/>
        <v>1.1196535202537496</v>
      </c>
      <c r="AC12" s="57">
        <f t="shared" ca="1" si="5"/>
        <v>0.98381718664343465</v>
      </c>
      <c r="AD12" s="57">
        <f t="shared" ca="1" si="5"/>
        <v>0.86529129828010787</v>
      </c>
      <c r="AE12" s="57">
        <f t="shared" ca="1" si="5"/>
        <v>0.75989906203023549</v>
      </c>
      <c r="AF12" s="57">
        <f t="shared" ca="1" si="5"/>
        <v>0.66838319441903149</v>
      </c>
      <c r="AG12" s="57">
        <f t="shared" ca="1" si="5"/>
        <v>0.58663155106606846</v>
      </c>
      <c r="AH12" s="57">
        <f t="shared" ca="1" si="5"/>
        <v>0.51567069785578579</v>
      </c>
      <c r="AI12" s="57">
        <f t="shared" ca="1" si="5"/>
        <v>0.45231438191062034</v>
      </c>
      <c r="AJ12" s="57">
        <f t="shared" ca="1" si="5"/>
        <v>0.39734302466125943</v>
      </c>
      <c r="AK12" s="57">
        <f t="shared" ca="1" si="5"/>
        <v>0.34829020327056998</v>
      </c>
      <c r="AL12" s="57">
        <f t="shared" ca="1" si="5"/>
        <v>0.30555982026943507</v>
      </c>
      <c r="AM12" s="57">
        <f t="shared" ca="1" si="5"/>
        <v>0.26764364869230128</v>
      </c>
      <c r="AN12" s="57">
        <f t="shared" ca="1" si="5"/>
        <v>0.23477481842128808</v>
      </c>
      <c r="AO12" s="57">
        <f t="shared" ca="1" si="5"/>
        <v>0.20548106047607725</v>
      </c>
      <c r="AP12" s="57">
        <f t="shared" ca="1" si="5"/>
        <v>0.1800993172274904</v>
      </c>
      <c r="AQ12" s="57">
        <f t="shared" ca="1" si="5"/>
        <v>0.15749373658575092</v>
      </c>
      <c r="AR12" s="57">
        <f t="shared" ca="1" si="5"/>
        <v>0.13791731288502246</v>
      </c>
      <c r="AS12" s="57">
        <f t="shared" ca="1" si="5"/>
        <v>0.12049485743702351</v>
      </c>
      <c r="AT12" s="57">
        <f t="shared" ca="1" si="5"/>
        <v>0.10535078361447334</v>
      </c>
      <c r="AU12" s="57">
        <f t="shared" ca="1" si="5"/>
        <v>9.1949442030306194E-2</v>
      </c>
      <c r="AV12" s="58">
        <f t="shared" ca="1" si="5"/>
        <v>8.0357510512113831E-2</v>
      </c>
    </row>
    <row r="13" spans="1:48" ht="24" customHeight="1" x14ac:dyDescent="0.15">
      <c r="C13" s="41" t="s">
        <v>85</v>
      </c>
      <c r="D13" s="39">
        <f ca="1">+D12/(1+D11/2)</f>
        <v>6.5017295533323427</v>
      </c>
      <c r="F13" s="60" t="s">
        <v>104</v>
      </c>
      <c r="N13" s="1"/>
      <c r="O13" s="1"/>
      <c r="AC13" s="4"/>
      <c r="AV13" t="s">
        <v>6</v>
      </c>
    </row>
    <row r="14" spans="1:48" ht="24" customHeight="1" x14ac:dyDescent="0.15">
      <c r="C14" s="41" t="s">
        <v>13</v>
      </c>
      <c r="D14" s="39">
        <f ca="1">SUM(H17:AV17)/B11</f>
        <v>29.240089520007263</v>
      </c>
      <c r="F14" s="59" t="s">
        <v>105</v>
      </c>
      <c r="H14">
        <f t="shared" ref="H14:AV14" si="6">H11*H5</f>
        <v>0</v>
      </c>
      <c r="I14">
        <f t="shared" ca="1" si="6"/>
        <v>0</v>
      </c>
      <c r="J14">
        <f t="shared" ca="1" si="6"/>
        <v>0</v>
      </c>
      <c r="K14">
        <f t="shared" ca="1" si="6"/>
        <v>0</v>
      </c>
      <c r="L14">
        <f t="shared" ca="1" si="6"/>
        <v>0</v>
      </c>
      <c r="M14">
        <f t="shared" ca="1" si="6"/>
        <v>0</v>
      </c>
      <c r="N14">
        <f t="shared" ca="1" si="6"/>
        <v>1.9139801786653012E-2</v>
      </c>
      <c r="O14">
        <f t="shared" ca="1" si="6"/>
        <v>0.82057686484685843</v>
      </c>
      <c r="P14">
        <f t="shared" ca="1" si="6"/>
        <v>1.4713722623489505</v>
      </c>
      <c r="Q14">
        <f t="shared" ca="1" si="6"/>
        <v>2.0114317653382656</v>
      </c>
      <c r="R14">
        <f t="shared" ca="1" si="6"/>
        <v>2.4389955748964085</v>
      </c>
      <c r="S14">
        <f t="shared" ca="1" si="6"/>
        <v>2.7825412305312356</v>
      </c>
      <c r="T14">
        <f t="shared" ca="1" si="6"/>
        <v>3.0432063315294657</v>
      </c>
      <c r="U14">
        <f t="shared" ca="1" si="6"/>
        <v>9.8544984552518162</v>
      </c>
      <c r="V14">
        <f t="shared" ca="1" si="6"/>
        <v>10.153888113199271</v>
      </c>
      <c r="W14">
        <f t="shared" ca="1" si="6"/>
        <v>10.301656603522003</v>
      </c>
      <c r="X14">
        <f t="shared" ca="1" si="6"/>
        <v>10.318513636535124</v>
      </c>
      <c r="Y14">
        <f t="shared" ca="1" si="6"/>
        <v>11.421704151009951</v>
      </c>
      <c r="Z14">
        <f t="shared" ca="1" si="6"/>
        <v>11.197215523915007</v>
      </c>
      <c r="AA14">
        <f t="shared" ca="1" si="6"/>
        <v>10.897258818066364</v>
      </c>
      <c r="AB14">
        <f t="shared" ca="1" si="6"/>
        <v>10.542692953946712</v>
      </c>
      <c r="AC14">
        <f t="shared" ca="1" si="6"/>
        <v>10.141933610097638</v>
      </c>
      <c r="AD14">
        <f t="shared" ca="1" si="6"/>
        <v>9.7129975485814004</v>
      </c>
      <c r="AE14">
        <f t="shared" ca="1" si="6"/>
        <v>9.2603462720634582</v>
      </c>
      <c r="AF14">
        <f t="shared" ca="1" si="6"/>
        <v>8.8005280973563043</v>
      </c>
      <c r="AG14">
        <f t="shared" ca="1" si="6"/>
        <v>8.3304768919210996</v>
      </c>
      <c r="AH14">
        <f t="shared" ca="1" si="6"/>
        <v>7.866339389589057</v>
      </c>
      <c r="AI14">
        <f t="shared" ca="1" si="6"/>
        <v>7.4021855639201588</v>
      </c>
      <c r="AJ14">
        <f t="shared" ca="1" si="6"/>
        <v>6.9523625932427224</v>
      </c>
      <c r="AK14">
        <f t="shared" ca="1" si="6"/>
        <v>6.5093004035200233</v>
      </c>
      <c r="AL14">
        <f t="shared" ca="1" si="6"/>
        <v>6.0839453736429325</v>
      </c>
      <c r="AM14">
        <f t="shared" ca="1" si="6"/>
        <v>5.6713166583306434</v>
      </c>
      <c r="AN14">
        <f t="shared" ca="1" si="6"/>
        <v>5.2806584667017509</v>
      </c>
      <c r="AO14">
        <f t="shared" ca="1" si="6"/>
        <v>4.9034459448847052</v>
      </c>
      <c r="AP14">
        <f t="shared" ca="1" si="6"/>
        <v>4.549108830426662</v>
      </c>
      <c r="AQ14">
        <f t="shared" ca="1" si="6"/>
        <v>4.2093422899348791</v>
      </c>
      <c r="AR14">
        <f t="shared" ca="1" si="6"/>
        <v>3.8922019912961892</v>
      </c>
      <c r="AS14">
        <f t="shared" ca="1" si="6"/>
        <v>3.5898552947131841</v>
      </c>
      <c r="AT14">
        <f t="shared" ca="1" si="6"/>
        <v>3.3080446634251506</v>
      </c>
      <c r="AU14">
        <f t="shared" ca="1" si="6"/>
        <v>3.0418021979242491</v>
      </c>
      <c r="AV14">
        <f t="shared" ca="1" si="6"/>
        <v>2.7957141628261937</v>
      </c>
    </row>
    <row r="15" spans="1:48" ht="24" customHeight="1" x14ac:dyDescent="0.15">
      <c r="F15" s="2" t="s">
        <v>106</v>
      </c>
      <c r="H15">
        <f t="shared" ref="H15:AV15" si="7">H5*(H5+1)</f>
        <v>0</v>
      </c>
      <c r="I15">
        <f t="shared" ca="1" si="7"/>
        <v>3.7008369300056296</v>
      </c>
      <c r="J15">
        <f t="shared" ca="1" si="7"/>
        <v>1.9754100206417713</v>
      </c>
      <c r="K15">
        <f t="shared" ca="1" si="7"/>
        <v>0.72549446425220487</v>
      </c>
      <c r="L15">
        <f t="shared" ca="1" si="7"/>
        <v>-8.1516231938449663E-3</v>
      </c>
      <c r="M15">
        <f t="shared" ca="1" si="7"/>
        <v>-0.24984800150121975</v>
      </c>
      <c r="N15">
        <f t="shared" ca="1" si="7"/>
        <v>1.1079001688872209E-2</v>
      </c>
      <c r="O15">
        <f t="shared" ca="1" si="7"/>
        <v>0.7803640457872022</v>
      </c>
      <c r="P15">
        <f t="shared" ca="1" si="7"/>
        <v>2.0329968099080502</v>
      </c>
      <c r="Q15">
        <f t="shared" ca="1" si="7"/>
        <v>3.8105010320885726</v>
      </c>
      <c r="R15">
        <f t="shared" ca="1" si="7"/>
        <v>6.0549146181272278</v>
      </c>
      <c r="S15">
        <f t="shared" ca="1" si="7"/>
        <v>8.8406380183899422</v>
      </c>
      <c r="T15">
        <f t="shared" ca="1" si="7"/>
        <v>12.076832426346407</v>
      </c>
      <c r="U15">
        <f t="shared" ca="1" si="7"/>
        <v>15.870775004691312</v>
      </c>
      <c r="V15">
        <f t="shared" ca="1" si="7"/>
        <v>20.123475323700504</v>
      </c>
      <c r="W15">
        <f t="shared" ca="1" si="7"/>
        <v>24.928399324451117</v>
      </c>
      <c r="X15">
        <f t="shared" ca="1" si="7"/>
        <v>30.150872583974476</v>
      </c>
      <c r="Y15">
        <f t="shared" ca="1" si="7"/>
        <v>35.964015762807286</v>
      </c>
      <c r="Z15">
        <f t="shared" ca="1" si="7"/>
        <v>42.178269844248447</v>
      </c>
      <c r="AA15">
        <f t="shared" ca="1" si="7"/>
        <v>48.99963220116345</v>
      </c>
      <c r="AB15">
        <f t="shared" ca="1" si="7"/>
        <v>56.205667104522419</v>
      </c>
      <c r="AC15">
        <f t="shared" ca="1" si="7"/>
        <v>64.035248639519608</v>
      </c>
      <c r="AD15">
        <f t="shared" ca="1" si="7"/>
        <v>72.279722274347918</v>
      </c>
      <c r="AE15">
        <f t="shared" ca="1" si="7"/>
        <v>81.120285231750785</v>
      </c>
      <c r="AF15">
        <f t="shared" ca="1" si="7"/>
        <v>90.31259898667669</v>
      </c>
      <c r="AG15">
        <f t="shared" ca="1" si="7"/>
        <v>100.16138112216174</v>
      </c>
      <c r="AH15">
        <f t="shared" ca="1" si="7"/>
        <v>110.34547569900545</v>
      </c>
      <c r="AI15">
        <f t="shared" ca="1" si="7"/>
        <v>121.2024770125727</v>
      </c>
      <c r="AJ15">
        <f t="shared" ca="1" si="7"/>
        <v>132.37835241133422</v>
      </c>
      <c r="AK15">
        <f t="shared" ca="1" si="7"/>
        <v>144.24357290298366</v>
      </c>
      <c r="AL15">
        <f t="shared" ca="1" si="7"/>
        <v>156.47981985363106</v>
      </c>
      <c r="AM15">
        <f t="shared" ca="1" si="7"/>
        <v>169.35602176768626</v>
      </c>
      <c r="AN15">
        <f t="shared" ca="1" si="7"/>
        <v>182.51817601801463</v>
      </c>
      <c r="AO15">
        <f t="shared" ca="1" si="7"/>
        <v>196.40259711015202</v>
      </c>
      <c r="AP15">
        <f t="shared" ca="1" si="7"/>
        <v>210.5565321823982</v>
      </c>
      <c r="AQ15">
        <f t="shared" ca="1" si="7"/>
        <v>225.44917245261777</v>
      </c>
      <c r="AR15">
        <f t="shared" ca="1" si="7"/>
        <v>240.59488834678172</v>
      </c>
      <c r="AS15">
        <f t="shared" ca="1" si="7"/>
        <v>256.49574779508356</v>
      </c>
      <c r="AT15">
        <f t="shared" ca="1" si="7"/>
        <v>272.72376806155006</v>
      </c>
      <c r="AU15">
        <f t="shared" ca="1" si="7"/>
        <v>289.63560893225753</v>
      </c>
      <c r="AV15">
        <f t="shared" ca="1" si="7"/>
        <v>306.7676036779884</v>
      </c>
    </row>
    <row r="16" spans="1:48" ht="24" customHeight="1" x14ac:dyDescent="0.2">
      <c r="A16" s="62"/>
      <c r="F16" s="42" t="s">
        <v>107</v>
      </c>
      <c r="H16" s="7">
        <f>(H9/(1+$B$4)^(H5+2))*H15</f>
        <v>0</v>
      </c>
      <c r="I16" s="7">
        <f t="shared" ref="I16:AV16" ca="1" si="8">(I9/(1+$B$4)^(I5+2))*I15</f>
        <v>0</v>
      </c>
      <c r="J16" s="7">
        <f t="shared" ca="1" si="8"/>
        <v>0</v>
      </c>
      <c r="K16" s="7">
        <f t="shared" ca="1" si="8"/>
        <v>0</v>
      </c>
      <c r="L16" s="7">
        <f t="shared" ca="1" si="8"/>
        <v>0</v>
      </c>
      <c r="M16" s="7">
        <f t="shared" ca="1" si="8"/>
        <v>0</v>
      </c>
      <c r="N16" s="7">
        <f t="shared" ca="1" si="8"/>
        <v>1.3437189610492698E-2</v>
      </c>
      <c r="O16" s="7">
        <f t="shared" ca="1" si="8"/>
        <v>0.8633542737068356</v>
      </c>
      <c r="P16" s="7">
        <f t="shared" ca="1" si="8"/>
        <v>2.0547702446045086</v>
      </c>
      <c r="Q16" s="7">
        <f t="shared" ca="1" si="8"/>
        <v>3.5131171243921768</v>
      </c>
      <c r="R16" s="7">
        <f t="shared" ca="1" si="8"/>
        <v>5.0998023911932133</v>
      </c>
      <c r="S16" s="7">
        <f t="shared" ca="1" si="8"/>
        <v>6.7922382016201963</v>
      </c>
      <c r="T16" s="7">
        <f t="shared" ca="1" si="8"/>
        <v>8.4765107864519358</v>
      </c>
      <c r="U16" s="7">
        <f t="shared" ca="1" si="8"/>
        <v>30.898427424381655</v>
      </c>
      <c r="V16" s="7">
        <f t="shared" ca="1" si="8"/>
        <v>35.353149252577374</v>
      </c>
      <c r="W16" s="7">
        <f t="shared" ca="1" si="8"/>
        <v>39.474003804211023</v>
      </c>
      <c r="X16" s="7">
        <f t="shared" ca="1" si="8"/>
        <v>43.091966195195198</v>
      </c>
      <c r="Y16" s="7">
        <f t="shared" ca="1" si="8"/>
        <v>51.697553605884082</v>
      </c>
      <c r="Z16" s="7">
        <f t="shared" ca="1" si="8"/>
        <v>54.537427209327284</v>
      </c>
      <c r="AA16" s="7">
        <f t="shared" ca="1" si="8"/>
        <v>56.891320770118156</v>
      </c>
      <c r="AB16" s="7">
        <f t="shared" ca="1" si="8"/>
        <v>58.670808390970585</v>
      </c>
      <c r="AC16" s="7">
        <f t="shared" ca="1" si="8"/>
        <v>59.991003793366744</v>
      </c>
      <c r="AD16" s="7">
        <f t="shared" ca="1" si="8"/>
        <v>60.817113646083321</v>
      </c>
      <c r="AE16" s="7">
        <f t="shared" ca="1" si="8"/>
        <v>61.224701855822893</v>
      </c>
      <c r="AF16" s="7">
        <f t="shared" ca="1" si="8"/>
        <v>61.215241103376457</v>
      </c>
      <c r="AG16" s="7">
        <f t="shared" ca="1" si="8"/>
        <v>60.861931630473791</v>
      </c>
      <c r="AH16" s="7">
        <f t="shared" ca="1" si="8"/>
        <v>60.179890954219175</v>
      </c>
      <c r="AI16" s="7">
        <f t="shared" ca="1" si="8"/>
        <v>59.220301172534754</v>
      </c>
      <c r="AJ16" s="7">
        <f t="shared" ca="1" si="8"/>
        <v>58.015719813475222</v>
      </c>
      <c r="AK16" s="7">
        <f t="shared" ca="1" si="8"/>
        <v>56.597227633345696</v>
      </c>
      <c r="AL16" s="7">
        <f t="shared" ca="1" si="8"/>
        <v>55.005533515127865</v>
      </c>
      <c r="AM16" s="7">
        <f t="shared" ca="1" si="8"/>
        <v>53.260310170319755</v>
      </c>
      <c r="AN16" s="7">
        <f t="shared" ca="1" si="8"/>
        <v>51.410063497170569</v>
      </c>
      <c r="AO16" s="7">
        <f t="shared" ca="1" si="8"/>
        <v>49.454275026320055</v>
      </c>
      <c r="AP16" s="7">
        <f t="shared" ca="1" si="8"/>
        <v>47.447135860728636</v>
      </c>
      <c r="AQ16" s="7">
        <f t="shared" ca="1" si="8"/>
        <v>45.376966162045314</v>
      </c>
      <c r="AR16" s="7">
        <f t="shared" ca="1" si="8"/>
        <v>43.298525576691056</v>
      </c>
      <c r="AS16" s="7">
        <f t="shared" ca="1" si="8"/>
        <v>41.191813703225293</v>
      </c>
      <c r="AT16" s="7">
        <f t="shared" ca="1" si="8"/>
        <v>39.103655810236823</v>
      </c>
      <c r="AU16" s="7">
        <f t="shared" ca="1" si="8"/>
        <v>37.021325456852018</v>
      </c>
      <c r="AV16" s="7">
        <f t="shared" ca="1" si="8"/>
        <v>34.988979762311082</v>
      </c>
    </row>
    <row r="17" spans="1:48" ht="24" customHeight="1" x14ac:dyDescent="0.2">
      <c r="A17" s="62"/>
      <c r="F17" s="42" t="s">
        <v>108</v>
      </c>
      <c r="H17">
        <f ca="1">(H9/(1+$D$11)^(H5+2))*H15</f>
        <v>0</v>
      </c>
      <c r="I17">
        <f t="shared" ref="I17:AV17" ca="1" si="9">(I9/(1+$D$11)^(I5+2))*I15</f>
        <v>0</v>
      </c>
      <c r="J17">
        <f t="shared" ca="1" si="9"/>
        <v>0</v>
      </c>
      <c r="K17">
        <f t="shared" ca="1" si="9"/>
        <v>0</v>
      </c>
      <c r="L17">
        <f t="shared" ca="1" si="9"/>
        <v>0</v>
      </c>
      <c r="M17">
        <f t="shared" ca="1" si="9"/>
        <v>0</v>
      </c>
      <c r="N17">
        <f t="shared" ca="1" si="9"/>
        <v>1.2348981825101338E-2</v>
      </c>
      <c r="O17">
        <f t="shared" ca="1" si="9"/>
        <v>0.77681471030090288</v>
      </c>
      <c r="P17">
        <f t="shared" ca="1" si="9"/>
        <v>1.8107031832795466</v>
      </c>
      <c r="Q17">
        <f t="shared" ca="1" si="9"/>
        <v>3.0309747475891555</v>
      </c>
      <c r="R17">
        <f t="shared" ca="1" si="9"/>
        <v>4.3092196983073441</v>
      </c>
      <c r="S17">
        <f t="shared" ca="1" si="9"/>
        <v>5.6190628299281373</v>
      </c>
      <c r="T17">
        <f t="shared" ca="1" si="9"/>
        <v>6.8678958140899269</v>
      </c>
      <c r="U17">
        <f t="shared" ca="1" si="9"/>
        <v>24.510301178480695</v>
      </c>
      <c r="V17">
        <f t="shared" ca="1" si="9"/>
        <v>27.462875500009186</v>
      </c>
      <c r="W17">
        <f t="shared" ca="1" si="9"/>
        <v>30.021664821085849</v>
      </c>
      <c r="X17">
        <f t="shared" ca="1" si="9"/>
        <v>32.097817462980309</v>
      </c>
      <c r="Y17">
        <f t="shared" ca="1" si="9"/>
        <v>37.701174212397881</v>
      </c>
      <c r="Z17">
        <f t="shared" ca="1" si="9"/>
        <v>38.952481494179729</v>
      </c>
      <c r="AA17">
        <f t="shared" ca="1" si="9"/>
        <v>39.782511028709024</v>
      </c>
      <c r="AB17">
        <f t="shared" ca="1" si="9"/>
        <v>40.18128735275981</v>
      </c>
      <c r="AC17">
        <f t="shared" ca="1" si="9"/>
        <v>40.224772397496523</v>
      </c>
      <c r="AD17">
        <f t="shared" ca="1" si="9"/>
        <v>39.93364028729922</v>
      </c>
      <c r="AE17">
        <f t="shared" ca="1" si="9"/>
        <v>39.359127957073142</v>
      </c>
      <c r="AF17">
        <f t="shared" ca="1" si="9"/>
        <v>38.541973830360895</v>
      </c>
      <c r="AG17">
        <f t="shared" ca="1" si="9"/>
        <v>37.516802034312768</v>
      </c>
      <c r="AH17">
        <f t="shared" ca="1" si="9"/>
        <v>36.331813435667591</v>
      </c>
      <c r="AI17">
        <f t="shared" ca="1" si="9"/>
        <v>35.003541185903302</v>
      </c>
      <c r="AJ17">
        <f t="shared" ca="1" si="9"/>
        <v>33.584791390928444</v>
      </c>
      <c r="AK17">
        <f t="shared" ca="1" si="9"/>
        <v>32.077301058316124</v>
      </c>
      <c r="AL17">
        <f t="shared" ca="1" si="9"/>
        <v>30.529147241745523</v>
      </c>
      <c r="AM17">
        <f t="shared" ca="1" si="9"/>
        <v>28.941276028444083</v>
      </c>
      <c r="AN17">
        <f t="shared" ca="1" si="9"/>
        <v>27.360102715930545</v>
      </c>
      <c r="AO17">
        <f t="shared" ca="1" si="9"/>
        <v>25.767905250262849</v>
      </c>
      <c r="AP17">
        <f t="shared" ca="1" si="9"/>
        <v>24.212569245365554</v>
      </c>
      <c r="AQ17">
        <f t="shared" ca="1" si="9"/>
        <v>22.671070241655471</v>
      </c>
      <c r="AR17">
        <f t="shared" ca="1" si="9"/>
        <v>21.186795428681293</v>
      </c>
      <c r="AS17">
        <f t="shared" ca="1" si="9"/>
        <v>19.733711380871078</v>
      </c>
      <c r="AT17">
        <f t="shared" ca="1" si="9"/>
        <v>18.345132340794276</v>
      </c>
      <c r="AU17">
        <f t="shared" ca="1" si="9"/>
        <v>17.004393364030836</v>
      </c>
      <c r="AV17">
        <f t="shared" ca="1" si="9"/>
        <v>15.739685769155722</v>
      </c>
    </row>
    <row r="18" spans="1:48" ht="24" customHeight="1" x14ac:dyDescent="0.15"/>
    <row r="19" spans="1:48" ht="24" customHeight="1" x14ac:dyDescent="0.15"/>
    <row r="20" spans="1:48" ht="24" customHeight="1" x14ac:dyDescent="0.25">
      <c r="A20" s="36" t="s">
        <v>75</v>
      </c>
      <c r="C20" s="36" t="s">
        <v>76</v>
      </c>
      <c r="F20" s="241" t="s">
        <v>18</v>
      </c>
      <c r="G20" s="34" t="s">
        <v>100</v>
      </c>
    </row>
    <row r="21" spans="1:48" ht="24" customHeight="1" x14ac:dyDescent="0.15">
      <c r="A21" s="44" t="s">
        <v>77</v>
      </c>
      <c r="B21" s="45">
        <f>'Monitor Bonos'!C14</f>
        <v>0.2</v>
      </c>
      <c r="C21" s="46" t="s">
        <v>11</v>
      </c>
      <c r="D21" s="70">
        <f ca="1">SUM(H28:AV28)</f>
        <v>47.470015335609048</v>
      </c>
      <c r="E21" s="37"/>
      <c r="F21" s="8" t="s">
        <v>101</v>
      </c>
      <c r="G21" s="28">
        <f ca="1">B22</f>
        <v>45478</v>
      </c>
      <c r="H21" s="28">
        <v>44386</v>
      </c>
      <c r="I21" s="29">
        <v>44570</v>
      </c>
      <c r="J21" s="29">
        <v>44751</v>
      </c>
      <c r="K21" s="29">
        <v>44935</v>
      </c>
      <c r="L21" s="29">
        <v>45116</v>
      </c>
      <c r="M21" s="29">
        <v>45300</v>
      </c>
      <c r="N21" s="29">
        <v>45482</v>
      </c>
      <c r="O21" s="29">
        <v>45666</v>
      </c>
      <c r="P21" s="29">
        <v>45847</v>
      </c>
      <c r="Q21" s="29">
        <v>46031</v>
      </c>
      <c r="R21" s="29">
        <v>46212</v>
      </c>
      <c r="S21" s="29">
        <v>46396</v>
      </c>
      <c r="T21" s="29">
        <v>46577</v>
      </c>
      <c r="U21" s="29">
        <v>46761</v>
      </c>
      <c r="V21" s="29">
        <v>46943</v>
      </c>
      <c r="W21" s="29">
        <v>47127</v>
      </c>
      <c r="X21" s="29">
        <v>47308</v>
      </c>
      <c r="Y21" s="29">
        <v>47492</v>
      </c>
      <c r="Z21" s="29">
        <v>47673</v>
      </c>
      <c r="AA21" s="29">
        <v>47857</v>
      </c>
      <c r="AB21" s="29">
        <v>48038</v>
      </c>
      <c r="AC21" s="29">
        <v>48222</v>
      </c>
      <c r="AD21" s="29">
        <v>48404</v>
      </c>
      <c r="AE21" s="29">
        <v>48588</v>
      </c>
      <c r="AF21" s="29">
        <v>48769</v>
      </c>
      <c r="AG21" s="29">
        <v>48953</v>
      </c>
      <c r="AH21" s="29">
        <v>49134</v>
      </c>
      <c r="AI21" s="29">
        <v>49318</v>
      </c>
      <c r="AJ21" s="29">
        <v>49499</v>
      </c>
      <c r="AK21" s="29">
        <v>49683</v>
      </c>
      <c r="AL21" s="29">
        <v>49865</v>
      </c>
      <c r="AM21" s="29">
        <v>50049</v>
      </c>
      <c r="AN21" s="29">
        <v>50230</v>
      </c>
      <c r="AO21" s="29">
        <v>50414</v>
      </c>
      <c r="AP21" s="29"/>
      <c r="AQ21" s="29"/>
      <c r="AR21" s="29"/>
      <c r="AS21" s="29"/>
      <c r="AT21" s="29"/>
      <c r="AU21" s="29"/>
      <c r="AV21" s="30"/>
    </row>
    <row r="22" spans="1:48" ht="24" customHeight="1" x14ac:dyDescent="0.15">
      <c r="A22" s="43" t="s">
        <v>79</v>
      </c>
      <c r="B22" s="38">
        <f ca="1">'Monitor Bonos'!$C$7</f>
        <v>45478</v>
      </c>
      <c r="C22" s="41" t="s">
        <v>80</v>
      </c>
      <c r="D22" s="40">
        <f ca="1">+B26*((B22-B25)/(B24-B25))</f>
        <v>5.82</v>
      </c>
      <c r="E22" s="37"/>
      <c r="F22" s="9" t="s">
        <v>81</v>
      </c>
      <c r="H22" s="16">
        <v>0</v>
      </c>
      <c r="I22" s="17">
        <f t="shared" ref="I22:AO22" ca="1" si="10">+(I21-$B$22)/365</f>
        <v>-2.4876712328767123</v>
      </c>
      <c r="J22" s="17">
        <f t="shared" ca="1" si="10"/>
        <v>-1.9917808219178081</v>
      </c>
      <c r="K22" s="17">
        <f t="shared" ca="1" si="10"/>
        <v>-1.4876712328767123</v>
      </c>
      <c r="L22" s="17">
        <f t="shared" ca="1" si="10"/>
        <v>-0.99178082191780825</v>
      </c>
      <c r="M22" s="17">
        <f t="shared" ca="1" si="10"/>
        <v>-0.48767123287671232</v>
      </c>
      <c r="N22" s="17">
        <f t="shared" ca="1" si="10"/>
        <v>1.0958904109589041E-2</v>
      </c>
      <c r="O22" s="17">
        <f t="shared" ca="1" si="10"/>
        <v>0.51506849315068493</v>
      </c>
      <c r="P22" s="17">
        <f t="shared" ca="1" si="10"/>
        <v>1.010958904109589</v>
      </c>
      <c r="Q22" s="17">
        <f t="shared" ca="1" si="10"/>
        <v>1.515068493150685</v>
      </c>
      <c r="R22" s="17">
        <f t="shared" ca="1" si="10"/>
        <v>2.010958904109589</v>
      </c>
      <c r="S22" s="17">
        <f t="shared" ca="1" si="10"/>
        <v>2.515068493150685</v>
      </c>
      <c r="T22" s="17">
        <f t="shared" ca="1" si="10"/>
        <v>3.010958904109589</v>
      </c>
      <c r="U22" s="17">
        <f t="shared" ca="1" si="10"/>
        <v>3.515068493150685</v>
      </c>
      <c r="V22" s="17">
        <f t="shared" ca="1" si="10"/>
        <v>4.0136986301369859</v>
      </c>
      <c r="W22" s="17">
        <f t="shared" ca="1" si="10"/>
        <v>4.5178082191780824</v>
      </c>
      <c r="X22" s="17">
        <f t="shared" ca="1" si="10"/>
        <v>5.0136986301369859</v>
      </c>
      <c r="Y22" s="17">
        <f t="shared" ca="1" si="10"/>
        <v>5.5178082191780824</v>
      </c>
      <c r="Z22" s="17">
        <f t="shared" ca="1" si="10"/>
        <v>6.0136986301369859</v>
      </c>
      <c r="AA22" s="17">
        <f t="shared" ca="1" si="10"/>
        <v>6.5178082191780824</v>
      </c>
      <c r="AB22" s="17">
        <f t="shared" ca="1" si="10"/>
        <v>7.0136986301369859</v>
      </c>
      <c r="AC22" s="17">
        <f t="shared" ca="1" si="10"/>
        <v>7.5178082191780824</v>
      </c>
      <c r="AD22" s="17">
        <f t="shared" ca="1" si="10"/>
        <v>8.0164383561643842</v>
      </c>
      <c r="AE22" s="17">
        <f t="shared" ca="1" si="10"/>
        <v>8.5205479452054789</v>
      </c>
      <c r="AF22" s="17">
        <f t="shared" ca="1" si="10"/>
        <v>9.0164383561643842</v>
      </c>
      <c r="AG22" s="17">
        <f t="shared" ca="1" si="10"/>
        <v>9.5205479452054789</v>
      </c>
      <c r="AH22" s="17">
        <f t="shared" ca="1" si="10"/>
        <v>10.016438356164384</v>
      </c>
      <c r="AI22" s="17">
        <f t="shared" ca="1" si="10"/>
        <v>10.520547945205479</v>
      </c>
      <c r="AJ22" s="17">
        <f t="shared" ca="1" si="10"/>
        <v>11.016438356164384</v>
      </c>
      <c r="AK22" s="17">
        <f t="shared" ca="1" si="10"/>
        <v>11.520547945205479</v>
      </c>
      <c r="AL22" s="17">
        <f t="shared" ca="1" si="10"/>
        <v>12.019178082191781</v>
      </c>
      <c r="AM22" s="17">
        <f t="shared" ca="1" si="10"/>
        <v>12.523287671232877</v>
      </c>
      <c r="AN22" s="17">
        <f t="shared" ca="1" si="10"/>
        <v>13.019178082191781</v>
      </c>
      <c r="AO22" s="17">
        <f t="shared" ca="1" si="10"/>
        <v>13.523287671232877</v>
      </c>
      <c r="AP22" s="17"/>
      <c r="AQ22" s="17"/>
      <c r="AR22" s="17"/>
      <c r="AS22" s="17"/>
      <c r="AT22" s="17"/>
      <c r="AU22" s="17"/>
      <c r="AV22" s="18"/>
    </row>
    <row r="23" spans="1:48" ht="24" customHeight="1" x14ac:dyDescent="0.15">
      <c r="A23" s="50" t="s">
        <v>82</v>
      </c>
      <c r="B23" s="51">
        <v>100</v>
      </c>
      <c r="C23" s="41" t="s">
        <v>83</v>
      </c>
      <c r="D23" s="39">
        <f ca="1">SUM(H31:AV31)/D21</f>
        <v>4.9910067094298007</v>
      </c>
      <c r="E23" s="37"/>
      <c r="F23" s="10" t="s">
        <v>87</v>
      </c>
      <c r="H23" s="14"/>
      <c r="I23" s="13"/>
      <c r="J23" s="13"/>
      <c r="K23" s="13"/>
      <c r="L23" s="65">
        <v>3.875E-2</v>
      </c>
      <c r="M23" s="66">
        <v>4.2500000000000003E-2</v>
      </c>
      <c r="N23" s="66">
        <v>4.2500000000000003E-2</v>
      </c>
      <c r="O23" s="67">
        <v>0.05</v>
      </c>
      <c r="P23" s="67">
        <v>0.05</v>
      </c>
      <c r="Q23" s="67">
        <v>0.05</v>
      </c>
      <c r="R23" s="67">
        <v>0.05</v>
      </c>
      <c r="S23" s="67">
        <v>0.05</v>
      </c>
      <c r="T23" s="67">
        <v>0.05</v>
      </c>
      <c r="U23" s="67">
        <v>0.05</v>
      </c>
      <c r="V23" s="67">
        <v>0.05</v>
      </c>
      <c r="W23" s="67">
        <v>0.05</v>
      </c>
      <c r="X23" s="67">
        <v>0.05</v>
      </c>
      <c r="Y23" s="67">
        <v>0.05</v>
      </c>
      <c r="Z23" s="67">
        <v>0.05</v>
      </c>
      <c r="AA23" s="67">
        <v>0.05</v>
      </c>
      <c r="AB23" s="67">
        <v>0.05</v>
      </c>
      <c r="AC23" s="67">
        <v>0.05</v>
      </c>
      <c r="AD23" s="67">
        <v>0.05</v>
      </c>
      <c r="AE23" s="67">
        <v>0.05</v>
      </c>
      <c r="AF23" s="67">
        <v>0.05</v>
      </c>
      <c r="AG23" s="67">
        <v>0.05</v>
      </c>
      <c r="AH23" s="67">
        <v>0.05</v>
      </c>
      <c r="AI23" s="67">
        <v>0.05</v>
      </c>
      <c r="AJ23" s="67">
        <v>0.05</v>
      </c>
      <c r="AK23" s="67">
        <v>0.05</v>
      </c>
      <c r="AL23" s="67">
        <v>0.05</v>
      </c>
      <c r="AM23" s="67">
        <v>0.05</v>
      </c>
      <c r="AN23" s="67">
        <v>0.05</v>
      </c>
      <c r="AO23" s="67">
        <v>0.05</v>
      </c>
      <c r="AP23" s="67"/>
      <c r="AQ23" s="67"/>
      <c r="AR23" s="67"/>
      <c r="AS23" s="67"/>
      <c r="AT23" s="67"/>
      <c r="AU23" s="67"/>
      <c r="AV23" s="68"/>
    </row>
    <row r="24" spans="1:48" ht="24" customHeight="1" x14ac:dyDescent="0.15">
      <c r="A24" s="50" t="s">
        <v>84</v>
      </c>
      <c r="B24" s="38">
        <f>L21</f>
        <v>45116</v>
      </c>
      <c r="C24" s="41" t="s">
        <v>85</v>
      </c>
      <c r="D24" s="39">
        <f ca="1">+D23/(1+B21/2)</f>
        <v>4.5372788267543642</v>
      </c>
      <c r="E24" s="37"/>
      <c r="F24" s="10" t="s">
        <v>29</v>
      </c>
      <c r="H24" s="19"/>
      <c r="I24" s="20"/>
      <c r="J24" s="20"/>
      <c r="K24" s="20"/>
      <c r="L24" s="21">
        <f>L23/2*L27</f>
        <v>1.9375</v>
      </c>
      <c r="M24" s="21">
        <f t="shared" ref="M24:AO24" si="11">M23/2*M27</f>
        <v>2.125</v>
      </c>
      <c r="N24" s="21">
        <f t="shared" si="11"/>
        <v>2.125</v>
      </c>
      <c r="O24" s="21">
        <f t="shared" si="11"/>
        <v>2.5</v>
      </c>
      <c r="P24" s="21">
        <f t="shared" si="11"/>
        <v>2.5</v>
      </c>
      <c r="Q24" s="21">
        <f t="shared" si="11"/>
        <v>2.5</v>
      </c>
      <c r="R24" s="21">
        <f t="shared" si="11"/>
        <v>2.5</v>
      </c>
      <c r="S24" s="21">
        <f t="shared" si="11"/>
        <v>2.5</v>
      </c>
      <c r="T24" s="21">
        <f t="shared" si="11"/>
        <v>2.5</v>
      </c>
      <c r="U24" s="21">
        <f t="shared" si="11"/>
        <v>2.3863636363636362</v>
      </c>
      <c r="V24" s="21">
        <f t="shared" si="11"/>
        <v>2.2727272727272729</v>
      </c>
      <c r="W24" s="21">
        <f t="shared" si="11"/>
        <v>2.1590909090909092</v>
      </c>
      <c r="X24" s="21">
        <f t="shared" si="11"/>
        <v>2.0454545454545454</v>
      </c>
      <c r="Y24" s="21">
        <f t="shared" si="11"/>
        <v>1.9318181818181817</v>
      </c>
      <c r="Z24" s="21">
        <f t="shared" si="11"/>
        <v>1.8181818181818181</v>
      </c>
      <c r="AA24" s="21">
        <f t="shared" si="11"/>
        <v>1.7045454545454544</v>
      </c>
      <c r="AB24" s="21">
        <f t="shared" si="11"/>
        <v>1.5909090909090908</v>
      </c>
      <c r="AC24" s="21">
        <f t="shared" si="11"/>
        <v>1.4772727272727271</v>
      </c>
      <c r="AD24" s="21">
        <f t="shared" si="11"/>
        <v>1.3636363636363633</v>
      </c>
      <c r="AE24" s="21">
        <f t="shared" si="11"/>
        <v>1.2499999999999998</v>
      </c>
      <c r="AF24" s="21">
        <f t="shared" si="11"/>
        <v>1.136363636363636</v>
      </c>
      <c r="AG24" s="21">
        <f t="shared" si="11"/>
        <v>1.0227272727272723</v>
      </c>
      <c r="AH24" s="21">
        <f t="shared" si="11"/>
        <v>0.90909090909090873</v>
      </c>
      <c r="AI24" s="21">
        <f t="shared" si="11"/>
        <v>0.79545454545454497</v>
      </c>
      <c r="AJ24" s="21">
        <f t="shared" si="11"/>
        <v>0.68181818181818121</v>
      </c>
      <c r="AK24" s="21">
        <f t="shared" si="11"/>
        <v>0.56818181818181734</v>
      </c>
      <c r="AL24" s="21">
        <f t="shared" si="11"/>
        <v>0.45454545454545364</v>
      </c>
      <c r="AM24" s="21">
        <f t="shared" si="11"/>
        <v>0.34090909090908988</v>
      </c>
      <c r="AN24" s="21">
        <f t="shared" si="11"/>
        <v>0.2272727272727261</v>
      </c>
      <c r="AO24" s="21">
        <f t="shared" si="11"/>
        <v>0.11363636363636234</v>
      </c>
      <c r="AP24" s="21"/>
      <c r="AQ24" s="21"/>
      <c r="AR24" s="21"/>
      <c r="AS24" s="21"/>
      <c r="AT24" s="21"/>
      <c r="AU24" s="21"/>
      <c r="AV24" s="22"/>
    </row>
    <row r="25" spans="1:48" ht="24" customHeight="1" x14ac:dyDescent="0.15">
      <c r="A25" s="50" t="s">
        <v>86</v>
      </c>
      <c r="B25" s="38">
        <f>K21</f>
        <v>44935</v>
      </c>
      <c r="C25" s="41" t="s">
        <v>13</v>
      </c>
      <c r="D25" s="39">
        <f ca="1">SUM(H33:AV33)/D21</f>
        <v>28.200466909026307</v>
      </c>
      <c r="E25" s="37"/>
      <c r="F25" s="10" t="s">
        <v>28</v>
      </c>
      <c r="H25" s="19">
        <v>0</v>
      </c>
      <c r="I25" s="23">
        <v>0</v>
      </c>
      <c r="J25" s="23">
        <v>0</v>
      </c>
      <c r="K25" s="23">
        <v>0</v>
      </c>
      <c r="L25" s="23">
        <v>0</v>
      </c>
      <c r="M25" s="23">
        <v>0</v>
      </c>
      <c r="N25" s="23">
        <v>0</v>
      </c>
      <c r="O25" s="23">
        <v>0</v>
      </c>
      <c r="P25" s="23">
        <v>0</v>
      </c>
      <c r="Q25" s="23">
        <v>0</v>
      </c>
      <c r="R25" s="23">
        <v>0</v>
      </c>
      <c r="S25" s="23">
        <v>0</v>
      </c>
      <c r="T25" s="23">
        <v>4.5454545454545503</v>
      </c>
      <c r="U25" s="23">
        <v>4.5454545454545503</v>
      </c>
      <c r="V25" s="23">
        <v>4.5454545454545503</v>
      </c>
      <c r="W25" s="23">
        <v>4.5454545454545503</v>
      </c>
      <c r="X25" s="23">
        <v>4.5454545454545503</v>
      </c>
      <c r="Y25" s="23">
        <v>4.5454545454545503</v>
      </c>
      <c r="Z25" s="23">
        <v>4.5454545454545503</v>
      </c>
      <c r="AA25" s="23">
        <v>4.5454545454545503</v>
      </c>
      <c r="AB25" s="23">
        <v>4.5454545454545503</v>
      </c>
      <c r="AC25" s="23">
        <v>4.5454545454545503</v>
      </c>
      <c r="AD25" s="23">
        <v>4.5454545454545503</v>
      </c>
      <c r="AE25" s="23">
        <v>4.5454545454545503</v>
      </c>
      <c r="AF25" s="23">
        <v>4.5454545454545503</v>
      </c>
      <c r="AG25" s="23">
        <v>4.5454545454545503</v>
      </c>
      <c r="AH25" s="23">
        <v>4.5454545454545503</v>
      </c>
      <c r="AI25" s="23">
        <v>4.5454545454545503</v>
      </c>
      <c r="AJ25" s="23">
        <v>4.5454545454545503</v>
      </c>
      <c r="AK25" s="23">
        <v>4.5454545454545503</v>
      </c>
      <c r="AL25" s="23">
        <v>4.5454545454545503</v>
      </c>
      <c r="AM25" s="23">
        <v>4.5454545454545503</v>
      </c>
      <c r="AN25" s="23">
        <v>4.5454545454545503</v>
      </c>
      <c r="AO25" s="23">
        <v>4.5454545454545503</v>
      </c>
      <c r="AP25" s="23"/>
      <c r="AQ25" s="23"/>
      <c r="AR25" s="23"/>
      <c r="AS25" s="23"/>
      <c r="AT25" s="23"/>
      <c r="AU25" s="23"/>
      <c r="AV25" s="23"/>
    </row>
    <row r="26" spans="1:48" ht="24" customHeight="1" x14ac:dyDescent="0.15">
      <c r="A26" s="50" t="s">
        <v>88</v>
      </c>
      <c r="B26" s="61">
        <v>1.94</v>
      </c>
      <c r="E26" s="37"/>
      <c r="F26" s="11" t="s">
        <v>92</v>
      </c>
      <c r="G26">
        <f>-B28</f>
        <v>-30</v>
      </c>
      <c r="H26" s="19">
        <f t="shared" ref="H26:AO26" si="12">IF(H22&lt;0,0,H25+H24)</f>
        <v>0</v>
      </c>
      <c r="I26" s="23">
        <f t="shared" ca="1" si="12"/>
        <v>0</v>
      </c>
      <c r="J26" s="23">
        <f t="shared" ca="1" si="12"/>
        <v>0</v>
      </c>
      <c r="K26" s="23">
        <f t="shared" ca="1" si="12"/>
        <v>0</v>
      </c>
      <c r="L26" s="23">
        <f t="shared" ca="1" si="12"/>
        <v>0</v>
      </c>
      <c r="M26" s="23">
        <f t="shared" ca="1" si="12"/>
        <v>0</v>
      </c>
      <c r="N26" s="23">
        <f t="shared" ca="1" si="12"/>
        <v>2.125</v>
      </c>
      <c r="O26" s="23">
        <f t="shared" ca="1" si="12"/>
        <v>2.5</v>
      </c>
      <c r="P26" s="23">
        <f t="shared" ca="1" si="12"/>
        <v>2.5</v>
      </c>
      <c r="Q26" s="23">
        <f t="shared" ca="1" si="12"/>
        <v>2.5</v>
      </c>
      <c r="R26" s="23">
        <f t="shared" ca="1" si="12"/>
        <v>2.5</v>
      </c>
      <c r="S26" s="23">
        <f t="shared" ca="1" si="12"/>
        <v>2.5</v>
      </c>
      <c r="T26" s="23">
        <f t="shared" ca="1" si="12"/>
        <v>7.0454545454545503</v>
      </c>
      <c r="U26" s="23">
        <f t="shared" ca="1" si="12"/>
        <v>6.931818181818187</v>
      </c>
      <c r="V26" s="23">
        <f t="shared" ca="1" si="12"/>
        <v>6.8181818181818237</v>
      </c>
      <c r="W26" s="23">
        <f t="shared" ca="1" si="12"/>
        <v>6.7045454545454595</v>
      </c>
      <c r="X26" s="23">
        <f t="shared" ca="1" si="12"/>
        <v>6.5909090909090953</v>
      </c>
      <c r="Y26" s="23">
        <f t="shared" ca="1" si="12"/>
        <v>6.477272727272732</v>
      </c>
      <c r="Z26" s="23">
        <f t="shared" ca="1" si="12"/>
        <v>6.3636363636363686</v>
      </c>
      <c r="AA26" s="23">
        <f t="shared" ca="1" si="12"/>
        <v>6.2500000000000044</v>
      </c>
      <c r="AB26" s="23">
        <f t="shared" ca="1" si="12"/>
        <v>6.1363636363636411</v>
      </c>
      <c r="AC26" s="23">
        <f t="shared" ca="1" si="12"/>
        <v>6.0227272727272769</v>
      </c>
      <c r="AD26" s="23">
        <f t="shared" ca="1" si="12"/>
        <v>5.9090909090909136</v>
      </c>
      <c r="AE26" s="23">
        <f t="shared" ca="1" si="12"/>
        <v>5.7954545454545503</v>
      </c>
      <c r="AF26" s="23">
        <f t="shared" ca="1" si="12"/>
        <v>5.6818181818181861</v>
      </c>
      <c r="AG26" s="23">
        <f t="shared" ca="1" si="12"/>
        <v>5.5681818181818228</v>
      </c>
      <c r="AH26" s="23">
        <f t="shared" ca="1" si="12"/>
        <v>5.4545454545454586</v>
      </c>
      <c r="AI26" s="23">
        <f t="shared" ca="1" si="12"/>
        <v>5.3409090909090953</v>
      </c>
      <c r="AJ26" s="23">
        <f t="shared" ca="1" si="12"/>
        <v>5.227272727272732</v>
      </c>
      <c r="AK26" s="23">
        <f t="shared" ca="1" si="12"/>
        <v>5.1136363636363678</v>
      </c>
      <c r="AL26" s="23">
        <f t="shared" ca="1" si="12"/>
        <v>5.0000000000000036</v>
      </c>
      <c r="AM26" s="23">
        <f t="shared" ca="1" si="12"/>
        <v>4.8863636363636402</v>
      </c>
      <c r="AN26" s="23">
        <f t="shared" ca="1" si="12"/>
        <v>4.772727272727276</v>
      </c>
      <c r="AO26" s="23">
        <f t="shared" ca="1" si="12"/>
        <v>4.6590909090909127</v>
      </c>
      <c r="AP26" s="23"/>
      <c r="AQ26" s="23"/>
      <c r="AR26" s="23"/>
      <c r="AS26" s="23"/>
      <c r="AT26" s="23"/>
      <c r="AU26" s="23"/>
      <c r="AV26" s="24"/>
    </row>
    <row r="27" spans="1:48" ht="24" customHeight="1" x14ac:dyDescent="0.15">
      <c r="F27" s="12" t="s">
        <v>89</v>
      </c>
      <c r="H27" s="25">
        <f>B23</f>
        <v>100</v>
      </c>
      <c r="I27" s="26">
        <f t="shared" ref="I27:AO27" si="13">H27-H25</f>
        <v>100</v>
      </c>
      <c r="J27" s="26">
        <f t="shared" si="13"/>
        <v>100</v>
      </c>
      <c r="K27" s="26">
        <f t="shared" si="13"/>
        <v>100</v>
      </c>
      <c r="L27" s="26">
        <f t="shared" si="13"/>
        <v>100</v>
      </c>
      <c r="M27" s="26">
        <f t="shared" si="13"/>
        <v>100</v>
      </c>
      <c r="N27" s="26">
        <f t="shared" si="13"/>
        <v>100</v>
      </c>
      <c r="O27" s="26">
        <f t="shared" si="13"/>
        <v>100</v>
      </c>
      <c r="P27" s="26">
        <f t="shared" si="13"/>
        <v>100</v>
      </c>
      <c r="Q27" s="26">
        <f t="shared" si="13"/>
        <v>100</v>
      </c>
      <c r="R27" s="26">
        <f t="shared" si="13"/>
        <v>100</v>
      </c>
      <c r="S27" s="26">
        <f t="shared" si="13"/>
        <v>100</v>
      </c>
      <c r="T27" s="26">
        <f t="shared" si="13"/>
        <v>100</v>
      </c>
      <c r="U27" s="26">
        <f t="shared" si="13"/>
        <v>95.454545454545453</v>
      </c>
      <c r="V27" s="26">
        <f t="shared" si="13"/>
        <v>90.909090909090907</v>
      </c>
      <c r="W27" s="26">
        <f t="shared" si="13"/>
        <v>86.36363636363636</v>
      </c>
      <c r="X27" s="26">
        <f t="shared" si="13"/>
        <v>81.818181818181813</v>
      </c>
      <c r="Y27" s="26">
        <f t="shared" si="13"/>
        <v>77.272727272727266</v>
      </c>
      <c r="Z27" s="26">
        <f t="shared" si="13"/>
        <v>72.72727272727272</v>
      </c>
      <c r="AA27" s="26">
        <f t="shared" si="13"/>
        <v>68.181818181818173</v>
      </c>
      <c r="AB27" s="26">
        <f t="shared" si="13"/>
        <v>63.636363636363626</v>
      </c>
      <c r="AC27" s="26">
        <f t="shared" si="13"/>
        <v>59.090909090909079</v>
      </c>
      <c r="AD27" s="26">
        <f t="shared" si="13"/>
        <v>54.545454545454533</v>
      </c>
      <c r="AE27" s="26">
        <f t="shared" si="13"/>
        <v>49.999999999999986</v>
      </c>
      <c r="AF27" s="26">
        <f t="shared" si="13"/>
        <v>45.454545454545439</v>
      </c>
      <c r="AG27" s="26">
        <f t="shared" si="13"/>
        <v>40.909090909090892</v>
      </c>
      <c r="AH27" s="26">
        <f t="shared" si="13"/>
        <v>36.363636363636346</v>
      </c>
      <c r="AI27" s="26">
        <f t="shared" si="13"/>
        <v>31.818181818181795</v>
      </c>
      <c r="AJ27" s="26">
        <f t="shared" si="13"/>
        <v>27.272727272727245</v>
      </c>
      <c r="AK27" s="26">
        <f t="shared" si="13"/>
        <v>22.727272727272695</v>
      </c>
      <c r="AL27" s="26">
        <f t="shared" si="13"/>
        <v>18.181818181818144</v>
      </c>
      <c r="AM27" s="26">
        <f t="shared" si="13"/>
        <v>13.636363636363594</v>
      </c>
      <c r="AN27" s="26">
        <f t="shared" si="13"/>
        <v>9.0909090909090438</v>
      </c>
      <c r="AO27" s="26">
        <f t="shared" si="13"/>
        <v>4.5454545454544935</v>
      </c>
      <c r="AP27" s="26"/>
      <c r="AQ27" s="26"/>
      <c r="AR27" s="26"/>
      <c r="AS27" s="26"/>
      <c r="AT27" s="26"/>
      <c r="AU27" s="26"/>
      <c r="AV27" s="27"/>
    </row>
    <row r="28" spans="1:48" ht="24" customHeight="1" x14ac:dyDescent="0.15">
      <c r="A28" s="44" t="s">
        <v>11</v>
      </c>
      <c r="B28" s="71">
        <f>'Monitor Bonos'!M14</f>
        <v>30</v>
      </c>
      <c r="C28" s="48" t="s">
        <v>77</v>
      </c>
      <c r="D28" s="49">
        <f ca="1">XIRR(G26:AV26,G21:AV21)</f>
        <v>0.32947021126747134</v>
      </c>
      <c r="E28" s="31"/>
      <c r="F28" s="11" t="s">
        <v>102</v>
      </c>
      <c r="H28" s="52">
        <f t="shared" ref="H28:AO28" si="14">+H26/(1+$B$21)^(H22)</f>
        <v>0</v>
      </c>
      <c r="I28" s="53">
        <f t="shared" ca="1" si="14"/>
        <v>0</v>
      </c>
      <c r="J28" s="53">
        <f t="shared" ca="1" si="14"/>
        <v>0</v>
      </c>
      <c r="K28" s="53">
        <f t="shared" ca="1" si="14"/>
        <v>0</v>
      </c>
      <c r="L28" s="54">
        <f t="shared" ca="1" si="14"/>
        <v>0</v>
      </c>
      <c r="M28" s="54">
        <f t="shared" ca="1" si="14"/>
        <v>0</v>
      </c>
      <c r="N28" s="54">
        <f t="shared" ca="1" si="14"/>
        <v>2.1207583943961059</v>
      </c>
      <c r="O28" s="54">
        <f t="shared" ca="1" si="14"/>
        <v>2.2759160765129431</v>
      </c>
      <c r="P28" s="54">
        <f t="shared" ca="1" si="14"/>
        <v>2.0791748964667707</v>
      </c>
      <c r="Q28" s="54">
        <f t="shared" ca="1" si="14"/>
        <v>1.8965967304274522</v>
      </c>
      <c r="R28" s="54">
        <f t="shared" ca="1" si="14"/>
        <v>1.7326457470556422</v>
      </c>
      <c r="S28" s="54">
        <f t="shared" ca="1" si="14"/>
        <v>1.5804972753562103</v>
      </c>
      <c r="T28" s="54">
        <f t="shared" ca="1" si="14"/>
        <v>4.06909228475189</v>
      </c>
      <c r="U28" s="54">
        <f t="shared" ca="1" si="14"/>
        <v>3.6519065832094282</v>
      </c>
      <c r="V28" s="54">
        <f t="shared" ca="1" si="14"/>
        <v>3.2798872866835187</v>
      </c>
      <c r="W28" s="54">
        <f t="shared" ca="1" si="14"/>
        <v>2.9420066854826583</v>
      </c>
      <c r="X28" s="54">
        <f t="shared" ca="1" si="14"/>
        <v>2.6421314253839454</v>
      </c>
      <c r="Y28" s="54">
        <f t="shared" ca="1" si="14"/>
        <v>2.3685647044140041</v>
      </c>
      <c r="Z28" s="54">
        <f t="shared" ca="1" si="14"/>
        <v>2.1258528709985773</v>
      </c>
      <c r="AA28" s="54">
        <f t="shared" ca="1" si="14"/>
        <v>1.9045476424381618</v>
      </c>
      <c r="AB28" s="54">
        <f t="shared" ca="1" si="14"/>
        <v>1.7082746284809993</v>
      </c>
      <c r="AC28" s="54">
        <f t="shared" ca="1" si="14"/>
        <v>1.5294094704427661</v>
      </c>
      <c r="AD28" s="54">
        <f t="shared" ca="1" si="14"/>
        <v>1.3701530871719765</v>
      </c>
      <c r="AE28" s="54">
        <f t="shared" ca="1" si="14"/>
        <v>1.225800800525227</v>
      </c>
      <c r="AF28" s="54">
        <f t="shared" ca="1" si="14"/>
        <v>1.0978790762595965</v>
      </c>
      <c r="AG28" s="54">
        <f t="shared" ca="1" si="14"/>
        <v>0.98144181741398917</v>
      </c>
      <c r="AH28" s="54">
        <f t="shared" ca="1" si="14"/>
        <v>0.87830326100767742</v>
      </c>
      <c r="AI28" s="54">
        <f t="shared" ca="1" si="14"/>
        <v>0.7844858064363518</v>
      </c>
      <c r="AJ28" s="54">
        <f t="shared" ca="1" si="14"/>
        <v>0.70142274316585362</v>
      </c>
      <c r="AK28" s="54">
        <f t="shared" ca="1" si="14"/>
        <v>0.62591952641198301</v>
      </c>
      <c r="AL28" s="54">
        <f t="shared" ca="1" si="14"/>
        <v>0.55882587566792385</v>
      </c>
      <c r="AM28" s="54">
        <f t="shared" ca="1" si="14"/>
        <v>0.49816849780014927</v>
      </c>
      <c r="AN28" s="54">
        <f t="shared" ca="1" si="14"/>
        <v>0.44452058291766672</v>
      </c>
      <c r="AO28" s="54">
        <f t="shared" ca="1" si="14"/>
        <v>0.39583155832957601</v>
      </c>
      <c r="AP28" s="54"/>
      <c r="AQ28" s="54"/>
      <c r="AR28" s="54"/>
      <c r="AS28" s="54"/>
      <c r="AT28" s="54"/>
      <c r="AU28" s="54"/>
      <c r="AV28" s="55"/>
    </row>
    <row r="29" spans="1:48" ht="24" customHeight="1" x14ac:dyDescent="0.15">
      <c r="C29" s="41" t="s">
        <v>83</v>
      </c>
      <c r="D29" s="39">
        <f ca="1">SUM(H31:AV31)/B28</f>
        <v>7.8974388345586766</v>
      </c>
      <c r="F29" s="11" t="s">
        <v>103</v>
      </c>
      <c r="H29" s="56">
        <f t="shared" ref="H29:AO29" ca="1" si="15">+H26/(1+$D$28)^(H22)</f>
        <v>0</v>
      </c>
      <c r="I29" s="57">
        <f t="shared" ca="1" si="15"/>
        <v>0</v>
      </c>
      <c r="J29" s="57">
        <f t="shared" ca="1" si="15"/>
        <v>0</v>
      </c>
      <c r="K29" s="57">
        <f t="shared" ca="1" si="15"/>
        <v>0</v>
      </c>
      <c r="L29" s="57">
        <f t="shared" ca="1" si="15"/>
        <v>0</v>
      </c>
      <c r="M29" s="57">
        <f t="shared" ca="1" si="15"/>
        <v>0</v>
      </c>
      <c r="N29" s="57">
        <f t="shared" ca="1" si="15"/>
        <v>2.1183784626433804</v>
      </c>
      <c r="O29" s="57">
        <f t="shared" ca="1" si="15"/>
        <v>2.1589225023632737</v>
      </c>
      <c r="P29" s="57">
        <f t="shared" ca="1" si="15"/>
        <v>1.8745887910305628</v>
      </c>
      <c r="Q29" s="57">
        <f t="shared" ca="1" si="15"/>
        <v>1.6238968606186601</v>
      </c>
      <c r="R29" s="57">
        <f t="shared" ca="1" si="15"/>
        <v>1.4100269228622988</v>
      </c>
      <c r="S29" s="57">
        <f t="shared" ca="1" si="15"/>
        <v>1.2214616370159153</v>
      </c>
      <c r="T29" s="57">
        <f t="shared" ca="1" si="15"/>
        <v>2.9889441700006123</v>
      </c>
      <c r="U29" s="57">
        <f t="shared" ca="1" si="15"/>
        <v>2.5474658738801614</v>
      </c>
      <c r="V29" s="57">
        <f t="shared" ca="1" si="15"/>
        <v>2.1740018414149365</v>
      </c>
      <c r="W29" s="57">
        <f t="shared" ca="1" si="15"/>
        <v>1.851881082280916</v>
      </c>
      <c r="X29" s="57">
        <f t="shared" ca="1" si="15"/>
        <v>1.5807312533646318</v>
      </c>
      <c r="Y29" s="57">
        <f t="shared" ca="1" si="15"/>
        <v>1.3457281232856029</v>
      </c>
      <c r="Z29" s="57">
        <f t="shared" ca="1" si="15"/>
        <v>1.1479935888564439</v>
      </c>
      <c r="AA29" s="57">
        <f t="shared" ca="1" si="15"/>
        <v>0.97671206292471091</v>
      </c>
      <c r="AB29" s="57">
        <f t="shared" ca="1" si="15"/>
        <v>0.83265785757658073</v>
      </c>
      <c r="AC29" s="57">
        <f t="shared" ca="1" si="15"/>
        <v>0.70794761150702012</v>
      </c>
      <c r="AD29" s="57">
        <f t="shared" ca="1" si="15"/>
        <v>0.60264105160074621</v>
      </c>
      <c r="AE29" s="57">
        <f t="shared" ca="1" si="15"/>
        <v>0.51200944338484433</v>
      </c>
      <c r="AF29" s="57">
        <f t="shared" ca="1" si="15"/>
        <v>0.43585974676609146</v>
      </c>
      <c r="AG29" s="57">
        <f t="shared" ca="1" si="15"/>
        <v>0.37002005574422614</v>
      </c>
      <c r="AH29" s="57">
        <f t="shared" ca="1" si="15"/>
        <v>0.31473090058673475</v>
      </c>
      <c r="AI29" s="57">
        <f t="shared" ca="1" si="15"/>
        <v>0.2669613755299779</v>
      </c>
      <c r="AJ29" s="57">
        <f t="shared" ca="1" si="15"/>
        <v>0.22687015512347289</v>
      </c>
      <c r="AK29" s="57">
        <f t="shared" ca="1" si="15"/>
        <v>0.1922580249113712</v>
      </c>
      <c r="AL29" s="57">
        <f t="shared" ca="1" si="15"/>
        <v>0.1631002987447529</v>
      </c>
      <c r="AM29" s="57">
        <f t="shared" ca="1" si="15"/>
        <v>0.13807751486726674</v>
      </c>
      <c r="AN29" s="57">
        <f t="shared" ca="1" si="15"/>
        <v>0.11710427769072258</v>
      </c>
      <c r="AO29" s="57">
        <f t="shared" ca="1" si="15"/>
        <v>9.9028397746441205E-2</v>
      </c>
      <c r="AP29" s="57"/>
      <c r="AQ29" s="57"/>
      <c r="AR29" s="57"/>
      <c r="AS29" s="57"/>
      <c r="AT29" s="57"/>
      <c r="AU29" s="57"/>
      <c r="AV29" s="58"/>
    </row>
    <row r="30" spans="1:48" ht="24" customHeight="1" x14ac:dyDescent="0.15">
      <c r="C30" s="41" t="s">
        <v>85</v>
      </c>
      <c r="D30" s="39">
        <f ca="1">+D29/(1+D28/2)</f>
        <v>6.780459175961437</v>
      </c>
      <c r="F30" s="60" t="s">
        <v>104</v>
      </c>
      <c r="N30" s="1"/>
      <c r="O30" s="1"/>
      <c r="AC30" s="4"/>
    </row>
    <row r="31" spans="1:48" ht="24" customHeight="1" x14ac:dyDescent="0.15">
      <c r="C31" s="41" t="s">
        <v>13</v>
      </c>
      <c r="D31" s="39">
        <f ca="1">SUM(H34:AV34)/B28</f>
        <v>16.18211007439858</v>
      </c>
      <c r="F31" s="59" t="s">
        <v>105</v>
      </c>
      <c r="H31">
        <f t="shared" ref="H31:AO31" si="16">H28*H22</f>
        <v>0</v>
      </c>
      <c r="I31">
        <f t="shared" ca="1" si="16"/>
        <v>0</v>
      </c>
      <c r="J31">
        <f t="shared" ca="1" si="16"/>
        <v>0</v>
      </c>
      <c r="K31">
        <f t="shared" ca="1" si="16"/>
        <v>0</v>
      </c>
      <c r="L31">
        <f t="shared" ca="1" si="16"/>
        <v>0</v>
      </c>
      <c r="M31">
        <f t="shared" ca="1" si="16"/>
        <v>0</v>
      </c>
      <c r="N31">
        <f t="shared" ca="1" si="16"/>
        <v>2.3241187883792942E-2</v>
      </c>
      <c r="O31">
        <f t="shared" ca="1" si="16"/>
        <v>1.1722526640669406</v>
      </c>
      <c r="P31">
        <f t="shared" ca="1" si="16"/>
        <v>2.1019603747842148</v>
      </c>
      <c r="Q31">
        <f t="shared" ca="1" si="16"/>
        <v>2.8734739504832363</v>
      </c>
      <c r="R31">
        <f t="shared" ca="1" si="16"/>
        <v>3.4842793927091544</v>
      </c>
      <c r="S31">
        <f t="shared" ca="1" si="16"/>
        <v>3.9750589007589072</v>
      </c>
      <c r="T31">
        <f t="shared" ca="1" si="16"/>
        <v>12.251869646417335</v>
      </c>
      <c r="U31">
        <f t="shared" ca="1" si="16"/>
        <v>12.836701770569032</v>
      </c>
      <c r="V31">
        <f t="shared" ca="1" si="16"/>
        <v>13.164479109565354</v>
      </c>
      <c r="W31">
        <f t="shared" ca="1" si="16"/>
        <v>13.291421984550421</v>
      </c>
      <c r="X31">
        <f t="shared" ca="1" si="16"/>
        <v>13.246850708089369</v>
      </c>
      <c r="Y31">
        <f t="shared" ca="1" si="16"/>
        <v>13.069285793670698</v>
      </c>
      <c r="Z31">
        <f t="shared" ca="1" si="16"/>
        <v>12.784238498196924</v>
      </c>
      <c r="AA31">
        <f t="shared" ca="1" si="16"/>
        <v>12.41347627769969</v>
      </c>
      <c r="AB31">
        <f t="shared" ca="1" si="16"/>
        <v>11.981323421674954</v>
      </c>
      <c r="AC31">
        <f t="shared" ca="1" si="16"/>
        <v>11.497807087383425</v>
      </c>
      <c r="AD31">
        <f t="shared" ca="1" si="16"/>
        <v>10.983747761822475</v>
      </c>
      <c r="AE31">
        <f t="shared" ca="1" si="16"/>
        <v>10.444494492146454</v>
      </c>
      <c r="AF31">
        <f t="shared" ca="1" si="16"/>
        <v>9.8989590136173486</v>
      </c>
      <c r="AG31">
        <f t="shared" ca="1" si="16"/>
        <v>9.3438638781194854</v>
      </c>
      <c r="AH31">
        <f t="shared" ca="1" si="16"/>
        <v>8.7974704719015584</v>
      </c>
      <c r="AI31">
        <f t="shared" ca="1" si="16"/>
        <v>8.2532205389468238</v>
      </c>
      <c r="AJ31">
        <f t="shared" ca="1" si="16"/>
        <v>7.7271804116983498</v>
      </c>
      <c r="AK31">
        <f t="shared" ca="1" si="16"/>
        <v>7.210935913869557</v>
      </c>
      <c r="AL31">
        <f t="shared" ca="1" si="16"/>
        <v>6.7166277165895396</v>
      </c>
      <c r="AM31">
        <f t="shared" ca="1" si="16"/>
        <v>6.2387074066972117</v>
      </c>
      <c r="AN31">
        <f t="shared" ca="1" si="16"/>
        <v>5.7872926302048002</v>
      </c>
      <c r="AO31">
        <f t="shared" ca="1" si="16"/>
        <v>5.3529440326432525</v>
      </c>
    </row>
    <row r="32" spans="1:48" ht="24" customHeight="1" x14ac:dyDescent="0.15">
      <c r="F32" s="2" t="s">
        <v>106</v>
      </c>
      <c r="H32">
        <f t="shared" ref="H32:AO32" si="17">H22*(H22+1)</f>
        <v>0</v>
      </c>
      <c r="I32">
        <f t="shared" ca="1" si="17"/>
        <v>3.7008369300056296</v>
      </c>
      <c r="J32">
        <f t="shared" ca="1" si="17"/>
        <v>1.9754100206417713</v>
      </c>
      <c r="K32">
        <f t="shared" ca="1" si="17"/>
        <v>0.72549446425220487</v>
      </c>
      <c r="L32">
        <f t="shared" ca="1" si="17"/>
        <v>-8.1516231938449663E-3</v>
      </c>
      <c r="M32">
        <f t="shared" ca="1" si="17"/>
        <v>-0.24984800150121975</v>
      </c>
      <c r="N32">
        <f t="shared" ca="1" si="17"/>
        <v>1.1079001688872209E-2</v>
      </c>
      <c r="O32">
        <f t="shared" ca="1" si="17"/>
        <v>0.7803640457872022</v>
      </c>
      <c r="P32">
        <f t="shared" ca="1" si="17"/>
        <v>2.0329968099080502</v>
      </c>
      <c r="Q32">
        <f t="shared" ca="1" si="17"/>
        <v>3.8105010320885726</v>
      </c>
      <c r="R32">
        <f t="shared" ca="1" si="17"/>
        <v>6.0549146181272278</v>
      </c>
      <c r="S32">
        <f t="shared" ca="1" si="17"/>
        <v>8.8406380183899422</v>
      </c>
      <c r="T32">
        <f t="shared" ca="1" si="17"/>
        <v>12.076832426346407</v>
      </c>
      <c r="U32">
        <f t="shared" ca="1" si="17"/>
        <v>15.870775004691312</v>
      </c>
      <c r="V32">
        <f t="shared" ca="1" si="17"/>
        <v>20.123475323700504</v>
      </c>
      <c r="W32">
        <f t="shared" ca="1" si="17"/>
        <v>24.928399324451117</v>
      </c>
      <c r="X32">
        <f t="shared" ca="1" si="17"/>
        <v>30.150872583974476</v>
      </c>
      <c r="Y32">
        <f t="shared" ca="1" si="17"/>
        <v>35.964015762807286</v>
      </c>
      <c r="Z32">
        <f t="shared" ca="1" si="17"/>
        <v>42.178269844248447</v>
      </c>
      <c r="AA32">
        <f t="shared" ca="1" si="17"/>
        <v>48.99963220116345</v>
      </c>
      <c r="AB32">
        <f t="shared" ca="1" si="17"/>
        <v>56.205667104522419</v>
      </c>
      <c r="AC32">
        <f t="shared" ca="1" si="17"/>
        <v>64.035248639519608</v>
      </c>
      <c r="AD32">
        <f t="shared" ca="1" si="17"/>
        <v>72.279722274347918</v>
      </c>
      <c r="AE32">
        <f t="shared" ca="1" si="17"/>
        <v>81.120285231750785</v>
      </c>
      <c r="AF32">
        <f t="shared" ca="1" si="17"/>
        <v>90.31259898667669</v>
      </c>
      <c r="AG32">
        <f t="shared" ca="1" si="17"/>
        <v>100.16138112216174</v>
      </c>
      <c r="AH32">
        <f t="shared" ca="1" si="17"/>
        <v>110.34547569900545</v>
      </c>
      <c r="AI32">
        <f t="shared" ca="1" si="17"/>
        <v>121.2024770125727</v>
      </c>
      <c r="AJ32">
        <f t="shared" ca="1" si="17"/>
        <v>132.37835241133422</v>
      </c>
      <c r="AK32">
        <f t="shared" ca="1" si="17"/>
        <v>144.24357290298366</v>
      </c>
      <c r="AL32">
        <f t="shared" ca="1" si="17"/>
        <v>156.47981985363106</v>
      </c>
      <c r="AM32">
        <f t="shared" ca="1" si="17"/>
        <v>169.35602176768626</v>
      </c>
      <c r="AN32">
        <f t="shared" ca="1" si="17"/>
        <v>182.51817601801463</v>
      </c>
      <c r="AO32">
        <f t="shared" ca="1" si="17"/>
        <v>196.40259711015202</v>
      </c>
    </row>
    <row r="33" spans="1:48" ht="24" customHeight="1" x14ac:dyDescent="0.2">
      <c r="A33" s="6"/>
      <c r="F33" s="42" t="s">
        <v>107</v>
      </c>
      <c r="H33" s="7">
        <f>(H26/(1+$B$21)^(H22+2))*H32</f>
        <v>0</v>
      </c>
      <c r="I33" s="7">
        <f t="shared" ref="I33:AO33" ca="1" si="18">(I26/(1+$B$21)^(I22+2))*I32</f>
        <v>0</v>
      </c>
      <c r="J33" s="7">
        <f t="shared" ca="1" si="18"/>
        <v>0</v>
      </c>
      <c r="K33" s="7">
        <f t="shared" ca="1" si="18"/>
        <v>0</v>
      </c>
      <c r="L33" s="7">
        <f t="shared" ca="1" si="18"/>
        <v>0</v>
      </c>
      <c r="M33" s="7">
        <f t="shared" ca="1" si="18"/>
        <v>0</v>
      </c>
      <c r="N33" s="7">
        <f t="shared" ca="1" si="18"/>
        <v>1.6316587384169703E-2</v>
      </c>
      <c r="O33" s="7">
        <f t="shared" ca="1" si="18"/>
        <v>1.233363248152622</v>
      </c>
      <c r="P33" s="7">
        <f t="shared" ca="1" si="18"/>
        <v>2.9353860637207263</v>
      </c>
      <c r="Q33" s="7">
        <f t="shared" ca="1" si="18"/>
        <v>5.0187387491316802</v>
      </c>
      <c r="R33" s="7">
        <f t="shared" ca="1" si="18"/>
        <v>7.2854319874188747</v>
      </c>
      <c r="S33" s="7">
        <f t="shared" ca="1" si="18"/>
        <v>9.703197430885993</v>
      </c>
      <c r="T33" s="7">
        <f t="shared" ca="1" si="18"/>
        <v>34.126212257144182</v>
      </c>
      <c r="U33" s="7">
        <f t="shared" ca="1" si="18"/>
        <v>40.249019250186009</v>
      </c>
      <c r="V33" s="7">
        <f t="shared" ca="1" si="18"/>
        <v>45.835229776454725</v>
      </c>
      <c r="W33" s="7">
        <f t="shared" ca="1" si="18"/>
        <v>50.930220465914289</v>
      </c>
      <c r="X33" s="7">
        <f t="shared" ca="1" si="18"/>
        <v>55.321227747823748</v>
      </c>
      <c r="Y33" s="7">
        <f t="shared" ca="1" si="18"/>
        <v>59.154929419982111</v>
      </c>
      <c r="Z33" s="7">
        <f t="shared" ca="1" si="18"/>
        <v>62.267219473714071</v>
      </c>
      <c r="AA33" s="7">
        <f t="shared" ca="1" si="18"/>
        <v>64.80703749240476</v>
      </c>
      <c r="AB33" s="7">
        <f t="shared" ca="1" si="18"/>
        <v>66.676885480211638</v>
      </c>
      <c r="AC33" s="7">
        <f t="shared" ca="1" si="18"/>
        <v>68.01119146627677</v>
      </c>
      <c r="AD33" s="7">
        <f t="shared" ca="1" si="18"/>
        <v>68.773808759813122</v>
      </c>
      <c r="AE33" s="7">
        <f t="shared" ca="1" si="18"/>
        <v>69.053687899940883</v>
      </c>
      <c r="AF33" s="7">
        <f t="shared" ca="1" si="18"/>
        <v>68.85577274312223</v>
      </c>
      <c r="AG33" s="7">
        <f t="shared" ca="1" si="18"/>
        <v>68.265672168909489</v>
      </c>
      <c r="AH33" s="7">
        <f t="shared" ca="1" si="18"/>
        <v>67.303327183249934</v>
      </c>
      <c r="AI33" s="7">
        <f t="shared" ca="1" si="18"/>
        <v>66.028904806452417</v>
      </c>
      <c r="AJ33" s="7">
        <f t="shared" ca="1" si="18"/>
        <v>64.481379919537602</v>
      </c>
      <c r="AK33" s="7">
        <f t="shared" ca="1" si="18"/>
        <v>62.697825582922121</v>
      </c>
      <c r="AL33" s="7">
        <f t="shared" ca="1" si="18"/>
        <v>60.725675245878001</v>
      </c>
      <c r="AM33" s="7">
        <f t="shared" ca="1" si="18"/>
        <v>58.588774275984491</v>
      </c>
      <c r="AN33" s="7">
        <f t="shared" ca="1" si="18"/>
        <v>56.342420830970234</v>
      </c>
      <c r="AO33" s="7">
        <f t="shared" ca="1" si="18"/>
        <v>53.987740329227321</v>
      </c>
      <c r="AP33" s="7"/>
      <c r="AQ33" s="7"/>
      <c r="AR33" s="7"/>
      <c r="AS33" s="7"/>
      <c r="AT33" s="7"/>
      <c r="AU33" s="7"/>
      <c r="AV33" s="7"/>
    </row>
    <row r="34" spans="1:48" ht="24" customHeight="1" x14ac:dyDescent="0.15">
      <c r="F34" s="42" t="s">
        <v>108</v>
      </c>
      <c r="H34">
        <f ca="1">(H26/(1+$D$28)^(H22+2))*H32</f>
        <v>0</v>
      </c>
      <c r="I34">
        <f t="shared" ref="I34:AO34" ca="1" si="19">(I26/(1+$D$28)^(I22+2))*I32</f>
        <v>0</v>
      </c>
      <c r="J34">
        <f t="shared" ca="1" si="19"/>
        <v>0</v>
      </c>
      <c r="K34">
        <f t="shared" ca="1" si="19"/>
        <v>0</v>
      </c>
      <c r="L34">
        <f t="shared" ca="1" si="19"/>
        <v>0</v>
      </c>
      <c r="M34">
        <f t="shared" ca="1" si="19"/>
        <v>0</v>
      </c>
      <c r="N34">
        <f t="shared" ca="1" si="19"/>
        <v>1.327843706078469E-2</v>
      </c>
      <c r="O34">
        <f t="shared" ca="1" si="19"/>
        <v>0.95318474483559867</v>
      </c>
      <c r="P34">
        <f t="shared" ca="1" si="19"/>
        <v>2.1561823738274049</v>
      </c>
      <c r="Q34">
        <f t="shared" ca="1" si="19"/>
        <v>3.5009290084569971</v>
      </c>
      <c r="R34">
        <f t="shared" ca="1" si="19"/>
        <v>4.8303456261951885</v>
      </c>
      <c r="S34">
        <f t="shared" ca="1" si="19"/>
        <v>6.1095077291211259</v>
      </c>
      <c r="T34">
        <f t="shared" ca="1" si="19"/>
        <v>20.422721814041985</v>
      </c>
      <c r="U34">
        <f t="shared" ca="1" si="19"/>
        <v>22.874377714480381</v>
      </c>
      <c r="V34">
        <f t="shared" ca="1" si="19"/>
        <v>24.751736418341821</v>
      </c>
      <c r="W34">
        <f t="shared" ca="1" si="19"/>
        <v>26.118622389929847</v>
      </c>
      <c r="X34">
        <f t="shared" ca="1" si="19"/>
        <v>26.965017337972697</v>
      </c>
      <c r="Y34">
        <f t="shared" ca="1" si="19"/>
        <v>27.382196724346674</v>
      </c>
      <c r="Z34">
        <f t="shared" ca="1" si="19"/>
        <v>27.394980909054034</v>
      </c>
      <c r="AA34">
        <f t="shared" ca="1" si="19"/>
        <v>27.077100078573416</v>
      </c>
      <c r="AB34">
        <f t="shared" ca="1" si="19"/>
        <v>26.478261686017351</v>
      </c>
      <c r="AC34">
        <f t="shared" ca="1" si="19"/>
        <v>25.648560718417887</v>
      </c>
      <c r="AD34">
        <f t="shared" ca="1" si="19"/>
        <v>24.644383926028308</v>
      </c>
      <c r="AE34">
        <f t="shared" ca="1" si="19"/>
        <v>23.499045305775944</v>
      </c>
      <c r="AF34">
        <f t="shared" ca="1" si="19"/>
        <v>22.270905806207974</v>
      </c>
      <c r="AG34">
        <f t="shared" ca="1" si="19"/>
        <v>20.968547467558977</v>
      </c>
      <c r="AH34">
        <f t="shared" ca="1" si="19"/>
        <v>19.648829954124068</v>
      </c>
      <c r="AI34">
        <f t="shared" ca="1" si="19"/>
        <v>18.30638979219346</v>
      </c>
      <c r="AJ34">
        <f t="shared" ca="1" si="19"/>
        <v>16.991711200732503</v>
      </c>
      <c r="AK34">
        <f t="shared" ca="1" si="19"/>
        <v>15.690028273606687</v>
      </c>
      <c r="AL34">
        <f t="shared" ca="1" si="19"/>
        <v>14.439623596294076</v>
      </c>
      <c r="AM34">
        <f t="shared" ca="1" si="19"/>
        <v>13.230199219827963</v>
      </c>
      <c r="AN34">
        <f t="shared" ca="1" si="19"/>
        <v>12.092654871959953</v>
      </c>
      <c r="AO34">
        <f t="shared" ca="1" si="19"/>
        <v>11.003979106974322</v>
      </c>
    </row>
    <row r="35" spans="1:48" ht="24" customHeight="1" x14ac:dyDescent="0.15"/>
    <row r="36" spans="1:48" ht="24" customHeight="1" x14ac:dyDescent="0.25">
      <c r="A36" s="36" t="s">
        <v>75</v>
      </c>
      <c r="C36" s="36" t="s">
        <v>76</v>
      </c>
      <c r="F36" s="241" t="s">
        <v>17</v>
      </c>
      <c r="G36" s="34" t="s">
        <v>100</v>
      </c>
    </row>
    <row r="37" spans="1:48" ht="24" customHeight="1" x14ac:dyDescent="0.15">
      <c r="A37" s="44" t="s">
        <v>77</v>
      </c>
      <c r="B37" s="45">
        <f>'Monitor Bonos'!C13</f>
        <v>0.2</v>
      </c>
      <c r="C37" s="46" t="s">
        <v>11</v>
      </c>
      <c r="D37" s="47">
        <f ca="1">SUM(H44:AJ44)</f>
        <v>41.318095476101874</v>
      </c>
      <c r="E37" s="37"/>
      <c r="F37" s="8" t="s">
        <v>101</v>
      </c>
      <c r="G37" s="28">
        <f ca="1">B38</f>
        <v>45478</v>
      </c>
      <c r="H37" s="28">
        <v>44386</v>
      </c>
      <c r="I37" s="29">
        <v>44570</v>
      </c>
      <c r="J37" s="29">
        <v>44751</v>
      </c>
      <c r="K37" s="29">
        <v>44935</v>
      </c>
      <c r="L37" s="29">
        <v>45116</v>
      </c>
      <c r="M37" s="29">
        <v>45300</v>
      </c>
      <c r="N37" s="29">
        <v>45482</v>
      </c>
      <c r="O37" s="29">
        <v>45666</v>
      </c>
      <c r="P37" s="29">
        <v>45847</v>
      </c>
      <c r="Q37" s="29">
        <v>46031</v>
      </c>
      <c r="R37" s="29">
        <v>46212</v>
      </c>
      <c r="S37" s="29">
        <v>46396</v>
      </c>
      <c r="T37" s="29">
        <v>46577</v>
      </c>
      <c r="U37" s="29">
        <v>46761</v>
      </c>
      <c r="V37" s="29">
        <v>46943</v>
      </c>
      <c r="W37" s="29">
        <v>47127</v>
      </c>
      <c r="X37" s="29">
        <v>47308</v>
      </c>
      <c r="Y37" s="29">
        <v>47492</v>
      </c>
      <c r="Z37" s="29">
        <v>47673</v>
      </c>
      <c r="AA37" s="29">
        <v>47857</v>
      </c>
      <c r="AB37" s="29">
        <v>48038</v>
      </c>
      <c r="AC37" s="29">
        <v>48222</v>
      </c>
      <c r="AD37" s="29">
        <v>48404</v>
      </c>
      <c r="AE37" s="29">
        <v>48588</v>
      </c>
      <c r="AF37" s="29">
        <v>48769</v>
      </c>
      <c r="AG37" s="29">
        <v>48953</v>
      </c>
      <c r="AH37" s="29">
        <v>49134</v>
      </c>
      <c r="AI37" s="29">
        <v>49318</v>
      </c>
      <c r="AJ37" s="29">
        <v>49499</v>
      </c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30"/>
    </row>
    <row r="38" spans="1:48" ht="24" customHeight="1" x14ac:dyDescent="0.15">
      <c r="A38" s="43" t="s">
        <v>79</v>
      </c>
      <c r="B38" s="38">
        <f ca="1">'Monitor Bonos'!$C$7</f>
        <v>45478</v>
      </c>
      <c r="C38" s="41" t="s">
        <v>80</v>
      </c>
      <c r="D38" s="40">
        <f ca="1">+B42*((B38-B41)/(B40-B41))</f>
        <v>2.25</v>
      </c>
      <c r="E38" s="37"/>
      <c r="F38" s="9" t="s">
        <v>81</v>
      </c>
      <c r="H38" s="16">
        <v>0</v>
      </c>
      <c r="I38" s="17">
        <f ca="1">+(I37-$B$38)/365</f>
        <v>-2.4876712328767123</v>
      </c>
      <c r="J38" s="17">
        <f t="shared" ref="J38:AJ38" ca="1" si="20">+(J37-$B$38)/365</f>
        <v>-1.9917808219178081</v>
      </c>
      <c r="K38" s="17">
        <f t="shared" ca="1" si="20"/>
        <v>-1.4876712328767123</v>
      </c>
      <c r="L38" s="17">
        <f t="shared" ca="1" si="20"/>
        <v>-0.99178082191780825</v>
      </c>
      <c r="M38" s="17">
        <f t="shared" ca="1" si="20"/>
        <v>-0.48767123287671232</v>
      </c>
      <c r="N38" s="17">
        <f t="shared" ca="1" si="20"/>
        <v>1.0958904109589041E-2</v>
      </c>
      <c r="O38" s="17">
        <f t="shared" ca="1" si="20"/>
        <v>0.51506849315068493</v>
      </c>
      <c r="P38" s="17">
        <f t="shared" ca="1" si="20"/>
        <v>1.010958904109589</v>
      </c>
      <c r="Q38" s="17">
        <f t="shared" ca="1" si="20"/>
        <v>1.515068493150685</v>
      </c>
      <c r="R38" s="17">
        <f t="shared" ca="1" si="20"/>
        <v>2.010958904109589</v>
      </c>
      <c r="S38" s="17">
        <f t="shared" ca="1" si="20"/>
        <v>2.515068493150685</v>
      </c>
      <c r="T38" s="17">
        <f t="shared" ca="1" si="20"/>
        <v>3.010958904109589</v>
      </c>
      <c r="U38" s="17">
        <f t="shared" ca="1" si="20"/>
        <v>3.515068493150685</v>
      </c>
      <c r="V38" s="17">
        <f t="shared" ca="1" si="20"/>
        <v>4.0136986301369859</v>
      </c>
      <c r="W38" s="17">
        <f t="shared" ca="1" si="20"/>
        <v>4.5178082191780824</v>
      </c>
      <c r="X38" s="17">
        <f t="shared" ca="1" si="20"/>
        <v>5.0136986301369859</v>
      </c>
      <c r="Y38" s="17">
        <f t="shared" ca="1" si="20"/>
        <v>5.5178082191780824</v>
      </c>
      <c r="Z38" s="17">
        <f t="shared" ca="1" si="20"/>
        <v>6.0136986301369859</v>
      </c>
      <c r="AA38" s="17">
        <f t="shared" ca="1" si="20"/>
        <v>6.5178082191780824</v>
      </c>
      <c r="AB38" s="17">
        <f t="shared" ca="1" si="20"/>
        <v>7.0136986301369859</v>
      </c>
      <c r="AC38" s="17">
        <f t="shared" ca="1" si="20"/>
        <v>7.5178082191780824</v>
      </c>
      <c r="AD38" s="17">
        <f t="shared" ca="1" si="20"/>
        <v>8.0164383561643842</v>
      </c>
      <c r="AE38" s="17">
        <f t="shared" ca="1" si="20"/>
        <v>8.5205479452054789</v>
      </c>
      <c r="AF38" s="17">
        <f t="shared" ca="1" si="20"/>
        <v>9.0164383561643842</v>
      </c>
      <c r="AG38" s="17">
        <f t="shared" ca="1" si="20"/>
        <v>9.5205479452054789</v>
      </c>
      <c r="AH38" s="17">
        <f t="shared" ca="1" si="20"/>
        <v>10.016438356164384</v>
      </c>
      <c r="AI38" s="17">
        <f t="shared" ca="1" si="20"/>
        <v>10.520547945205479</v>
      </c>
      <c r="AJ38" s="17">
        <f t="shared" ca="1" si="20"/>
        <v>11.016438356164384</v>
      </c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8"/>
    </row>
    <row r="39" spans="1:48" ht="24" customHeight="1" x14ac:dyDescent="0.15">
      <c r="A39" s="50" t="s">
        <v>82</v>
      </c>
      <c r="B39" s="51">
        <v>100</v>
      </c>
      <c r="C39" s="41" t="s">
        <v>83</v>
      </c>
      <c r="D39" s="39">
        <f ca="1">SUM(H47:AV47)/D37</f>
        <v>5.9261715440285174</v>
      </c>
      <c r="E39" s="37"/>
      <c r="F39" s="10" t="s">
        <v>87</v>
      </c>
      <c r="L39" s="63">
        <v>1.4999999999999999E-2</v>
      </c>
      <c r="M39" s="63">
        <v>3.6249999999999998E-2</v>
      </c>
      <c r="N39" s="63">
        <v>3.6249999999999998E-2</v>
      </c>
      <c r="O39" s="63">
        <v>4.1250000000000002E-2</v>
      </c>
      <c r="P39" s="63">
        <v>4.1250000000000002E-2</v>
      </c>
      <c r="Q39" s="63">
        <v>4.1250000000000002E-2</v>
      </c>
      <c r="R39" s="63">
        <v>4.1250000000000002E-2</v>
      </c>
      <c r="S39" s="63">
        <v>4.1250000000000002E-2</v>
      </c>
      <c r="T39" s="63">
        <v>4.1250000000000002E-2</v>
      </c>
      <c r="U39" s="63">
        <v>4.7500000000000001E-2</v>
      </c>
      <c r="V39" s="63">
        <v>4.7500000000000001E-2</v>
      </c>
      <c r="W39" s="63">
        <v>0.05</v>
      </c>
      <c r="X39" s="63">
        <v>0.05</v>
      </c>
      <c r="Y39" s="63">
        <v>0.05</v>
      </c>
      <c r="Z39" s="63">
        <v>0.05</v>
      </c>
      <c r="AA39" s="63">
        <v>0.05</v>
      </c>
      <c r="AB39" s="63">
        <v>0.05</v>
      </c>
      <c r="AC39" s="63">
        <v>0.05</v>
      </c>
      <c r="AD39" s="63">
        <v>0.05</v>
      </c>
      <c r="AE39" s="63">
        <v>0.05</v>
      </c>
      <c r="AF39" s="63">
        <v>0.05</v>
      </c>
      <c r="AG39" s="63">
        <v>0.05</v>
      </c>
      <c r="AH39" s="63">
        <v>0.05</v>
      </c>
      <c r="AI39" s="63">
        <v>0.05</v>
      </c>
      <c r="AJ39" s="63">
        <v>0.05</v>
      </c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</row>
    <row r="40" spans="1:48" ht="24" customHeight="1" x14ac:dyDescent="0.15">
      <c r="A40" s="50" t="s">
        <v>84</v>
      </c>
      <c r="B40" s="38">
        <f>L37</f>
        <v>45116</v>
      </c>
      <c r="C40" s="41" t="s">
        <v>85</v>
      </c>
      <c r="D40" s="39">
        <f ca="1">+D39/(1+B37/2)</f>
        <v>5.3874286763895611</v>
      </c>
      <c r="E40" s="37"/>
      <c r="F40" s="10" t="s">
        <v>29</v>
      </c>
      <c r="H40" s="19"/>
      <c r="I40" s="20"/>
      <c r="J40" s="20"/>
      <c r="K40" s="20"/>
      <c r="L40" s="76">
        <f>L39/2*L43</f>
        <v>0.75</v>
      </c>
      <c r="M40" s="76">
        <f t="shared" ref="M40:AJ40" si="21">M39/2*M43</f>
        <v>1.8124999999999998</v>
      </c>
      <c r="N40" s="76">
        <f t="shared" si="21"/>
        <v>1.8124999999999998</v>
      </c>
      <c r="O40" s="76">
        <f t="shared" si="21"/>
        <v>2.0625</v>
      </c>
      <c r="P40" s="76">
        <f t="shared" si="21"/>
        <v>2.0625</v>
      </c>
      <c r="Q40" s="76">
        <f t="shared" si="21"/>
        <v>2.0625</v>
      </c>
      <c r="R40" s="76">
        <f t="shared" si="21"/>
        <v>2.0625</v>
      </c>
      <c r="S40" s="76">
        <f t="shared" si="21"/>
        <v>2.0625</v>
      </c>
      <c r="T40" s="76">
        <f t="shared" si="21"/>
        <v>2.0625</v>
      </c>
      <c r="U40" s="76">
        <f t="shared" si="21"/>
        <v>2.375</v>
      </c>
      <c r="V40" s="76">
        <f t="shared" si="21"/>
        <v>2.375</v>
      </c>
      <c r="W40" s="76">
        <f t="shared" si="21"/>
        <v>2.5</v>
      </c>
      <c r="X40" s="76">
        <f t="shared" si="21"/>
        <v>2.5</v>
      </c>
      <c r="Y40" s="76">
        <f t="shared" si="21"/>
        <v>2.5</v>
      </c>
      <c r="Z40" s="76">
        <f t="shared" si="21"/>
        <v>2.5</v>
      </c>
      <c r="AA40" s="76">
        <f t="shared" si="21"/>
        <v>2.5</v>
      </c>
      <c r="AB40" s="76">
        <f t="shared" si="21"/>
        <v>2.25</v>
      </c>
      <c r="AC40" s="76">
        <f t="shared" si="21"/>
        <v>2</v>
      </c>
      <c r="AD40" s="76">
        <f t="shared" si="21"/>
        <v>1.75</v>
      </c>
      <c r="AE40" s="76">
        <f t="shared" si="21"/>
        <v>1.5</v>
      </c>
      <c r="AF40" s="76">
        <f t="shared" si="21"/>
        <v>1.25</v>
      </c>
      <c r="AG40" s="76">
        <f t="shared" si="21"/>
        <v>1</v>
      </c>
      <c r="AH40" s="76">
        <f t="shared" si="21"/>
        <v>0.75</v>
      </c>
      <c r="AI40" s="76">
        <f t="shared" si="21"/>
        <v>0.5</v>
      </c>
      <c r="AJ40" s="76">
        <f t="shared" si="21"/>
        <v>0.25</v>
      </c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</row>
    <row r="41" spans="1:48" ht="24" customHeight="1" x14ac:dyDescent="0.15">
      <c r="A41" s="50" t="s">
        <v>86</v>
      </c>
      <c r="B41" s="38">
        <f>K37</f>
        <v>44935</v>
      </c>
      <c r="C41" s="41" t="s">
        <v>13</v>
      </c>
      <c r="D41" s="39">
        <f ca="1">SUM(H49:AV49)/D37</f>
        <v>35.837075113911588</v>
      </c>
      <c r="E41" s="37"/>
      <c r="F41" s="10" t="s">
        <v>28</v>
      </c>
      <c r="H41" s="72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10</v>
      </c>
      <c r="AB41" s="73">
        <v>10</v>
      </c>
      <c r="AC41" s="73">
        <v>10</v>
      </c>
      <c r="AD41" s="73">
        <v>10</v>
      </c>
      <c r="AE41" s="73">
        <v>10</v>
      </c>
      <c r="AF41" s="73">
        <v>10</v>
      </c>
      <c r="AG41" s="73">
        <v>10</v>
      </c>
      <c r="AH41" s="73">
        <v>10</v>
      </c>
      <c r="AI41" s="73">
        <v>10</v>
      </c>
      <c r="AJ41" s="73">
        <v>10</v>
      </c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4"/>
    </row>
    <row r="42" spans="1:48" ht="24" customHeight="1" x14ac:dyDescent="0.15">
      <c r="A42" s="50" t="s">
        <v>88</v>
      </c>
      <c r="B42" s="61">
        <v>0.75</v>
      </c>
      <c r="E42" s="37"/>
      <c r="F42" s="11" t="s">
        <v>92</v>
      </c>
      <c r="G42">
        <f>-B44</f>
        <v>-30</v>
      </c>
      <c r="H42" s="19">
        <f t="shared" ref="H42:AJ42" si="22">IF(H38&lt;0,0,H41+H40)</f>
        <v>0</v>
      </c>
      <c r="I42" s="23">
        <f t="shared" ca="1" si="22"/>
        <v>0</v>
      </c>
      <c r="J42" s="23">
        <f t="shared" ca="1" si="22"/>
        <v>0</v>
      </c>
      <c r="K42" s="23">
        <f t="shared" ca="1" si="22"/>
        <v>0</v>
      </c>
      <c r="L42" s="23">
        <f t="shared" ca="1" si="22"/>
        <v>0</v>
      </c>
      <c r="M42" s="23">
        <f t="shared" ca="1" si="22"/>
        <v>0</v>
      </c>
      <c r="N42" s="23">
        <f t="shared" ca="1" si="22"/>
        <v>1.8124999999999998</v>
      </c>
      <c r="O42" s="23">
        <f t="shared" ca="1" si="22"/>
        <v>2.0625</v>
      </c>
      <c r="P42" s="23">
        <f t="shared" ca="1" si="22"/>
        <v>2.0625</v>
      </c>
      <c r="Q42" s="23">
        <f t="shared" ca="1" si="22"/>
        <v>2.0625</v>
      </c>
      <c r="R42" s="23">
        <f t="shared" ca="1" si="22"/>
        <v>2.0625</v>
      </c>
      <c r="S42" s="23">
        <f t="shared" ca="1" si="22"/>
        <v>2.0625</v>
      </c>
      <c r="T42" s="23">
        <f t="shared" ca="1" si="22"/>
        <v>2.0625</v>
      </c>
      <c r="U42" s="23">
        <f t="shared" ca="1" si="22"/>
        <v>2.375</v>
      </c>
      <c r="V42" s="23">
        <f t="shared" ca="1" si="22"/>
        <v>2.375</v>
      </c>
      <c r="W42" s="23">
        <f t="shared" ca="1" si="22"/>
        <v>2.5</v>
      </c>
      <c r="X42" s="23">
        <f t="shared" ca="1" si="22"/>
        <v>2.5</v>
      </c>
      <c r="Y42" s="23">
        <f t="shared" ca="1" si="22"/>
        <v>2.5</v>
      </c>
      <c r="Z42" s="23">
        <f t="shared" ca="1" si="22"/>
        <v>2.5</v>
      </c>
      <c r="AA42" s="23">
        <f t="shared" ca="1" si="22"/>
        <v>12.5</v>
      </c>
      <c r="AB42" s="23">
        <f t="shared" ca="1" si="22"/>
        <v>12.25</v>
      </c>
      <c r="AC42" s="23">
        <f t="shared" ca="1" si="22"/>
        <v>12</v>
      </c>
      <c r="AD42" s="23">
        <f t="shared" ca="1" si="22"/>
        <v>11.75</v>
      </c>
      <c r="AE42" s="23">
        <f t="shared" ca="1" si="22"/>
        <v>11.5</v>
      </c>
      <c r="AF42" s="23">
        <f t="shared" ca="1" si="22"/>
        <v>11.25</v>
      </c>
      <c r="AG42" s="23">
        <f t="shared" ca="1" si="22"/>
        <v>11</v>
      </c>
      <c r="AH42" s="23">
        <f t="shared" ca="1" si="22"/>
        <v>10.75</v>
      </c>
      <c r="AI42" s="23">
        <f t="shared" ca="1" si="22"/>
        <v>10.5</v>
      </c>
      <c r="AJ42" s="23">
        <f t="shared" ca="1" si="22"/>
        <v>10.25</v>
      </c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4"/>
    </row>
    <row r="43" spans="1:48" ht="24" customHeight="1" x14ac:dyDescent="0.15">
      <c r="F43" s="12" t="s">
        <v>89</v>
      </c>
      <c r="H43" s="25">
        <f>B39</f>
        <v>100</v>
      </c>
      <c r="I43" s="26">
        <f t="shared" ref="I43:AJ43" si="23">H43-H41</f>
        <v>100</v>
      </c>
      <c r="J43" s="26">
        <f t="shared" si="23"/>
        <v>100</v>
      </c>
      <c r="K43" s="26">
        <f t="shared" si="23"/>
        <v>100</v>
      </c>
      <c r="L43" s="26">
        <f t="shared" si="23"/>
        <v>100</v>
      </c>
      <c r="M43" s="26">
        <f t="shared" si="23"/>
        <v>100</v>
      </c>
      <c r="N43" s="26">
        <f t="shared" si="23"/>
        <v>100</v>
      </c>
      <c r="O43" s="26">
        <f t="shared" si="23"/>
        <v>100</v>
      </c>
      <c r="P43" s="26">
        <f t="shared" si="23"/>
        <v>100</v>
      </c>
      <c r="Q43" s="26">
        <f t="shared" si="23"/>
        <v>100</v>
      </c>
      <c r="R43" s="26">
        <f t="shared" si="23"/>
        <v>100</v>
      </c>
      <c r="S43" s="26">
        <f t="shared" si="23"/>
        <v>100</v>
      </c>
      <c r="T43" s="26">
        <f t="shared" si="23"/>
        <v>100</v>
      </c>
      <c r="U43" s="26">
        <f t="shared" si="23"/>
        <v>100</v>
      </c>
      <c r="V43" s="26">
        <f t="shared" si="23"/>
        <v>100</v>
      </c>
      <c r="W43" s="26">
        <f t="shared" si="23"/>
        <v>100</v>
      </c>
      <c r="X43" s="26">
        <f t="shared" si="23"/>
        <v>100</v>
      </c>
      <c r="Y43" s="26">
        <f t="shared" si="23"/>
        <v>100</v>
      </c>
      <c r="Z43" s="26">
        <f t="shared" si="23"/>
        <v>100</v>
      </c>
      <c r="AA43" s="26">
        <f t="shared" si="23"/>
        <v>100</v>
      </c>
      <c r="AB43" s="26">
        <f t="shared" si="23"/>
        <v>90</v>
      </c>
      <c r="AC43" s="26">
        <f t="shared" si="23"/>
        <v>80</v>
      </c>
      <c r="AD43" s="26">
        <f t="shared" si="23"/>
        <v>70</v>
      </c>
      <c r="AE43" s="26">
        <f t="shared" si="23"/>
        <v>60</v>
      </c>
      <c r="AF43" s="26">
        <f t="shared" si="23"/>
        <v>50</v>
      </c>
      <c r="AG43" s="26">
        <f t="shared" si="23"/>
        <v>40</v>
      </c>
      <c r="AH43" s="26">
        <f t="shared" si="23"/>
        <v>30</v>
      </c>
      <c r="AI43" s="26">
        <f t="shared" si="23"/>
        <v>20</v>
      </c>
      <c r="AJ43" s="26">
        <f t="shared" si="23"/>
        <v>10</v>
      </c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7"/>
    </row>
    <row r="44" spans="1:48" ht="24" customHeight="1" x14ac:dyDescent="0.15">
      <c r="A44" s="44" t="s">
        <v>11</v>
      </c>
      <c r="B44" s="91">
        <f>'Monitor Bonos'!M13</f>
        <v>30</v>
      </c>
      <c r="C44" s="48" t="s">
        <v>77</v>
      </c>
      <c r="D44" s="69">
        <f ca="1">XIRR(G42:AV42,G37:AV37)</f>
        <v>0.27033814787864685</v>
      </c>
      <c r="E44" s="31"/>
      <c r="F44" s="11" t="s">
        <v>102</v>
      </c>
      <c r="H44" s="52">
        <f>+H42/(1+$B$4)^(H38)</f>
        <v>0</v>
      </c>
      <c r="I44" s="53">
        <f ca="1">+I42/(1+$B$4)^(I38)</f>
        <v>0</v>
      </c>
      <c r="J44" s="53">
        <f ca="1">+J42/(1+$B$4)^(J38)</f>
        <v>0</v>
      </c>
      <c r="K44" s="53">
        <f ca="1">+K42/(1+$B$4)^(K38)</f>
        <v>0</v>
      </c>
      <c r="L44" s="54">
        <f ca="1">+L42/(1+$B$37)^(L38)</f>
        <v>0</v>
      </c>
      <c r="M44" s="54">
        <f ca="1">+M42/(1+$B$37)^(M38)</f>
        <v>0</v>
      </c>
      <c r="N44" s="54">
        <f t="shared" ref="N44:AJ44" ca="1" si="24">+N42/(1+$B$37)^(N38)</f>
        <v>1.80888215992609</v>
      </c>
      <c r="O44" s="54">
        <f t="shared" ca="1" si="24"/>
        <v>1.8776307631231779</v>
      </c>
      <c r="P44" s="54">
        <f t="shared" ca="1" si="24"/>
        <v>1.7153192895850859</v>
      </c>
      <c r="Q44" s="54">
        <f t="shared" ca="1" si="24"/>
        <v>1.5646923026026482</v>
      </c>
      <c r="R44" s="54">
        <f t="shared" ca="1" si="24"/>
        <v>1.4294327413209049</v>
      </c>
      <c r="S44" s="54">
        <f t="shared" ca="1" si="24"/>
        <v>1.3039102521688735</v>
      </c>
      <c r="T44" s="54">
        <f t="shared" ca="1" si="24"/>
        <v>1.1911939511007541</v>
      </c>
      <c r="U44" s="54">
        <f t="shared" ca="1" si="24"/>
        <v>1.2512270096569997</v>
      </c>
      <c r="V44" s="54">
        <f t="shared" ca="1" si="24"/>
        <v>1.1424940715280916</v>
      </c>
      <c r="W44" s="54">
        <f t="shared" ca="1" si="24"/>
        <v>1.0970194420443802</v>
      </c>
      <c r="X44" s="54">
        <f t="shared" ca="1" si="24"/>
        <v>1.0021877820421854</v>
      </c>
      <c r="Y44" s="54">
        <f t="shared" ca="1" si="24"/>
        <v>0.91418286837031681</v>
      </c>
      <c r="Z44" s="54">
        <f t="shared" ca="1" si="24"/>
        <v>0.83515648503515472</v>
      </c>
      <c r="AA44" s="54">
        <f t="shared" ca="1" si="24"/>
        <v>3.8090952848763209</v>
      </c>
      <c r="AB44" s="54">
        <f t="shared" ca="1" si="24"/>
        <v>3.4102223138935477</v>
      </c>
      <c r="AC44" s="54">
        <f t="shared" ca="1" si="24"/>
        <v>3.0472762279010563</v>
      </c>
      <c r="AD44" s="54">
        <f t="shared" ca="1" si="24"/>
        <v>2.7244967156458126</v>
      </c>
      <c r="AE44" s="54">
        <f t="shared" ca="1" si="24"/>
        <v>2.4323733531990759</v>
      </c>
      <c r="AF44" s="54">
        <f t="shared" ca="1" si="24"/>
        <v>2.1738005709939996</v>
      </c>
      <c r="AG44" s="54">
        <f t="shared" ca="1" si="24"/>
        <v>1.9388483250137567</v>
      </c>
      <c r="AH44" s="54">
        <f t="shared" ca="1" si="24"/>
        <v>1.7309893435692962</v>
      </c>
      <c r="AI44" s="54">
        <f t="shared" ca="1" si="24"/>
        <v>1.5422657130791244</v>
      </c>
      <c r="AJ44" s="54">
        <f t="shared" ca="1" si="24"/>
        <v>1.3753985094252161</v>
      </c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5"/>
    </row>
    <row r="45" spans="1:48" ht="24" customHeight="1" x14ac:dyDescent="0.15">
      <c r="C45" s="41" t="s">
        <v>83</v>
      </c>
      <c r="D45" s="39">
        <f ca="1">SUM(H47:AV47)/B44</f>
        <v>8.161937388797611</v>
      </c>
      <c r="F45" s="11" t="s">
        <v>103</v>
      </c>
      <c r="H45" s="56">
        <f t="shared" ref="H45:AJ45" ca="1" si="25">+H42/(1+$D$11)^(H38)</f>
        <v>0</v>
      </c>
      <c r="I45" s="57">
        <f t="shared" ca="1" si="25"/>
        <v>0</v>
      </c>
      <c r="J45" s="57">
        <f t="shared" ca="1" si="25"/>
        <v>0</v>
      </c>
      <c r="K45" s="57">
        <f t="shared" ca="1" si="25"/>
        <v>0</v>
      </c>
      <c r="L45" s="57">
        <f t="shared" ca="1" si="25"/>
        <v>0</v>
      </c>
      <c r="M45" s="57">
        <f t="shared" ca="1" si="25"/>
        <v>0</v>
      </c>
      <c r="N45" s="57">
        <f t="shared" ca="1" si="25"/>
        <v>1.8080498458329861</v>
      </c>
      <c r="O45" s="57">
        <f t="shared" ca="1" si="25"/>
        <v>1.837452021398954</v>
      </c>
      <c r="P45" s="57">
        <f t="shared" ca="1" si="25"/>
        <v>1.6440173114746794</v>
      </c>
      <c r="Q45" s="57">
        <f t="shared" ca="1" si="25"/>
        <v>1.4682366236353297</v>
      </c>
      <c r="R45" s="57">
        <f t="shared" ca="1" si="25"/>
        <v>1.3136704515200623</v>
      </c>
      <c r="S45" s="57">
        <f t="shared" ca="1" si="25"/>
        <v>1.1732109235390018</v>
      </c>
      <c r="T45" s="57">
        <f t="shared" ca="1" si="25"/>
        <v>1.0497030920245902</v>
      </c>
      <c r="U45" s="57">
        <f t="shared" ca="1" si="25"/>
        <v>1.0795078374815099</v>
      </c>
      <c r="V45" s="57">
        <f t="shared" ca="1" si="25"/>
        <v>0.96527103461450481</v>
      </c>
      <c r="W45" s="57">
        <f t="shared" ca="1" si="25"/>
        <v>0.90743460185414593</v>
      </c>
      <c r="X45" s="57">
        <f t="shared" ca="1" si="25"/>
        <v>0.81190593120550181</v>
      </c>
      <c r="Y45" s="57">
        <f t="shared" ca="1" si="25"/>
        <v>0.72509578507624128</v>
      </c>
      <c r="Z45" s="57">
        <f t="shared" ca="1" si="25"/>
        <v>0.64876253053675659</v>
      </c>
      <c r="AA45" s="57">
        <f t="shared" ca="1" si="25"/>
        <v>2.8969795534633902</v>
      </c>
      <c r="AB45" s="57">
        <f t="shared" ca="1" si="25"/>
        <v>2.5401647454123926</v>
      </c>
      <c r="AC45" s="57">
        <f t="shared" ca="1" si="25"/>
        <v>2.2222694098298756</v>
      </c>
      <c r="AD45" s="57">
        <f t="shared" ca="1" si="25"/>
        <v>1.9457041410279741</v>
      </c>
      <c r="AE45" s="57">
        <f t="shared" ca="1" si="25"/>
        <v>1.7006950337010309</v>
      </c>
      <c r="AF45" s="57">
        <f t="shared" ca="1" si="25"/>
        <v>1.4885776844330174</v>
      </c>
      <c r="AG45" s="57">
        <f t="shared" ca="1" si="25"/>
        <v>1.2998742282615039</v>
      </c>
      <c r="AH45" s="57">
        <f t="shared" ca="1" si="25"/>
        <v>1.1365995793471231</v>
      </c>
      <c r="AI45" s="57">
        <f t="shared" ca="1" si="25"/>
        <v>0.99146638047882463</v>
      </c>
      <c r="AJ45" s="57">
        <f t="shared" ca="1" si="25"/>
        <v>0.86597017999264492</v>
      </c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8"/>
    </row>
    <row r="46" spans="1:48" ht="24" customHeight="1" x14ac:dyDescent="0.15">
      <c r="C46" s="41" t="s">
        <v>85</v>
      </c>
      <c r="D46" s="39">
        <f ca="1">+D45/(1+D44/2)</f>
        <v>7.1900632039539509</v>
      </c>
      <c r="F46" s="60" t="s">
        <v>104</v>
      </c>
      <c r="N46" s="1"/>
      <c r="O46" s="1"/>
      <c r="AC46" s="4"/>
    </row>
    <row r="47" spans="1:48" ht="24" customHeight="1" x14ac:dyDescent="0.15">
      <c r="C47" s="41" t="s">
        <v>13</v>
      </c>
      <c r="D47" s="39">
        <f ca="1">SUM(H50:AV50)/B44</f>
        <v>32.115892761627983</v>
      </c>
      <c r="F47" s="59" t="s">
        <v>105</v>
      </c>
      <c r="H47">
        <f t="shared" ref="H47:AJ47" si="26">H44*H38</f>
        <v>0</v>
      </c>
      <c r="I47">
        <f t="shared" ca="1" si="26"/>
        <v>0</v>
      </c>
      <c r="J47">
        <f t="shared" ca="1" si="26"/>
        <v>0</v>
      </c>
      <c r="K47">
        <f t="shared" ca="1" si="26"/>
        <v>0</v>
      </c>
      <c r="L47">
        <f t="shared" ca="1" si="26"/>
        <v>0</v>
      </c>
      <c r="M47">
        <f t="shared" ca="1" si="26"/>
        <v>0</v>
      </c>
      <c r="N47">
        <f t="shared" ca="1" si="26"/>
        <v>1.9823366136176329E-2</v>
      </c>
      <c r="O47">
        <f t="shared" ca="1" si="26"/>
        <v>0.96710844785522587</v>
      </c>
      <c r="P47">
        <f t="shared" ca="1" si="26"/>
        <v>1.7341173091969773</v>
      </c>
      <c r="Q47">
        <f t="shared" ca="1" si="26"/>
        <v>2.3706160091486699</v>
      </c>
      <c r="R47">
        <f t="shared" ca="1" si="26"/>
        <v>2.8745304989850524</v>
      </c>
      <c r="S47">
        <f t="shared" ca="1" si="26"/>
        <v>3.2794235931260984</v>
      </c>
      <c r="T47">
        <f t="shared" ca="1" si="26"/>
        <v>3.5866360335882979</v>
      </c>
      <c r="U47">
        <f t="shared" ca="1" si="26"/>
        <v>4.398148639424468</v>
      </c>
      <c r="V47">
        <f t="shared" ca="1" si="26"/>
        <v>4.5856268898319286</v>
      </c>
      <c r="W47">
        <f t="shared" ca="1" si="26"/>
        <v>4.9561234518662545</v>
      </c>
      <c r="X47">
        <f t="shared" ca="1" si="26"/>
        <v>5.0246675099649289</v>
      </c>
      <c r="Y47">
        <f t="shared" ca="1" si="26"/>
        <v>5.0442857449255287</v>
      </c>
      <c r="Z47">
        <f t="shared" ca="1" si="26"/>
        <v>5.0223794100059305</v>
      </c>
      <c r="AA47">
        <f t="shared" ca="1" si="26"/>
        <v>24.826952555399362</v>
      </c>
      <c r="AB47">
        <f t="shared" ca="1" si="26"/>
        <v>23.918271571417758</v>
      </c>
      <c r="AC47">
        <f t="shared" ca="1" si="26"/>
        <v>22.908838272220546</v>
      </c>
      <c r="AD47">
        <f t="shared" ca="1" si="26"/>
        <v>21.84075997254698</v>
      </c>
      <c r="AE47">
        <f t="shared" ca="1" si="26"/>
        <v>20.725153776572945</v>
      </c>
      <c r="AF47">
        <f t="shared" ca="1" si="26"/>
        <v>19.599938846962338</v>
      </c>
      <c r="AG47">
        <f t="shared" ca="1" si="26"/>
        <v>18.458898436774806</v>
      </c>
      <c r="AH47">
        <f t="shared" ca="1" si="26"/>
        <v>17.338348055039308</v>
      </c>
      <c r="AI47">
        <f t="shared" ca="1" si="26"/>
        <v>16.225480378695444</v>
      </c>
      <c r="AJ47">
        <f t="shared" ca="1" si="26"/>
        <v>15.151992894243273</v>
      </c>
    </row>
    <row r="48" spans="1:48" ht="24" customHeight="1" x14ac:dyDescent="0.15">
      <c r="F48" s="2" t="s">
        <v>106</v>
      </c>
      <c r="H48">
        <f t="shared" ref="H48:AJ48" si="27">H38*(H38+1)</f>
        <v>0</v>
      </c>
      <c r="I48">
        <f t="shared" ca="1" si="27"/>
        <v>3.7008369300056296</v>
      </c>
      <c r="J48">
        <f t="shared" ca="1" si="27"/>
        <v>1.9754100206417713</v>
      </c>
      <c r="K48">
        <f t="shared" ca="1" si="27"/>
        <v>0.72549446425220487</v>
      </c>
      <c r="L48">
        <f t="shared" ca="1" si="27"/>
        <v>-8.1516231938449663E-3</v>
      </c>
      <c r="M48">
        <f t="shared" ca="1" si="27"/>
        <v>-0.24984800150121975</v>
      </c>
      <c r="N48">
        <f t="shared" ca="1" si="27"/>
        <v>1.1079001688872209E-2</v>
      </c>
      <c r="O48">
        <f t="shared" ca="1" si="27"/>
        <v>0.7803640457872022</v>
      </c>
      <c r="P48">
        <f t="shared" ca="1" si="27"/>
        <v>2.0329968099080502</v>
      </c>
      <c r="Q48">
        <f t="shared" ca="1" si="27"/>
        <v>3.8105010320885726</v>
      </c>
      <c r="R48">
        <f t="shared" ca="1" si="27"/>
        <v>6.0549146181272278</v>
      </c>
      <c r="S48">
        <f t="shared" ca="1" si="27"/>
        <v>8.8406380183899422</v>
      </c>
      <c r="T48">
        <f t="shared" ca="1" si="27"/>
        <v>12.076832426346407</v>
      </c>
      <c r="U48">
        <f t="shared" ca="1" si="27"/>
        <v>15.870775004691312</v>
      </c>
      <c r="V48">
        <f t="shared" ca="1" si="27"/>
        <v>20.123475323700504</v>
      </c>
      <c r="W48">
        <f t="shared" ca="1" si="27"/>
        <v>24.928399324451117</v>
      </c>
      <c r="X48">
        <f t="shared" ca="1" si="27"/>
        <v>30.150872583974476</v>
      </c>
      <c r="Y48">
        <f t="shared" ca="1" si="27"/>
        <v>35.964015762807286</v>
      </c>
      <c r="Z48">
        <f t="shared" ca="1" si="27"/>
        <v>42.178269844248447</v>
      </c>
      <c r="AA48">
        <f t="shared" ca="1" si="27"/>
        <v>48.99963220116345</v>
      </c>
      <c r="AB48">
        <f t="shared" ca="1" si="27"/>
        <v>56.205667104522419</v>
      </c>
      <c r="AC48">
        <f t="shared" ca="1" si="27"/>
        <v>64.035248639519608</v>
      </c>
      <c r="AD48">
        <f t="shared" ca="1" si="27"/>
        <v>72.279722274347918</v>
      </c>
      <c r="AE48">
        <f t="shared" ca="1" si="27"/>
        <v>81.120285231750785</v>
      </c>
      <c r="AF48">
        <f t="shared" ca="1" si="27"/>
        <v>90.31259898667669</v>
      </c>
      <c r="AG48">
        <f t="shared" ca="1" si="27"/>
        <v>100.16138112216174</v>
      </c>
      <c r="AH48">
        <f t="shared" ca="1" si="27"/>
        <v>110.34547569900545</v>
      </c>
      <c r="AI48">
        <f t="shared" ca="1" si="27"/>
        <v>121.2024770125727</v>
      </c>
      <c r="AJ48">
        <f t="shared" ca="1" si="27"/>
        <v>132.37835241133422</v>
      </c>
    </row>
    <row r="49" spans="1:249" ht="24" customHeight="1" x14ac:dyDescent="0.2">
      <c r="A49" s="62"/>
      <c r="F49" s="42" t="s">
        <v>107</v>
      </c>
      <c r="H49" s="7">
        <f>(H42/(1+$B$4)^(H38+2))*H48</f>
        <v>0</v>
      </c>
      <c r="I49" s="7">
        <f t="shared" ref="I49:AJ49" ca="1" si="28">(I42/(1+$B$4)^(I38+2))*I48</f>
        <v>0</v>
      </c>
      <c r="J49" s="7">
        <f t="shared" ca="1" si="28"/>
        <v>0</v>
      </c>
      <c r="K49" s="7">
        <f t="shared" ca="1" si="28"/>
        <v>0</v>
      </c>
      <c r="L49" s="7">
        <f t="shared" ca="1" si="28"/>
        <v>0</v>
      </c>
      <c r="M49" s="7">
        <f t="shared" ca="1" si="28"/>
        <v>0</v>
      </c>
      <c r="N49" s="7">
        <f t="shared" ca="1" si="28"/>
        <v>1.3917089239438865E-2</v>
      </c>
      <c r="O49" s="7">
        <f t="shared" ca="1" si="28"/>
        <v>1.0175246797259132</v>
      </c>
      <c r="P49" s="7">
        <f t="shared" ca="1" si="28"/>
        <v>2.4216935025695991</v>
      </c>
      <c r="Q49" s="7">
        <f t="shared" ca="1" si="28"/>
        <v>4.1404594680336357</v>
      </c>
      <c r="R49" s="7">
        <f t="shared" ca="1" si="28"/>
        <v>6.0104813896205718</v>
      </c>
      <c r="S49" s="7">
        <f t="shared" ca="1" si="28"/>
        <v>8.0051378804809445</v>
      </c>
      <c r="T49" s="7">
        <f t="shared" ca="1" si="28"/>
        <v>9.9901734268897808</v>
      </c>
      <c r="U49" s="7">
        <f t="shared" ca="1" si="28"/>
        <v>13.790237743096508</v>
      </c>
      <c r="V49" s="7">
        <f t="shared" ca="1" si="28"/>
        <v>15.965938372131715</v>
      </c>
      <c r="W49" s="7">
        <f t="shared" ca="1" si="28"/>
        <v>18.990929665256164</v>
      </c>
      <c r="X49" s="7">
        <f t="shared" ca="1" si="28"/>
        <v>20.98391397331244</v>
      </c>
      <c r="Y49" s="7">
        <f t="shared" ca="1" si="28"/>
        <v>22.831727144554485</v>
      </c>
      <c r="Z49" s="7">
        <f t="shared" ca="1" si="28"/>
        <v>24.462121936101937</v>
      </c>
      <c r="AA49" s="7">
        <f t="shared" ca="1" si="28"/>
        <v>129.61407498480943</v>
      </c>
      <c r="AB49" s="7">
        <f t="shared" ca="1" si="28"/>
        <v>133.1068195327187</v>
      </c>
      <c r="AC49" s="7">
        <f t="shared" ca="1" si="28"/>
        <v>135.50909092148723</v>
      </c>
      <c r="AD49" s="7">
        <f t="shared" ca="1" si="28"/>
        <v>136.75407357239752</v>
      </c>
      <c r="AE49" s="7">
        <f t="shared" ca="1" si="28"/>
        <v>137.02418069556884</v>
      </c>
      <c r="AF49" s="7">
        <f t="shared" ca="1" si="28"/>
        <v>136.33443003138191</v>
      </c>
      <c r="AG49" s="7">
        <f t="shared" ca="1" si="28"/>
        <v>134.85953195817211</v>
      </c>
      <c r="AH49" s="7">
        <f t="shared" ca="1" si="28"/>
        <v>132.64364065698831</v>
      </c>
      <c r="AI49" s="7">
        <f t="shared" ca="1" si="28"/>
        <v>129.81001710885528</v>
      </c>
      <c r="AJ49" s="7">
        <f t="shared" ca="1" si="28"/>
        <v>126.439575407441</v>
      </c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</row>
    <row r="50" spans="1:249" ht="24" customHeight="1" x14ac:dyDescent="0.2">
      <c r="A50" s="62"/>
      <c r="F50" s="42" t="s">
        <v>108</v>
      </c>
      <c r="H50">
        <f ca="1">(H42/(1+$D$11)^(H38+2))*H48</f>
        <v>0</v>
      </c>
      <c r="I50">
        <f t="shared" ref="I50:AJ50" ca="1" si="29">(I42/(1+$D$11)^(I38+2))*I48</f>
        <v>0</v>
      </c>
      <c r="J50">
        <f t="shared" ca="1" si="29"/>
        <v>0</v>
      </c>
      <c r="K50">
        <f t="shared" ca="1" si="29"/>
        <v>0</v>
      </c>
      <c r="L50">
        <f t="shared" ca="1" si="29"/>
        <v>0</v>
      </c>
      <c r="M50">
        <f t="shared" ca="1" si="29"/>
        <v>0</v>
      </c>
      <c r="N50">
        <f t="shared" ca="1" si="29"/>
        <v>1.2790016890283524E-2</v>
      </c>
      <c r="O50">
        <f t="shared" ca="1" si="29"/>
        <v>0.91553162285463541</v>
      </c>
      <c r="P50">
        <f t="shared" ca="1" si="29"/>
        <v>2.1340430374366082</v>
      </c>
      <c r="Q50">
        <f t="shared" ca="1" si="29"/>
        <v>3.5722202382300758</v>
      </c>
      <c r="R50">
        <f t="shared" ca="1" si="29"/>
        <v>5.078723215862226</v>
      </c>
      <c r="S50">
        <f t="shared" ca="1" si="29"/>
        <v>6.6224669067010185</v>
      </c>
      <c r="T50">
        <f t="shared" ca="1" si="29"/>
        <v>8.0943057808916983</v>
      </c>
      <c r="U50">
        <f t="shared" ca="1" si="29"/>
        <v>10.939161264221248</v>
      </c>
      <c r="V50">
        <f t="shared" ca="1" si="29"/>
        <v>12.402588935488019</v>
      </c>
      <c r="W50">
        <f t="shared" ca="1" si="29"/>
        <v>14.443412628701095</v>
      </c>
      <c r="X50">
        <f t="shared" ca="1" si="29"/>
        <v>15.630241547190412</v>
      </c>
      <c r="Y50">
        <f t="shared" ca="1" si="29"/>
        <v>16.650360850901269</v>
      </c>
      <c r="Z50">
        <f t="shared" ca="1" si="29"/>
        <v>17.471677722659706</v>
      </c>
      <c r="AA50">
        <f t="shared" ca="1" si="29"/>
        <v>90.63550112317759</v>
      </c>
      <c r="AB50">
        <f t="shared" ca="1" si="29"/>
        <v>91.159530794520791</v>
      </c>
      <c r="AC50">
        <f t="shared" ca="1" si="29"/>
        <v>90.860662356698001</v>
      </c>
      <c r="AD50">
        <f t="shared" ca="1" si="29"/>
        <v>89.795250949313584</v>
      </c>
      <c r="AE50">
        <f t="shared" ca="1" si="29"/>
        <v>88.087848494717974</v>
      </c>
      <c r="AF50">
        <f t="shared" ca="1" si="29"/>
        <v>85.838068097666323</v>
      </c>
      <c r="AG50">
        <f t="shared" ca="1" si="29"/>
        <v>83.130755586822517</v>
      </c>
      <c r="AH50">
        <f t="shared" ca="1" si="29"/>
        <v>80.079640048592694</v>
      </c>
      <c r="AI50">
        <f t="shared" ca="1" si="29"/>
        <v>76.727240325484203</v>
      </c>
      <c r="AJ50">
        <f t="shared" ca="1" si="29"/>
        <v>73.194761303817472</v>
      </c>
    </row>
    <row r="51" spans="1:249" ht="24" customHeight="1" x14ac:dyDescent="0.15"/>
    <row r="52" spans="1:249" ht="24" customHeight="1" x14ac:dyDescent="0.15"/>
    <row r="53" spans="1:249" ht="24" customHeight="1" x14ac:dyDescent="0.25">
      <c r="A53" s="36" t="s">
        <v>75</v>
      </c>
      <c r="C53" s="36" t="s">
        <v>76</v>
      </c>
      <c r="F53" s="241" t="s">
        <v>109</v>
      </c>
      <c r="G53" s="34" t="s">
        <v>100</v>
      </c>
    </row>
    <row r="54" spans="1:249" ht="24" customHeight="1" x14ac:dyDescent="0.15">
      <c r="A54" s="44" t="s">
        <v>77</v>
      </c>
      <c r="B54" s="45">
        <f>'Monitor Bonos'!C12</f>
        <v>0.2</v>
      </c>
      <c r="C54" s="46" t="s">
        <v>11</v>
      </c>
      <c r="D54" s="70">
        <f ca="1">SUM(H61:Z61)</f>
        <v>61.933702825738592</v>
      </c>
      <c r="E54" s="37"/>
      <c r="F54" s="8" t="s">
        <v>101</v>
      </c>
      <c r="G54" s="28">
        <f ca="1">B55</f>
        <v>45478</v>
      </c>
      <c r="H54" s="28">
        <v>44386</v>
      </c>
      <c r="I54" s="29">
        <v>44570</v>
      </c>
      <c r="J54" s="29">
        <v>44751</v>
      </c>
      <c r="K54" s="29">
        <v>44935</v>
      </c>
      <c r="L54" s="29">
        <v>45116</v>
      </c>
      <c r="M54" s="29">
        <v>45300</v>
      </c>
      <c r="N54" s="29">
        <v>45482</v>
      </c>
      <c r="O54" s="29">
        <v>45666</v>
      </c>
      <c r="P54" s="29">
        <v>45847</v>
      </c>
      <c r="Q54" s="29">
        <v>46031</v>
      </c>
      <c r="R54" s="29">
        <v>46212</v>
      </c>
      <c r="S54" s="29">
        <v>46396</v>
      </c>
      <c r="T54" s="29">
        <v>46577</v>
      </c>
      <c r="U54" s="29">
        <v>46761</v>
      </c>
      <c r="V54" s="29">
        <v>46943</v>
      </c>
      <c r="W54" s="29">
        <v>47127</v>
      </c>
      <c r="X54" s="29">
        <v>47308</v>
      </c>
      <c r="Y54" s="29">
        <v>47492</v>
      </c>
      <c r="Z54" s="29">
        <v>47673</v>
      </c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30"/>
    </row>
    <row r="55" spans="1:249" ht="24" customHeight="1" x14ac:dyDescent="0.15">
      <c r="A55" s="43" t="s">
        <v>79</v>
      </c>
      <c r="B55" s="38">
        <f ca="1">'Monitor Bonos'!$C$7</f>
        <v>45478</v>
      </c>
      <c r="C55" s="41" t="s">
        <v>80</v>
      </c>
      <c r="D55" s="40">
        <f ca="1">+B59*((B55-B58)/(B57-B58))</f>
        <v>0.75</v>
      </c>
      <c r="E55" s="37"/>
      <c r="F55" s="9" t="s">
        <v>81</v>
      </c>
      <c r="H55" s="16">
        <v>0</v>
      </c>
      <c r="I55" s="17">
        <f ca="1">+(I54-$B$55)/365</f>
        <v>-2.4876712328767123</v>
      </c>
      <c r="J55" s="17">
        <f t="shared" ref="J55:Z55" ca="1" si="30">+(J54-$B$55)/365</f>
        <v>-1.9917808219178081</v>
      </c>
      <c r="K55" s="17">
        <f t="shared" ca="1" si="30"/>
        <v>-1.4876712328767123</v>
      </c>
      <c r="L55" s="17">
        <f t="shared" ca="1" si="30"/>
        <v>-0.99178082191780825</v>
      </c>
      <c r="M55" s="17">
        <f t="shared" ca="1" si="30"/>
        <v>-0.48767123287671232</v>
      </c>
      <c r="N55" s="17">
        <f t="shared" ca="1" si="30"/>
        <v>1.0958904109589041E-2</v>
      </c>
      <c r="O55" s="17">
        <f t="shared" ca="1" si="30"/>
        <v>0.51506849315068493</v>
      </c>
      <c r="P55" s="17">
        <f t="shared" ca="1" si="30"/>
        <v>1.010958904109589</v>
      </c>
      <c r="Q55" s="17">
        <f t="shared" ca="1" si="30"/>
        <v>1.515068493150685</v>
      </c>
      <c r="R55" s="17">
        <f t="shared" ca="1" si="30"/>
        <v>2.010958904109589</v>
      </c>
      <c r="S55" s="17">
        <f t="shared" ca="1" si="30"/>
        <v>2.515068493150685</v>
      </c>
      <c r="T55" s="17">
        <f t="shared" ca="1" si="30"/>
        <v>3.010958904109589</v>
      </c>
      <c r="U55" s="17">
        <f t="shared" ca="1" si="30"/>
        <v>3.515068493150685</v>
      </c>
      <c r="V55" s="17">
        <f t="shared" ca="1" si="30"/>
        <v>4.0136986301369859</v>
      </c>
      <c r="W55" s="17">
        <f t="shared" ca="1" si="30"/>
        <v>4.5178082191780824</v>
      </c>
      <c r="X55" s="17">
        <f t="shared" ca="1" si="30"/>
        <v>5.0136986301369859</v>
      </c>
      <c r="Y55" s="17">
        <f t="shared" ca="1" si="30"/>
        <v>5.5178082191780824</v>
      </c>
      <c r="Z55" s="17">
        <f t="shared" ca="1" si="30"/>
        <v>6.0136986301369859</v>
      </c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8"/>
    </row>
    <row r="56" spans="1:249" ht="24" customHeight="1" x14ac:dyDescent="0.15">
      <c r="A56" s="50" t="s">
        <v>82</v>
      </c>
      <c r="B56" s="51">
        <v>100</v>
      </c>
      <c r="C56" s="41" t="s">
        <v>83</v>
      </c>
      <c r="D56" s="39">
        <f ca="1">SUM(H64:AV64)/D54</f>
        <v>2.5298523005949392</v>
      </c>
      <c r="E56" s="37"/>
      <c r="F56" s="10" t="s">
        <v>87</v>
      </c>
      <c r="H56" s="14"/>
      <c r="I56" s="13"/>
      <c r="J56" s="13"/>
      <c r="K56" s="13"/>
      <c r="L56" s="65">
        <v>5.0000000000000001E-3</v>
      </c>
      <c r="M56" s="66">
        <v>7.4999999999999997E-3</v>
      </c>
      <c r="N56" s="66">
        <v>7.4999999999999997E-3</v>
      </c>
      <c r="O56" s="66">
        <v>7.4999999999999997E-3</v>
      </c>
      <c r="P56" s="66">
        <v>7.4999999999999997E-3</v>
      </c>
      <c r="Q56" s="66">
        <v>7.4999999999999997E-3</v>
      </c>
      <c r="R56" s="66">
        <v>7.4999999999999997E-3</v>
      </c>
      <c r="S56" s="66">
        <v>7.4999999999999997E-3</v>
      </c>
      <c r="T56" s="66">
        <v>7.4999999999999997E-3</v>
      </c>
      <c r="U56" s="66">
        <v>1.7500000000000002E-2</v>
      </c>
      <c r="V56" s="66">
        <v>1.7500000000000002E-2</v>
      </c>
      <c r="W56" s="66">
        <v>1.7500000000000002E-2</v>
      </c>
      <c r="X56" s="66">
        <v>1.7500000000000002E-2</v>
      </c>
      <c r="Y56" s="66">
        <v>1.7500000000000002E-2</v>
      </c>
      <c r="Z56" s="66">
        <v>1.7500000000000002E-2</v>
      </c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8"/>
    </row>
    <row r="57" spans="1:249" ht="24" customHeight="1" x14ac:dyDescent="0.15">
      <c r="A57" s="50" t="s">
        <v>84</v>
      </c>
      <c r="B57" s="38">
        <f>L54</f>
        <v>45116</v>
      </c>
      <c r="C57" s="41" t="s">
        <v>85</v>
      </c>
      <c r="D57" s="39">
        <f ca="1">+D56/(1+B54/2)</f>
        <v>2.299865727813581</v>
      </c>
      <c r="E57" s="37"/>
      <c r="F57" s="10" t="s">
        <v>29</v>
      </c>
      <c r="H57" s="19"/>
      <c r="I57" s="20"/>
      <c r="J57" s="20"/>
      <c r="K57" s="20"/>
      <c r="L57" s="21">
        <f>L56/2*L60</f>
        <v>0.25</v>
      </c>
      <c r="M57" s="21">
        <f t="shared" ref="M57:Z57" si="31">M56/2*M60</f>
        <v>0.375</v>
      </c>
      <c r="N57" s="21">
        <f t="shared" si="31"/>
        <v>0.375</v>
      </c>
      <c r="O57" s="21">
        <f t="shared" si="31"/>
        <v>0.36</v>
      </c>
      <c r="P57" s="21">
        <f t="shared" si="31"/>
        <v>0.32999999999999996</v>
      </c>
      <c r="Q57" s="21">
        <f t="shared" si="31"/>
        <v>0.3</v>
      </c>
      <c r="R57" s="21">
        <f t="shared" si="31"/>
        <v>0.27</v>
      </c>
      <c r="S57" s="21">
        <f t="shared" si="31"/>
        <v>0.24</v>
      </c>
      <c r="T57" s="21">
        <f t="shared" si="31"/>
        <v>0.21</v>
      </c>
      <c r="U57" s="21">
        <f t="shared" si="31"/>
        <v>0.42000000000000004</v>
      </c>
      <c r="V57" s="21">
        <f t="shared" si="31"/>
        <v>0.35000000000000003</v>
      </c>
      <c r="W57" s="21">
        <f t="shared" si="31"/>
        <v>0.28000000000000003</v>
      </c>
      <c r="X57" s="21">
        <f t="shared" si="31"/>
        <v>0.21000000000000002</v>
      </c>
      <c r="Y57" s="21">
        <f t="shared" si="31"/>
        <v>0.14000000000000001</v>
      </c>
      <c r="Z57" s="21">
        <f t="shared" si="31"/>
        <v>7.0000000000000007E-2</v>
      </c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2"/>
    </row>
    <row r="58" spans="1:249" ht="24" customHeight="1" x14ac:dyDescent="0.15">
      <c r="A58" s="50" t="s">
        <v>86</v>
      </c>
      <c r="B58" s="38">
        <f>K54</f>
        <v>44935</v>
      </c>
      <c r="C58" s="41" t="s">
        <v>13</v>
      </c>
      <c r="D58" s="39">
        <f ca="1">SUM(H66:AV66)/D54</f>
        <v>8.3409454523409821</v>
      </c>
      <c r="E58" s="37"/>
      <c r="F58" s="10" t="s">
        <v>28</v>
      </c>
      <c r="H58" s="19">
        <v>0</v>
      </c>
      <c r="I58" s="23">
        <v>0</v>
      </c>
      <c r="J58" s="23">
        <v>0</v>
      </c>
      <c r="K58" s="23">
        <v>0</v>
      </c>
      <c r="L58" s="23">
        <v>0</v>
      </c>
      <c r="M58" s="23">
        <v>0</v>
      </c>
      <c r="N58" s="23">
        <v>4</v>
      </c>
      <c r="O58" s="23">
        <v>8</v>
      </c>
      <c r="P58" s="23">
        <v>8</v>
      </c>
      <c r="Q58" s="23">
        <v>8</v>
      </c>
      <c r="R58" s="23">
        <v>8</v>
      </c>
      <c r="S58" s="23">
        <v>8</v>
      </c>
      <c r="T58" s="23">
        <v>8</v>
      </c>
      <c r="U58" s="23">
        <v>8</v>
      </c>
      <c r="V58" s="23">
        <v>8</v>
      </c>
      <c r="W58" s="23">
        <v>8</v>
      </c>
      <c r="X58" s="23">
        <v>8</v>
      </c>
      <c r="Y58" s="23">
        <v>8</v>
      </c>
      <c r="Z58" s="23">
        <v>8</v>
      </c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</row>
    <row r="59" spans="1:249" ht="24" customHeight="1" x14ac:dyDescent="0.2">
      <c r="A59" s="50" t="s">
        <v>88</v>
      </c>
      <c r="B59" s="61">
        <f>L57</f>
        <v>0.25</v>
      </c>
      <c r="E59" s="37"/>
      <c r="F59" s="11" t="s">
        <v>92</v>
      </c>
      <c r="G59">
        <f>-B61</f>
        <v>-30</v>
      </c>
      <c r="H59" s="19">
        <f t="shared" ref="H59:Z59" si="32">IF(H55&lt;0,0,H58+H57)</f>
        <v>0</v>
      </c>
      <c r="I59" s="23">
        <f t="shared" ca="1" si="32"/>
        <v>0</v>
      </c>
      <c r="J59" s="23">
        <f t="shared" ca="1" si="32"/>
        <v>0</v>
      </c>
      <c r="K59" s="23">
        <f t="shared" ca="1" si="32"/>
        <v>0</v>
      </c>
      <c r="L59" s="23">
        <f t="shared" ca="1" si="32"/>
        <v>0</v>
      </c>
      <c r="M59" s="23">
        <f t="shared" ca="1" si="32"/>
        <v>0</v>
      </c>
      <c r="N59" s="23">
        <f t="shared" ca="1" si="32"/>
        <v>4.375</v>
      </c>
      <c r="O59" s="23">
        <f t="shared" ca="1" si="32"/>
        <v>8.36</v>
      </c>
      <c r="P59" s="23">
        <f t="shared" ca="1" si="32"/>
        <v>8.33</v>
      </c>
      <c r="Q59" s="23">
        <f t="shared" ca="1" si="32"/>
        <v>8.3000000000000007</v>
      </c>
      <c r="R59" s="23">
        <f t="shared" ca="1" si="32"/>
        <v>8.27</v>
      </c>
      <c r="S59" s="23">
        <f t="shared" ca="1" si="32"/>
        <v>8.24</v>
      </c>
      <c r="T59" s="23">
        <f t="shared" ca="1" si="32"/>
        <v>8.2100000000000009</v>
      </c>
      <c r="U59" s="23">
        <f t="shared" ca="1" si="32"/>
        <v>8.42</v>
      </c>
      <c r="V59" s="23">
        <f t="shared" ca="1" si="32"/>
        <v>8.35</v>
      </c>
      <c r="W59" s="23">
        <f t="shared" ca="1" si="32"/>
        <v>8.2799999999999994</v>
      </c>
      <c r="X59" s="23">
        <f t="shared" ca="1" si="32"/>
        <v>8.2100000000000009</v>
      </c>
      <c r="Y59" s="23">
        <f t="shared" ca="1" si="32"/>
        <v>8.14</v>
      </c>
      <c r="Z59" s="23">
        <f t="shared" ca="1" si="32"/>
        <v>8.07</v>
      </c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4"/>
      <c r="AX59" s="242"/>
      <c r="AY59" s="242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42"/>
      <c r="BU59" s="242"/>
      <c r="BV59" s="242"/>
      <c r="BW59" s="242"/>
      <c r="BX59" s="242"/>
      <c r="BY59" s="242"/>
      <c r="BZ59" s="242" t="s">
        <v>110</v>
      </c>
      <c r="CA59" s="242" t="s">
        <v>110</v>
      </c>
      <c r="CB59" s="242" t="s">
        <v>110</v>
      </c>
      <c r="CC59" s="242" t="s">
        <v>110</v>
      </c>
      <c r="CD59" s="242" t="s">
        <v>110</v>
      </c>
      <c r="CE59" s="242" t="s">
        <v>110</v>
      </c>
      <c r="CF59" s="242" t="s">
        <v>110</v>
      </c>
      <c r="CG59" s="242" t="s">
        <v>110</v>
      </c>
      <c r="CH59" s="242" t="s">
        <v>110</v>
      </c>
      <c r="CI59" s="242" t="s">
        <v>110</v>
      </c>
      <c r="CJ59" s="242" t="s">
        <v>110</v>
      </c>
      <c r="CK59" s="242" t="s">
        <v>110</v>
      </c>
      <c r="CL59" s="242" t="s">
        <v>110</v>
      </c>
      <c r="CM59" s="242" t="s">
        <v>110</v>
      </c>
      <c r="CN59" s="242" t="s">
        <v>110</v>
      </c>
      <c r="CO59" s="242" t="s">
        <v>110</v>
      </c>
      <c r="CP59" s="242" t="s">
        <v>110</v>
      </c>
      <c r="CQ59" s="242" t="s">
        <v>110</v>
      </c>
      <c r="CR59" s="242" t="s">
        <v>110</v>
      </c>
      <c r="CS59" s="242" t="s">
        <v>110</v>
      </c>
      <c r="CT59" s="242" t="s">
        <v>110</v>
      </c>
      <c r="CU59" s="242" t="s">
        <v>110</v>
      </c>
      <c r="CV59" s="242" t="s">
        <v>110</v>
      </c>
      <c r="CW59" s="242" t="s">
        <v>110</v>
      </c>
      <c r="CX59" s="242" t="s">
        <v>110</v>
      </c>
      <c r="CY59" s="242" t="s">
        <v>110</v>
      </c>
      <c r="CZ59" s="242" t="s">
        <v>110</v>
      </c>
      <c r="DA59" s="242" t="s">
        <v>110</v>
      </c>
      <c r="DB59" s="242" t="s">
        <v>110</v>
      </c>
      <c r="DC59" s="242" t="s">
        <v>110</v>
      </c>
      <c r="DD59" s="242" t="s">
        <v>110</v>
      </c>
      <c r="DE59" s="242" t="s">
        <v>110</v>
      </c>
      <c r="DF59" s="242" t="s">
        <v>110</v>
      </c>
      <c r="DG59" s="242" t="s">
        <v>110</v>
      </c>
      <c r="DH59" s="242" t="s">
        <v>110</v>
      </c>
      <c r="DI59" s="242" t="s">
        <v>110</v>
      </c>
      <c r="DJ59" s="242" t="s">
        <v>110</v>
      </c>
      <c r="DK59" s="242" t="s">
        <v>110</v>
      </c>
      <c r="DL59" s="242" t="s">
        <v>110</v>
      </c>
      <c r="DM59" s="242" t="s">
        <v>110</v>
      </c>
      <c r="DN59" s="242" t="s">
        <v>110</v>
      </c>
      <c r="DO59" s="242" t="s">
        <v>110</v>
      </c>
      <c r="DP59" s="242" t="s">
        <v>110</v>
      </c>
      <c r="DQ59" s="242" t="s">
        <v>110</v>
      </c>
      <c r="DR59" s="242" t="s">
        <v>110</v>
      </c>
      <c r="DS59" s="242" t="s">
        <v>110</v>
      </c>
      <c r="DT59" s="242" t="s">
        <v>110</v>
      </c>
      <c r="DU59" s="242" t="s">
        <v>110</v>
      </c>
      <c r="DV59" s="242" t="s">
        <v>110</v>
      </c>
      <c r="DW59" s="242" t="s">
        <v>110</v>
      </c>
      <c r="DX59" s="242" t="s">
        <v>110</v>
      </c>
      <c r="DY59" s="242" t="s">
        <v>110</v>
      </c>
      <c r="DZ59" s="242" t="s">
        <v>110</v>
      </c>
      <c r="EA59" s="242" t="s">
        <v>110</v>
      </c>
      <c r="EB59" s="242" t="s">
        <v>110</v>
      </c>
      <c r="EC59" s="242" t="s">
        <v>110</v>
      </c>
      <c r="ED59" s="242" t="s">
        <v>110</v>
      </c>
      <c r="EE59" s="242" t="s">
        <v>110</v>
      </c>
      <c r="EF59" s="242" t="s">
        <v>110</v>
      </c>
      <c r="EG59" s="242" t="s">
        <v>110</v>
      </c>
      <c r="EH59" s="242" t="s">
        <v>110</v>
      </c>
      <c r="EI59" s="242" t="s">
        <v>110</v>
      </c>
      <c r="EJ59" s="242" t="s">
        <v>110</v>
      </c>
      <c r="EK59" s="242" t="s">
        <v>110</v>
      </c>
      <c r="EL59" s="242" t="s">
        <v>110</v>
      </c>
      <c r="EM59" s="242" t="s">
        <v>110</v>
      </c>
      <c r="EN59" s="242" t="s">
        <v>110</v>
      </c>
      <c r="EO59" s="242" t="s">
        <v>110</v>
      </c>
      <c r="EP59" s="242" t="s">
        <v>110</v>
      </c>
      <c r="EQ59" s="242" t="s">
        <v>110</v>
      </c>
      <c r="ER59" s="242" t="s">
        <v>110</v>
      </c>
      <c r="ES59" s="242" t="s">
        <v>110</v>
      </c>
      <c r="ET59" s="242" t="s">
        <v>110</v>
      </c>
      <c r="EU59" s="242" t="s">
        <v>110</v>
      </c>
      <c r="EV59" s="242" t="s">
        <v>110</v>
      </c>
      <c r="EW59" s="242" t="s">
        <v>110</v>
      </c>
      <c r="EX59" s="242" t="s">
        <v>110</v>
      </c>
      <c r="EY59" s="242" t="s">
        <v>110</v>
      </c>
      <c r="EZ59" s="242" t="s">
        <v>110</v>
      </c>
      <c r="FA59" s="242" t="s">
        <v>110</v>
      </c>
      <c r="FB59" s="242" t="s">
        <v>110</v>
      </c>
      <c r="FC59" s="242" t="s">
        <v>110</v>
      </c>
      <c r="FD59" s="242" t="s">
        <v>110</v>
      </c>
      <c r="FE59" s="242" t="s">
        <v>110</v>
      </c>
      <c r="FF59" s="242" t="s">
        <v>110</v>
      </c>
      <c r="FG59" s="242" t="s">
        <v>110</v>
      </c>
      <c r="FH59" s="242" t="s">
        <v>110</v>
      </c>
      <c r="FI59" s="242" t="s">
        <v>110</v>
      </c>
      <c r="FJ59" s="242" t="s">
        <v>110</v>
      </c>
      <c r="FK59" s="242" t="s">
        <v>110</v>
      </c>
      <c r="FL59" s="242" t="s">
        <v>110</v>
      </c>
      <c r="FM59" s="242" t="s">
        <v>110</v>
      </c>
      <c r="FN59" s="242" t="s">
        <v>110</v>
      </c>
      <c r="FO59" s="242" t="s">
        <v>110</v>
      </c>
      <c r="FP59" s="242" t="s">
        <v>110</v>
      </c>
      <c r="FQ59" s="242" t="s">
        <v>110</v>
      </c>
      <c r="FR59" s="242" t="s">
        <v>110</v>
      </c>
      <c r="FS59" s="242" t="s">
        <v>110</v>
      </c>
      <c r="FT59" s="242" t="s">
        <v>110</v>
      </c>
      <c r="FU59" s="242" t="s">
        <v>110</v>
      </c>
      <c r="FV59" s="242" t="s">
        <v>110</v>
      </c>
      <c r="FW59" s="242" t="s">
        <v>110</v>
      </c>
      <c r="FX59" s="242" t="s">
        <v>110</v>
      </c>
      <c r="FY59" s="242" t="s">
        <v>110</v>
      </c>
      <c r="FZ59" s="242" t="s">
        <v>110</v>
      </c>
      <c r="GA59" s="242" t="s">
        <v>110</v>
      </c>
      <c r="GB59" s="242" t="s">
        <v>110</v>
      </c>
      <c r="GC59" s="242" t="s">
        <v>110</v>
      </c>
      <c r="GD59" s="242" t="s">
        <v>110</v>
      </c>
      <c r="GE59" s="242" t="s">
        <v>110</v>
      </c>
      <c r="GF59" s="242" t="s">
        <v>110</v>
      </c>
      <c r="GG59" s="242" t="s">
        <v>110</v>
      </c>
      <c r="GH59" s="242" t="s">
        <v>110</v>
      </c>
      <c r="GI59" s="242" t="s">
        <v>110</v>
      </c>
      <c r="GJ59" s="242" t="s">
        <v>110</v>
      </c>
      <c r="GK59" s="242" t="s">
        <v>110</v>
      </c>
      <c r="GL59" s="242" t="s">
        <v>110</v>
      </c>
      <c r="GM59" s="242" t="s">
        <v>110</v>
      </c>
      <c r="GN59" s="242" t="s">
        <v>110</v>
      </c>
      <c r="GO59" s="242" t="s">
        <v>110</v>
      </c>
      <c r="GP59" s="242" t="s">
        <v>110</v>
      </c>
      <c r="GQ59" s="242" t="s">
        <v>110</v>
      </c>
      <c r="GR59" s="242" t="s">
        <v>110</v>
      </c>
      <c r="GS59" s="242" t="s">
        <v>110</v>
      </c>
      <c r="GT59" s="242" t="s">
        <v>110</v>
      </c>
      <c r="GU59" s="242" t="s">
        <v>110</v>
      </c>
      <c r="GV59" s="242" t="s">
        <v>110</v>
      </c>
      <c r="GW59" s="242" t="s">
        <v>110</v>
      </c>
      <c r="GX59" s="242" t="s">
        <v>110</v>
      </c>
      <c r="GY59" s="242" t="s">
        <v>110</v>
      </c>
      <c r="GZ59" s="242" t="s">
        <v>110</v>
      </c>
      <c r="HA59" s="242" t="s">
        <v>110</v>
      </c>
      <c r="HB59" s="242" t="s">
        <v>110</v>
      </c>
      <c r="HC59" s="242" t="s">
        <v>110</v>
      </c>
      <c r="HD59" s="242" t="s">
        <v>110</v>
      </c>
      <c r="HE59" s="242" t="s">
        <v>110</v>
      </c>
      <c r="HF59" s="242" t="s">
        <v>110</v>
      </c>
      <c r="HG59" s="242" t="s">
        <v>110</v>
      </c>
      <c r="HH59" s="242" t="s">
        <v>110</v>
      </c>
      <c r="HI59" s="242" t="s">
        <v>110</v>
      </c>
      <c r="HJ59" s="242" t="s">
        <v>110</v>
      </c>
      <c r="HK59" s="242" t="s">
        <v>110</v>
      </c>
      <c r="HL59" s="242" t="s">
        <v>110</v>
      </c>
      <c r="HM59" s="242" t="s">
        <v>110</v>
      </c>
      <c r="HN59" s="242" t="s">
        <v>110</v>
      </c>
      <c r="HO59" s="242" t="s">
        <v>110</v>
      </c>
      <c r="HP59" s="242" t="s">
        <v>110</v>
      </c>
      <c r="HQ59" s="242" t="s">
        <v>110</v>
      </c>
      <c r="HR59" s="242" t="s">
        <v>110</v>
      </c>
      <c r="HS59" s="242" t="s">
        <v>110</v>
      </c>
      <c r="HT59" s="242" t="s">
        <v>110</v>
      </c>
      <c r="HU59" s="242" t="s">
        <v>110</v>
      </c>
      <c r="HV59" s="242" t="s">
        <v>110</v>
      </c>
      <c r="HW59" s="242" t="s">
        <v>110</v>
      </c>
      <c r="HX59" s="242" t="s">
        <v>110</v>
      </c>
      <c r="HY59" s="242" t="s">
        <v>110</v>
      </c>
      <c r="HZ59" s="242" t="s">
        <v>110</v>
      </c>
      <c r="IA59" s="242" t="s">
        <v>110</v>
      </c>
      <c r="IB59" s="242" t="s">
        <v>110</v>
      </c>
      <c r="IC59" s="242" t="s">
        <v>110</v>
      </c>
      <c r="ID59" s="242" t="s">
        <v>110</v>
      </c>
      <c r="IE59" s="242" t="s">
        <v>110</v>
      </c>
      <c r="IF59" s="242" t="s">
        <v>110</v>
      </c>
      <c r="IG59" s="242" t="s">
        <v>110</v>
      </c>
      <c r="IH59" s="242" t="s">
        <v>110</v>
      </c>
      <c r="II59" s="242" t="s">
        <v>110</v>
      </c>
      <c r="IJ59" s="242" t="s">
        <v>110</v>
      </c>
    </row>
    <row r="60" spans="1:249" ht="24" customHeight="1" x14ac:dyDescent="0.2">
      <c r="F60" s="12" t="s">
        <v>89</v>
      </c>
      <c r="H60" s="25">
        <f>B56</f>
        <v>100</v>
      </c>
      <c r="I60" s="26">
        <f t="shared" ref="I60:Z60" si="33">H60-H58</f>
        <v>100</v>
      </c>
      <c r="J60" s="26">
        <f t="shared" si="33"/>
        <v>100</v>
      </c>
      <c r="K60" s="26">
        <f t="shared" si="33"/>
        <v>100</v>
      </c>
      <c r="L60" s="26">
        <f t="shared" si="33"/>
        <v>100</v>
      </c>
      <c r="M60" s="26">
        <f t="shared" si="33"/>
        <v>100</v>
      </c>
      <c r="N60" s="26">
        <f t="shared" si="33"/>
        <v>100</v>
      </c>
      <c r="O60" s="26">
        <f t="shared" si="33"/>
        <v>96</v>
      </c>
      <c r="P60" s="26">
        <f t="shared" si="33"/>
        <v>88</v>
      </c>
      <c r="Q60" s="26">
        <f t="shared" si="33"/>
        <v>80</v>
      </c>
      <c r="R60" s="26">
        <f t="shared" si="33"/>
        <v>72</v>
      </c>
      <c r="S60" s="26">
        <f t="shared" si="33"/>
        <v>64</v>
      </c>
      <c r="T60" s="26">
        <f t="shared" si="33"/>
        <v>56</v>
      </c>
      <c r="U60" s="26">
        <f t="shared" si="33"/>
        <v>48</v>
      </c>
      <c r="V60" s="26">
        <f t="shared" si="33"/>
        <v>40</v>
      </c>
      <c r="W60" s="26">
        <f t="shared" si="33"/>
        <v>32</v>
      </c>
      <c r="X60" s="26">
        <f t="shared" si="33"/>
        <v>24</v>
      </c>
      <c r="Y60" s="26">
        <f t="shared" si="33"/>
        <v>16</v>
      </c>
      <c r="Z60" s="26">
        <f t="shared" si="33"/>
        <v>8</v>
      </c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7"/>
      <c r="AX60" s="242"/>
      <c r="AY60" s="242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42"/>
      <c r="BU60" s="242"/>
      <c r="BV60" s="242"/>
      <c r="BW60" s="242"/>
      <c r="BX60" s="242"/>
      <c r="BY60" s="242"/>
      <c r="BZ60" s="242"/>
      <c r="CA60" s="242"/>
      <c r="CB60" s="242"/>
      <c r="CC60" s="242"/>
      <c r="CD60" s="242"/>
      <c r="CE60" s="242" t="s">
        <v>39</v>
      </c>
      <c r="CF60" s="242" t="s">
        <v>39</v>
      </c>
      <c r="CG60" s="242" t="s">
        <v>39</v>
      </c>
      <c r="CH60" s="242" t="s">
        <v>39</v>
      </c>
      <c r="CI60" s="242" t="s">
        <v>39</v>
      </c>
      <c r="CJ60" s="242" t="s">
        <v>39</v>
      </c>
      <c r="CK60" s="242" t="s">
        <v>39</v>
      </c>
      <c r="CL60" s="242" t="s">
        <v>39</v>
      </c>
      <c r="CM60" s="242" t="s">
        <v>39</v>
      </c>
      <c r="CN60" s="242" t="s">
        <v>39</v>
      </c>
      <c r="CO60" s="242" t="s">
        <v>39</v>
      </c>
      <c r="CP60" s="242" t="s">
        <v>39</v>
      </c>
      <c r="CQ60" s="242" t="s">
        <v>39</v>
      </c>
      <c r="CR60" s="242" t="s">
        <v>39</v>
      </c>
      <c r="CS60" s="242" t="s">
        <v>39</v>
      </c>
      <c r="CT60" s="242" t="s">
        <v>39</v>
      </c>
      <c r="CU60" s="242" t="s">
        <v>39</v>
      </c>
      <c r="CV60" s="242" t="s">
        <v>39</v>
      </c>
      <c r="CW60" s="242" t="s">
        <v>39</v>
      </c>
      <c r="CX60" s="242" t="s">
        <v>39</v>
      </c>
      <c r="CY60" s="242" t="s">
        <v>39</v>
      </c>
      <c r="CZ60" s="242" t="s">
        <v>39</v>
      </c>
      <c r="DA60" s="242" t="s">
        <v>39</v>
      </c>
      <c r="DB60" s="242" t="s">
        <v>39</v>
      </c>
      <c r="DC60" s="242" t="s">
        <v>39</v>
      </c>
      <c r="DD60" s="242" t="s">
        <v>39</v>
      </c>
      <c r="DE60" s="242" t="s">
        <v>39</v>
      </c>
      <c r="DF60" s="242" t="s">
        <v>39</v>
      </c>
      <c r="DG60" s="242" t="s">
        <v>39</v>
      </c>
      <c r="DH60" s="242" t="s">
        <v>39</v>
      </c>
      <c r="DI60" s="242" t="s">
        <v>39</v>
      </c>
      <c r="DJ60" s="242" t="s">
        <v>39</v>
      </c>
      <c r="DK60" s="242" t="s">
        <v>39</v>
      </c>
      <c r="DL60" s="242" t="s">
        <v>39</v>
      </c>
      <c r="DM60" s="242" t="s">
        <v>39</v>
      </c>
      <c r="DN60" s="242" t="s">
        <v>39</v>
      </c>
      <c r="DO60" s="242" t="s">
        <v>39</v>
      </c>
      <c r="DP60" s="242" t="s">
        <v>39</v>
      </c>
      <c r="DQ60" s="242" t="s">
        <v>39</v>
      </c>
      <c r="DR60" s="242" t="s">
        <v>39</v>
      </c>
      <c r="DS60" s="242" t="s">
        <v>39</v>
      </c>
      <c r="DT60" s="242" t="s">
        <v>39</v>
      </c>
      <c r="DU60" s="242" t="s">
        <v>39</v>
      </c>
      <c r="DV60" s="242" t="s">
        <v>39</v>
      </c>
      <c r="DW60" s="242" t="s">
        <v>39</v>
      </c>
      <c r="DX60" s="242" t="s">
        <v>39</v>
      </c>
      <c r="DY60" s="242" t="s">
        <v>39</v>
      </c>
      <c r="DZ60" s="242" t="s">
        <v>39</v>
      </c>
      <c r="EA60" s="242" t="s">
        <v>39</v>
      </c>
      <c r="EB60" s="242" t="s">
        <v>39</v>
      </c>
      <c r="EC60" s="242" t="s">
        <v>39</v>
      </c>
      <c r="ED60" s="242" t="s">
        <v>39</v>
      </c>
      <c r="EE60" s="242" t="s">
        <v>39</v>
      </c>
      <c r="EF60" s="242" t="s">
        <v>39</v>
      </c>
      <c r="EG60" s="242" t="s">
        <v>39</v>
      </c>
      <c r="EH60" s="242" t="s">
        <v>39</v>
      </c>
      <c r="EI60" s="242" t="s">
        <v>39</v>
      </c>
      <c r="EJ60" s="242" t="s">
        <v>39</v>
      </c>
      <c r="EK60" s="242" t="s">
        <v>39</v>
      </c>
      <c r="EL60" s="242" t="s">
        <v>39</v>
      </c>
      <c r="EM60" s="242" t="s">
        <v>39</v>
      </c>
      <c r="EN60" s="242" t="s">
        <v>39</v>
      </c>
      <c r="EO60" s="242" t="s">
        <v>39</v>
      </c>
      <c r="EP60" s="242" t="s">
        <v>39</v>
      </c>
      <c r="EQ60" s="242" t="s">
        <v>39</v>
      </c>
      <c r="ER60" s="242" t="s">
        <v>39</v>
      </c>
      <c r="ES60" s="242" t="s">
        <v>39</v>
      </c>
      <c r="ET60" s="242" t="s">
        <v>39</v>
      </c>
      <c r="EU60" s="242" t="s">
        <v>39</v>
      </c>
      <c r="EV60" s="242" t="s">
        <v>39</v>
      </c>
      <c r="EW60" s="242" t="s">
        <v>39</v>
      </c>
      <c r="EX60" s="242" t="s">
        <v>39</v>
      </c>
      <c r="EY60" s="242" t="s">
        <v>39</v>
      </c>
      <c r="EZ60" s="242" t="s">
        <v>39</v>
      </c>
      <c r="FA60" s="242" t="s">
        <v>39</v>
      </c>
      <c r="FB60" s="242" t="s">
        <v>39</v>
      </c>
      <c r="FC60" s="242" t="s">
        <v>39</v>
      </c>
      <c r="FD60" s="242" t="s">
        <v>39</v>
      </c>
      <c r="FE60" s="242" t="s">
        <v>39</v>
      </c>
      <c r="FF60" s="242" t="s">
        <v>39</v>
      </c>
      <c r="FG60" s="242" t="s">
        <v>39</v>
      </c>
      <c r="FH60" s="242" t="s">
        <v>39</v>
      </c>
      <c r="FI60" s="242" t="s">
        <v>39</v>
      </c>
      <c r="FJ60" s="242" t="s">
        <v>39</v>
      </c>
      <c r="FK60" s="242" t="s">
        <v>39</v>
      </c>
      <c r="FL60" s="242" t="s">
        <v>39</v>
      </c>
      <c r="FM60" s="242" t="s">
        <v>39</v>
      </c>
      <c r="FN60" s="242" t="s">
        <v>39</v>
      </c>
      <c r="FO60" s="242" t="s">
        <v>39</v>
      </c>
      <c r="FP60" s="242" t="s">
        <v>39</v>
      </c>
      <c r="FQ60" s="242" t="s">
        <v>39</v>
      </c>
      <c r="FR60" s="242" t="s">
        <v>39</v>
      </c>
      <c r="FS60" s="242" t="s">
        <v>39</v>
      </c>
      <c r="FT60" s="242" t="s">
        <v>39</v>
      </c>
      <c r="FU60" s="242" t="s">
        <v>39</v>
      </c>
      <c r="FV60" s="242" t="s">
        <v>39</v>
      </c>
      <c r="FW60" s="242" t="s">
        <v>39</v>
      </c>
      <c r="FX60" s="242" t="s">
        <v>39</v>
      </c>
      <c r="FY60" s="242" t="s">
        <v>39</v>
      </c>
      <c r="FZ60" s="242" t="s">
        <v>39</v>
      </c>
      <c r="GA60" s="242" t="s">
        <v>39</v>
      </c>
      <c r="GB60" s="242" t="s">
        <v>39</v>
      </c>
      <c r="GC60" s="242" t="s">
        <v>39</v>
      </c>
      <c r="GD60" s="242" t="s">
        <v>39</v>
      </c>
      <c r="GE60" s="242" t="s">
        <v>39</v>
      </c>
      <c r="GF60" s="242" t="s">
        <v>39</v>
      </c>
      <c r="GG60" s="242" t="s">
        <v>39</v>
      </c>
      <c r="GH60" s="242" t="s">
        <v>39</v>
      </c>
      <c r="GI60" s="242" t="s">
        <v>39</v>
      </c>
      <c r="GJ60" s="242" t="s">
        <v>39</v>
      </c>
      <c r="GK60" s="242" t="s">
        <v>39</v>
      </c>
      <c r="GL60" s="242" t="s">
        <v>39</v>
      </c>
      <c r="GM60" s="242" t="s">
        <v>39</v>
      </c>
      <c r="GN60" s="242" t="s">
        <v>39</v>
      </c>
      <c r="GO60" s="242" t="s">
        <v>39</v>
      </c>
      <c r="GP60" s="242" t="s">
        <v>39</v>
      </c>
      <c r="GQ60" s="242" t="s">
        <v>39</v>
      </c>
      <c r="GR60" s="242" t="s">
        <v>39</v>
      </c>
      <c r="GS60" s="242" t="s">
        <v>39</v>
      </c>
      <c r="GT60" s="242" t="s">
        <v>39</v>
      </c>
      <c r="GU60" s="242" t="s">
        <v>39</v>
      </c>
      <c r="GV60" s="242" t="s">
        <v>39</v>
      </c>
      <c r="GW60" s="242" t="s">
        <v>39</v>
      </c>
      <c r="GX60" s="242" t="s">
        <v>39</v>
      </c>
      <c r="GY60" s="242" t="s">
        <v>39</v>
      </c>
      <c r="GZ60" s="242" t="s">
        <v>39</v>
      </c>
      <c r="HA60" s="242" t="s">
        <v>39</v>
      </c>
      <c r="HB60" s="242" t="s">
        <v>39</v>
      </c>
      <c r="HC60" s="242" t="s">
        <v>39</v>
      </c>
      <c r="HD60" s="242" t="s">
        <v>39</v>
      </c>
      <c r="HE60" s="242" t="s">
        <v>39</v>
      </c>
      <c r="HF60" s="242" t="s">
        <v>39</v>
      </c>
      <c r="HG60" s="242" t="s">
        <v>39</v>
      </c>
      <c r="HH60" s="242" t="s">
        <v>39</v>
      </c>
      <c r="HI60" s="242" t="s">
        <v>39</v>
      </c>
      <c r="HJ60" s="242" t="s">
        <v>39</v>
      </c>
      <c r="HK60" s="242" t="s">
        <v>39</v>
      </c>
      <c r="HL60" s="242" t="s">
        <v>39</v>
      </c>
      <c r="HM60" s="242" t="s">
        <v>39</v>
      </c>
      <c r="HN60" s="242" t="s">
        <v>39</v>
      </c>
      <c r="HO60" s="242" t="s">
        <v>39</v>
      </c>
      <c r="HP60" s="242" t="s">
        <v>39</v>
      </c>
      <c r="HQ60" s="242" t="s">
        <v>39</v>
      </c>
      <c r="HR60" s="242" t="s">
        <v>39</v>
      </c>
      <c r="HS60" s="242" t="s">
        <v>39</v>
      </c>
      <c r="HT60" s="242" t="s">
        <v>39</v>
      </c>
      <c r="HU60" s="242" t="s">
        <v>39</v>
      </c>
      <c r="HV60" s="242" t="s">
        <v>39</v>
      </c>
      <c r="HW60" s="242" t="s">
        <v>39</v>
      </c>
      <c r="HX60" s="242" t="s">
        <v>39</v>
      </c>
      <c r="HY60" s="242" t="s">
        <v>39</v>
      </c>
      <c r="HZ60" s="242" t="s">
        <v>39</v>
      </c>
      <c r="IA60" s="242" t="s">
        <v>39</v>
      </c>
      <c r="IB60" s="242" t="s">
        <v>39</v>
      </c>
      <c r="IC60" s="242" t="s">
        <v>39</v>
      </c>
      <c r="ID60" s="242" t="s">
        <v>39</v>
      </c>
      <c r="IE60" s="242" t="s">
        <v>39</v>
      </c>
      <c r="IF60" s="242" t="s">
        <v>39</v>
      </c>
      <c r="IG60" s="242" t="s">
        <v>39</v>
      </c>
      <c r="IH60" s="242" t="s">
        <v>39</v>
      </c>
      <c r="II60" s="242" t="s">
        <v>39</v>
      </c>
      <c r="IJ60" s="242" t="s">
        <v>39</v>
      </c>
      <c r="IK60" s="242" t="s">
        <v>39</v>
      </c>
      <c r="IL60" s="242" t="s">
        <v>39</v>
      </c>
      <c r="IM60" s="242" t="s">
        <v>39</v>
      </c>
      <c r="IN60" s="242" t="s">
        <v>39</v>
      </c>
      <c r="IO60" s="242" t="s">
        <v>39</v>
      </c>
    </row>
    <row r="61" spans="1:249" ht="24" customHeight="1" x14ac:dyDescent="0.15">
      <c r="A61" s="44" t="s">
        <v>11</v>
      </c>
      <c r="B61" s="71">
        <f>'Monitor Bonos'!M12</f>
        <v>30</v>
      </c>
      <c r="C61" s="48" t="s">
        <v>77</v>
      </c>
      <c r="D61" s="49">
        <f ca="1">XIRR(G59:AV59,G54:AV54)</f>
        <v>0.71272310018539464</v>
      </c>
      <c r="E61" s="31"/>
      <c r="F61" s="11" t="s">
        <v>102</v>
      </c>
      <c r="H61" s="52">
        <f>+H59/(1+$B$21)^(H55)</f>
        <v>0</v>
      </c>
      <c r="I61" s="53">
        <f ca="1">+I59/(1+$B$21)^(I55)</f>
        <v>0</v>
      </c>
      <c r="J61" s="53">
        <f ca="1">+J59/(1+$B$21)^(J55)</f>
        <v>0</v>
      </c>
      <c r="K61" s="53">
        <f ca="1">+K59/(1+$B$21)^(K55)</f>
        <v>0</v>
      </c>
      <c r="L61" s="75">
        <f ca="1">+L59/(1+$B$54)^(L55)</f>
        <v>0</v>
      </c>
      <c r="M61" s="75">
        <f t="shared" ref="M61:Z61" ca="1" si="34">+M59/(1+$B$54)^(M55)</f>
        <v>0</v>
      </c>
      <c r="N61" s="75">
        <f t="shared" ca="1" si="34"/>
        <v>4.3662672825802176</v>
      </c>
      <c r="O61" s="75">
        <f t="shared" ca="1" si="34"/>
        <v>7.6106633598592808</v>
      </c>
      <c r="P61" s="75">
        <f t="shared" ca="1" si="34"/>
        <v>6.9278107550272807</v>
      </c>
      <c r="Q61" s="75">
        <f t="shared" ca="1" si="34"/>
        <v>6.2967011450191421</v>
      </c>
      <c r="R61" s="75">
        <f t="shared" ca="1" si="34"/>
        <v>5.7315921312600642</v>
      </c>
      <c r="S61" s="75">
        <f t="shared" ca="1" si="34"/>
        <v>5.2093190195740693</v>
      </c>
      <c r="T61" s="75">
        <f t="shared" ca="1" si="34"/>
        <v>4.741673861108942</v>
      </c>
      <c r="U61" s="75">
        <f t="shared" ca="1" si="34"/>
        <v>4.4359290194997634</v>
      </c>
      <c r="V61" s="75">
        <f t="shared" ca="1" si="34"/>
        <v>4.0167686304250791</v>
      </c>
      <c r="W61" s="75">
        <f t="shared" ca="1" si="34"/>
        <v>3.6333283920509873</v>
      </c>
      <c r="X61" s="75">
        <f t="shared" ca="1" si="34"/>
        <v>3.2911846762265373</v>
      </c>
      <c r="Y61" s="75">
        <f t="shared" ca="1" si="34"/>
        <v>2.9765794194137518</v>
      </c>
      <c r="Z61" s="75">
        <f t="shared" ca="1" si="34"/>
        <v>2.6958851336934795</v>
      </c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5"/>
    </row>
    <row r="62" spans="1:249" ht="24" customHeight="1" x14ac:dyDescent="0.15">
      <c r="C62" s="41" t="s">
        <v>83</v>
      </c>
      <c r="D62" s="39">
        <f ca="1">SUM(H64:AV64)/B61</f>
        <v>5.2227706859352692</v>
      </c>
      <c r="F62" s="11" t="s">
        <v>103</v>
      </c>
      <c r="H62" s="56">
        <f t="shared" ref="H62:Z62" ca="1" si="35">+H59/(1+$D$28)^(H55)</f>
        <v>0</v>
      </c>
      <c r="I62" s="57">
        <f t="shared" ca="1" si="35"/>
        <v>0</v>
      </c>
      <c r="J62" s="57">
        <f t="shared" ca="1" si="35"/>
        <v>0</v>
      </c>
      <c r="K62" s="57">
        <f t="shared" ca="1" si="35"/>
        <v>0</v>
      </c>
      <c r="L62" s="57">
        <f t="shared" ca="1" si="35"/>
        <v>0</v>
      </c>
      <c r="M62" s="57">
        <f t="shared" ca="1" si="35"/>
        <v>0</v>
      </c>
      <c r="N62" s="57">
        <f t="shared" ca="1" si="35"/>
        <v>4.3613674230893125</v>
      </c>
      <c r="O62" s="57">
        <f t="shared" ca="1" si="35"/>
        <v>7.2194368479027862</v>
      </c>
      <c r="P62" s="57">
        <f t="shared" ca="1" si="35"/>
        <v>6.2461298517138353</v>
      </c>
      <c r="Q62" s="57">
        <f t="shared" ca="1" si="35"/>
        <v>5.3913375772539522</v>
      </c>
      <c r="R62" s="57">
        <f t="shared" ca="1" si="35"/>
        <v>4.6643690608284842</v>
      </c>
      <c r="S62" s="57">
        <f t="shared" ca="1" si="35"/>
        <v>4.0259375556044565</v>
      </c>
      <c r="T62" s="57">
        <f t="shared" ca="1" si="35"/>
        <v>3.48298771603555</v>
      </c>
      <c r="U62" s="57">
        <f t="shared" ca="1" si="35"/>
        <v>3.0943775637872832</v>
      </c>
      <c r="V62" s="57">
        <f t="shared" ca="1" si="35"/>
        <v>2.662427588452823</v>
      </c>
      <c r="W62" s="57">
        <f t="shared" ca="1" si="35"/>
        <v>2.2870417488019754</v>
      </c>
      <c r="X62" s="57">
        <f t="shared" ca="1" si="35"/>
        <v>1.9690460619497907</v>
      </c>
      <c r="Y62" s="57">
        <f t="shared" ca="1" si="35"/>
        <v>1.6911788934595482</v>
      </c>
      <c r="Z62" s="57">
        <f t="shared" ca="1" si="35"/>
        <v>1.4558198697540923</v>
      </c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8"/>
    </row>
    <row r="63" spans="1:249" ht="24" customHeight="1" x14ac:dyDescent="0.15">
      <c r="C63" s="41" t="s">
        <v>85</v>
      </c>
      <c r="D63" s="39">
        <f ca="1">+D62/(1+D61/2)</f>
        <v>3.8505741227907349</v>
      </c>
      <c r="F63" s="60" t="s">
        <v>104</v>
      </c>
      <c r="N63" s="1"/>
      <c r="O63" s="1"/>
      <c r="AC63" s="4"/>
    </row>
    <row r="64" spans="1:249" ht="24" customHeight="1" x14ac:dyDescent="0.15">
      <c r="C64" s="41" t="s">
        <v>13</v>
      </c>
      <c r="D64" s="39">
        <f ca="1">SUM(H67:AV67)/B61</f>
        <v>2.1251473591094663</v>
      </c>
      <c r="F64" s="59" t="s">
        <v>105</v>
      </c>
      <c r="H64">
        <f t="shared" ref="H64:Z64" si="36">H61*H55</f>
        <v>0</v>
      </c>
      <c r="I64">
        <f t="shared" ca="1" si="36"/>
        <v>0</v>
      </c>
      <c r="J64">
        <f t="shared" ca="1" si="36"/>
        <v>0</v>
      </c>
      <c r="K64">
        <f t="shared" ca="1" si="36"/>
        <v>0</v>
      </c>
      <c r="L64">
        <f t="shared" ca="1" si="36"/>
        <v>0</v>
      </c>
      <c r="M64">
        <f t="shared" ca="1" si="36"/>
        <v>0</v>
      </c>
      <c r="N64">
        <f t="shared" ca="1" si="36"/>
        <v>4.7849504466632518E-2</v>
      </c>
      <c r="O64">
        <f t="shared" ca="1" si="36"/>
        <v>3.9200129086398485</v>
      </c>
      <c r="P64">
        <f t="shared" ca="1" si="36"/>
        <v>7.003731968781004</v>
      </c>
      <c r="Q64">
        <f t="shared" ca="1" si="36"/>
        <v>9.5399335156043445</v>
      </c>
      <c r="R64">
        <f t="shared" ca="1" si="36"/>
        <v>11.525996231081882</v>
      </c>
      <c r="S64">
        <f t="shared" ca="1" si="36"/>
        <v>13.101794136901358</v>
      </c>
      <c r="T64">
        <f t="shared" ca="1" si="36"/>
        <v>14.276985132489663</v>
      </c>
      <c r="U64">
        <f t="shared" ca="1" si="36"/>
        <v>15.592594334296429</v>
      </c>
      <c r="V64">
        <f t="shared" ca="1" si="36"/>
        <v>16.122098749514358</v>
      </c>
      <c r="W64">
        <f t="shared" ca="1" si="36"/>
        <v>16.414680872581037</v>
      </c>
      <c r="X64">
        <f t="shared" ca="1" si="36"/>
        <v>16.501008102724828</v>
      </c>
      <c r="Y64">
        <f t="shared" ca="1" si="36"/>
        <v>16.424194385477524</v>
      </c>
      <c r="Z64">
        <f t="shared" ca="1" si="36"/>
        <v>16.212240735499144</v>
      </c>
    </row>
    <row r="65" spans="1:48" ht="24" customHeight="1" x14ac:dyDescent="0.15">
      <c r="F65" s="2" t="s">
        <v>106</v>
      </c>
      <c r="H65">
        <f t="shared" ref="H65:Z65" si="37">H55*(H55+1)</f>
        <v>0</v>
      </c>
      <c r="I65">
        <f t="shared" ca="1" si="37"/>
        <v>3.7008369300056296</v>
      </c>
      <c r="J65">
        <f t="shared" ca="1" si="37"/>
        <v>1.9754100206417713</v>
      </c>
      <c r="K65">
        <f t="shared" ca="1" si="37"/>
        <v>0.72549446425220487</v>
      </c>
      <c r="L65">
        <f t="shared" ca="1" si="37"/>
        <v>-8.1516231938449663E-3</v>
      </c>
      <c r="M65">
        <f t="shared" ca="1" si="37"/>
        <v>-0.24984800150121975</v>
      </c>
      <c r="N65">
        <f t="shared" ca="1" si="37"/>
        <v>1.1079001688872209E-2</v>
      </c>
      <c r="O65">
        <f t="shared" ca="1" si="37"/>
        <v>0.7803640457872022</v>
      </c>
      <c r="P65">
        <f t="shared" ca="1" si="37"/>
        <v>2.0329968099080502</v>
      </c>
      <c r="Q65">
        <f t="shared" ca="1" si="37"/>
        <v>3.8105010320885726</v>
      </c>
      <c r="R65">
        <f t="shared" ca="1" si="37"/>
        <v>6.0549146181272278</v>
      </c>
      <c r="S65">
        <f t="shared" ca="1" si="37"/>
        <v>8.8406380183899422</v>
      </c>
      <c r="T65">
        <f t="shared" ca="1" si="37"/>
        <v>12.076832426346407</v>
      </c>
      <c r="U65">
        <f t="shared" ca="1" si="37"/>
        <v>15.870775004691312</v>
      </c>
      <c r="V65">
        <f t="shared" ca="1" si="37"/>
        <v>20.123475323700504</v>
      </c>
      <c r="W65">
        <f t="shared" ca="1" si="37"/>
        <v>24.928399324451117</v>
      </c>
      <c r="X65">
        <f t="shared" ca="1" si="37"/>
        <v>30.150872583974476</v>
      </c>
      <c r="Y65">
        <f t="shared" ca="1" si="37"/>
        <v>35.964015762807286</v>
      </c>
      <c r="Z65">
        <f t="shared" ca="1" si="37"/>
        <v>42.178269844248447</v>
      </c>
    </row>
    <row r="66" spans="1:48" ht="24" customHeight="1" x14ac:dyDescent="0.2">
      <c r="A66" s="6"/>
      <c r="F66" s="42" t="s">
        <v>107</v>
      </c>
      <c r="H66" s="77">
        <f>(H59/(1+$B$54)^(H55+2))*H65</f>
        <v>0</v>
      </c>
      <c r="I66" s="77">
        <f t="shared" ref="I66:Z66" ca="1" si="38">(I59/(1+$B$54)^(I55+2))*I65</f>
        <v>0</v>
      </c>
      <c r="J66" s="77">
        <f t="shared" ca="1" si="38"/>
        <v>0</v>
      </c>
      <c r="K66" s="77">
        <f t="shared" ca="1" si="38"/>
        <v>0</v>
      </c>
      <c r="L66" s="77">
        <f t="shared" ca="1" si="38"/>
        <v>0</v>
      </c>
      <c r="M66" s="77">
        <f t="shared" ca="1" si="38"/>
        <v>0</v>
      </c>
      <c r="N66" s="77">
        <f t="shared" ca="1" si="38"/>
        <v>3.3592974026231744E-2</v>
      </c>
      <c r="O66" s="77">
        <f t="shared" ca="1" si="38"/>
        <v>4.1243667018223675</v>
      </c>
      <c r="P66" s="77">
        <f t="shared" ca="1" si="38"/>
        <v>9.7807063643174601</v>
      </c>
      <c r="Q66" s="77">
        <f t="shared" ca="1" si="38"/>
        <v>16.66221264711718</v>
      </c>
      <c r="R66" s="77">
        <f t="shared" ca="1" si="38"/>
        <v>24.100209014381637</v>
      </c>
      <c r="S66" s="77">
        <f t="shared" ca="1" si="38"/>
        <v>31.981738732200235</v>
      </c>
      <c r="T66" s="77">
        <f t="shared" ca="1" si="38"/>
        <v>39.766944889583087</v>
      </c>
      <c r="U66" s="77">
        <f t="shared" ca="1" si="38"/>
        <v>48.890021809209514</v>
      </c>
      <c r="V66" s="77">
        <f t="shared" ca="1" si="38"/>
        <v>56.132878066231498</v>
      </c>
      <c r="W66" s="77">
        <f t="shared" ca="1" si="38"/>
        <v>62.897959051328407</v>
      </c>
      <c r="X66" s="77">
        <f t="shared" ca="1" si="38"/>
        <v>68.911173488358074</v>
      </c>
      <c r="Y66" s="77">
        <f t="shared" ca="1" si="38"/>
        <v>74.3401035826694</v>
      </c>
      <c r="Z66" s="77">
        <f t="shared" ca="1" si="38"/>
        <v>78.963729609737058</v>
      </c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</row>
    <row r="67" spans="1:48" ht="24" customHeight="1" x14ac:dyDescent="0.15">
      <c r="F67" s="42" t="s">
        <v>108</v>
      </c>
      <c r="H67">
        <f ca="1">(H59/(1+$D$61)^(H55+2))*H65</f>
        <v>0</v>
      </c>
      <c r="I67">
        <f t="shared" ref="I67:Z67" ca="1" si="39">(I59/(1+$D$61)^(I55+2))*I65</f>
        <v>0</v>
      </c>
      <c r="J67">
        <f t="shared" ca="1" si="39"/>
        <v>0</v>
      </c>
      <c r="K67">
        <f t="shared" ca="1" si="39"/>
        <v>0</v>
      </c>
      <c r="L67">
        <f t="shared" ca="1" si="39"/>
        <v>0</v>
      </c>
      <c r="M67">
        <f t="shared" ca="1" si="39"/>
        <v>0</v>
      </c>
      <c r="N67">
        <f t="shared" ca="1" si="39"/>
        <v>1.642643881122163E-2</v>
      </c>
      <c r="O67">
        <f t="shared" ca="1" si="39"/>
        <v>1.6856380560412572</v>
      </c>
      <c r="P67">
        <f t="shared" ca="1" si="39"/>
        <v>3.3508831036369049</v>
      </c>
      <c r="Q67">
        <f t="shared" ca="1" si="39"/>
        <v>4.7712680862738646</v>
      </c>
      <c r="R67">
        <f t="shared" ca="1" si="39"/>
        <v>5.7850079054856911</v>
      </c>
      <c r="S67">
        <f t="shared" ca="1" si="39"/>
        <v>6.4164868468864826</v>
      </c>
      <c r="T67">
        <f t="shared" ca="1" si="39"/>
        <v>6.6880493014247593</v>
      </c>
      <c r="U67">
        <f t="shared" ca="1" si="39"/>
        <v>6.8724178795193946</v>
      </c>
      <c r="V67">
        <f t="shared" ca="1" si="39"/>
        <v>6.607928505114109</v>
      </c>
      <c r="W67">
        <f t="shared" ca="1" si="39"/>
        <v>6.1886606389462164</v>
      </c>
      <c r="X67">
        <f t="shared" ca="1" si="39"/>
        <v>5.6837080487902796</v>
      </c>
      <c r="Y67">
        <f t="shared" ca="1" si="39"/>
        <v>5.1248052665252279</v>
      </c>
      <c r="Z67">
        <f t="shared" ca="1" si="39"/>
        <v>4.5631406958285794</v>
      </c>
    </row>
    <row r="68" spans="1:48" ht="24" customHeight="1" x14ac:dyDescent="0.15"/>
    <row r="69" spans="1:48" ht="24" customHeight="1" x14ac:dyDescent="0.25">
      <c r="A69" s="36" t="s">
        <v>75</v>
      </c>
      <c r="C69" s="36" t="s">
        <v>76</v>
      </c>
      <c r="F69" s="241" t="s">
        <v>15</v>
      </c>
      <c r="G69" s="34" t="s">
        <v>100</v>
      </c>
    </row>
    <row r="70" spans="1:48" ht="24" customHeight="1" x14ac:dyDescent="0.15">
      <c r="A70" s="44" t="s">
        <v>77</v>
      </c>
      <c r="B70" s="45">
        <f>'Monitor Bonos'!C11</f>
        <v>0.2</v>
      </c>
      <c r="C70" s="46" t="s">
        <v>11</v>
      </c>
      <c r="D70" s="70">
        <f ca="1">SUM(H77:AP77)</f>
        <v>64.960421138689938</v>
      </c>
      <c r="E70" s="37"/>
      <c r="F70" s="8" t="s">
        <v>101</v>
      </c>
      <c r="G70" s="28">
        <f ca="1">B71</f>
        <v>45478</v>
      </c>
      <c r="H70" s="28">
        <v>44386</v>
      </c>
      <c r="I70" s="29">
        <v>44570</v>
      </c>
      <c r="J70" s="29">
        <v>44751</v>
      </c>
      <c r="K70" s="29">
        <v>44935</v>
      </c>
      <c r="L70" s="29">
        <v>45116</v>
      </c>
      <c r="M70" s="29">
        <v>45300</v>
      </c>
      <c r="N70" s="29">
        <v>45482</v>
      </c>
      <c r="O70" s="29">
        <v>45666</v>
      </c>
      <c r="P70" s="29">
        <v>45847</v>
      </c>
      <c r="Q70" s="29">
        <v>46031</v>
      </c>
      <c r="R70" s="29">
        <v>46212</v>
      </c>
      <c r="S70" s="29">
        <v>46396</v>
      </c>
      <c r="T70" s="29">
        <v>46577</v>
      </c>
      <c r="U70" s="29">
        <v>46761</v>
      </c>
      <c r="V70" s="29">
        <v>46943</v>
      </c>
      <c r="W70" s="29">
        <v>47127</v>
      </c>
      <c r="X70" s="29">
        <v>47308</v>
      </c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</row>
    <row r="71" spans="1:48" ht="24" customHeight="1" x14ac:dyDescent="0.15">
      <c r="A71" s="43" t="s">
        <v>79</v>
      </c>
      <c r="B71" s="38">
        <f ca="1">'Monitor Bonos'!$C$7</f>
        <v>45478</v>
      </c>
      <c r="C71" s="41" t="s">
        <v>80</v>
      </c>
      <c r="D71" s="40">
        <f ca="1">+B75*((B71-B74)/(B73-B74))</f>
        <v>1.5</v>
      </c>
      <c r="E71" s="37"/>
      <c r="F71" s="9" t="s">
        <v>81</v>
      </c>
      <c r="H71" s="16">
        <v>0</v>
      </c>
      <c r="I71" s="17">
        <f t="shared" ref="I71:X71" ca="1" si="40">+(I70-$B$71)/365</f>
        <v>-2.4876712328767123</v>
      </c>
      <c r="J71" s="17">
        <f t="shared" ca="1" si="40"/>
        <v>-1.9917808219178081</v>
      </c>
      <c r="K71" s="17">
        <f t="shared" ca="1" si="40"/>
        <v>-1.4876712328767123</v>
      </c>
      <c r="L71" s="17">
        <f t="shared" ca="1" si="40"/>
        <v>-0.99178082191780825</v>
      </c>
      <c r="M71" s="17">
        <f t="shared" ca="1" si="40"/>
        <v>-0.48767123287671232</v>
      </c>
      <c r="N71" s="17">
        <f t="shared" ca="1" si="40"/>
        <v>1.0958904109589041E-2</v>
      </c>
      <c r="O71" s="17">
        <f t="shared" ca="1" si="40"/>
        <v>0.51506849315068493</v>
      </c>
      <c r="P71" s="17">
        <f t="shared" ca="1" si="40"/>
        <v>1.010958904109589</v>
      </c>
      <c r="Q71" s="17">
        <f t="shared" ca="1" si="40"/>
        <v>1.515068493150685</v>
      </c>
      <c r="R71" s="17">
        <f t="shared" ca="1" si="40"/>
        <v>2.010958904109589</v>
      </c>
      <c r="S71" s="17">
        <f t="shared" ca="1" si="40"/>
        <v>2.515068493150685</v>
      </c>
      <c r="T71" s="17">
        <f t="shared" ca="1" si="40"/>
        <v>3.010958904109589</v>
      </c>
      <c r="U71" s="17">
        <f t="shared" ca="1" si="40"/>
        <v>3.515068493150685</v>
      </c>
      <c r="V71" s="17">
        <f t="shared" ca="1" si="40"/>
        <v>4.0136986301369859</v>
      </c>
      <c r="W71" s="17">
        <f t="shared" ca="1" si="40"/>
        <v>4.5178082191780824</v>
      </c>
      <c r="X71" s="17">
        <f t="shared" ca="1" si="40"/>
        <v>5.0136986301369859</v>
      </c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</row>
    <row r="72" spans="1:48" ht="24" customHeight="1" x14ac:dyDescent="0.15">
      <c r="A72" s="50" t="s">
        <v>82</v>
      </c>
      <c r="B72" s="51">
        <v>100</v>
      </c>
      <c r="C72" s="41" t="s">
        <v>83</v>
      </c>
      <c r="D72" s="39">
        <f ca="1">SUM(H80:AP80)/D70</f>
        <v>2.3553379269374806</v>
      </c>
      <c r="E72" s="37"/>
      <c r="F72" s="10" t="s">
        <v>87</v>
      </c>
      <c r="H72" s="14"/>
      <c r="I72" s="13"/>
      <c r="J72" s="13"/>
      <c r="K72" s="13"/>
      <c r="L72" s="74">
        <v>0.01</v>
      </c>
      <c r="M72" s="74">
        <v>0.01</v>
      </c>
      <c r="N72" s="74">
        <v>0.01</v>
      </c>
      <c r="O72" s="74">
        <v>0.01</v>
      </c>
      <c r="P72" s="74">
        <v>0.01</v>
      </c>
      <c r="Q72" s="74">
        <v>0.01</v>
      </c>
      <c r="R72" s="74">
        <v>0.01</v>
      </c>
      <c r="S72" s="74">
        <v>0.01</v>
      </c>
      <c r="T72" s="74">
        <v>0.01</v>
      </c>
      <c r="U72" s="74">
        <v>0.01</v>
      </c>
      <c r="V72" s="74">
        <v>0.01</v>
      </c>
      <c r="W72" s="74">
        <v>0.01</v>
      </c>
      <c r="X72" s="74">
        <v>0.01</v>
      </c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</row>
    <row r="73" spans="1:48" ht="24" customHeight="1" x14ac:dyDescent="0.15">
      <c r="A73" s="50" t="s">
        <v>84</v>
      </c>
      <c r="B73" s="38">
        <f>L70</f>
        <v>45116</v>
      </c>
      <c r="C73" s="41" t="s">
        <v>85</v>
      </c>
      <c r="D73" s="39">
        <f ca="1">+D72/(1+B70/2)</f>
        <v>2.1412162972158915</v>
      </c>
      <c r="E73" s="37"/>
      <c r="F73" s="10" t="s">
        <v>29</v>
      </c>
      <c r="H73" s="19"/>
      <c r="I73" s="20"/>
      <c r="J73" s="20"/>
      <c r="K73" s="20"/>
      <c r="L73" s="21">
        <f t="shared" ref="L73:X73" si="41">L72/2*L76</f>
        <v>0.5</v>
      </c>
      <c r="M73" s="21">
        <f t="shared" si="41"/>
        <v>0.5</v>
      </c>
      <c r="N73" s="21">
        <f t="shared" si="41"/>
        <v>0.5</v>
      </c>
      <c r="O73" s="21">
        <f t="shared" si="41"/>
        <v>0.5</v>
      </c>
      <c r="P73" s="21">
        <f t="shared" si="41"/>
        <v>0.45</v>
      </c>
      <c r="Q73" s="21">
        <f t="shared" si="41"/>
        <v>0.4</v>
      </c>
      <c r="R73" s="21">
        <f t="shared" si="41"/>
        <v>0.35000000000000003</v>
      </c>
      <c r="S73" s="21">
        <f t="shared" si="41"/>
        <v>0.3</v>
      </c>
      <c r="T73" s="21">
        <f t="shared" si="41"/>
        <v>0.25</v>
      </c>
      <c r="U73" s="21">
        <f t="shared" si="41"/>
        <v>0.2</v>
      </c>
      <c r="V73" s="21">
        <f t="shared" si="41"/>
        <v>0.15</v>
      </c>
      <c r="W73" s="21">
        <f t="shared" si="41"/>
        <v>0.1</v>
      </c>
      <c r="X73" s="21">
        <f t="shared" si="41"/>
        <v>0.05</v>
      </c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</row>
    <row r="74" spans="1:48" ht="24" customHeight="1" x14ac:dyDescent="0.15">
      <c r="A74" s="50" t="s">
        <v>86</v>
      </c>
      <c r="B74" s="38">
        <f>K70</f>
        <v>44935</v>
      </c>
      <c r="C74" s="41" t="s">
        <v>13</v>
      </c>
      <c r="D74" s="39">
        <f ca="1">SUM(H82:AP82)/D70</f>
        <v>6.8758227124507849</v>
      </c>
      <c r="E74" s="37"/>
      <c r="F74" s="10" t="s">
        <v>28</v>
      </c>
      <c r="H74" s="19">
        <v>0</v>
      </c>
      <c r="I74" s="23">
        <v>0</v>
      </c>
      <c r="J74" s="23">
        <v>0</v>
      </c>
      <c r="K74" s="23">
        <v>0</v>
      </c>
      <c r="L74" s="23">
        <v>0</v>
      </c>
      <c r="M74" s="23">
        <v>0</v>
      </c>
      <c r="N74" s="23">
        <v>0</v>
      </c>
      <c r="O74" s="23">
        <v>10</v>
      </c>
      <c r="P74" s="23">
        <v>10</v>
      </c>
      <c r="Q74" s="23">
        <v>10</v>
      </c>
      <c r="R74" s="23">
        <v>10</v>
      </c>
      <c r="S74" s="23">
        <v>10</v>
      </c>
      <c r="T74" s="23">
        <v>10</v>
      </c>
      <c r="U74" s="23">
        <v>10</v>
      </c>
      <c r="V74" s="23">
        <v>10</v>
      </c>
      <c r="W74" s="23">
        <v>10</v>
      </c>
      <c r="X74" s="23">
        <v>10</v>
      </c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</row>
    <row r="75" spans="1:48" ht="24" customHeight="1" x14ac:dyDescent="0.15">
      <c r="A75" s="50" t="s">
        <v>88</v>
      </c>
      <c r="B75" s="61">
        <f>L73</f>
        <v>0.5</v>
      </c>
      <c r="E75" s="37"/>
      <c r="F75" s="11" t="s">
        <v>92</v>
      </c>
      <c r="G75">
        <f>-B77</f>
        <v>-30</v>
      </c>
      <c r="H75" s="19">
        <f t="shared" ref="H75:X75" si="42">IF(H71&lt;0,0,H74+H73)</f>
        <v>0</v>
      </c>
      <c r="I75" s="23">
        <f t="shared" ca="1" si="42"/>
        <v>0</v>
      </c>
      <c r="J75" s="23">
        <f t="shared" ca="1" si="42"/>
        <v>0</v>
      </c>
      <c r="K75" s="23">
        <f t="shared" ca="1" si="42"/>
        <v>0</v>
      </c>
      <c r="L75" s="23">
        <f t="shared" ca="1" si="42"/>
        <v>0</v>
      </c>
      <c r="M75" s="23">
        <f t="shared" ca="1" si="42"/>
        <v>0</v>
      </c>
      <c r="N75" s="23">
        <f t="shared" ca="1" si="42"/>
        <v>0.5</v>
      </c>
      <c r="O75" s="23">
        <f t="shared" ca="1" si="42"/>
        <v>10.5</v>
      </c>
      <c r="P75" s="23">
        <f t="shared" ca="1" si="42"/>
        <v>10.45</v>
      </c>
      <c r="Q75" s="23">
        <f t="shared" ca="1" si="42"/>
        <v>10.4</v>
      </c>
      <c r="R75" s="23">
        <f t="shared" ca="1" si="42"/>
        <v>10.35</v>
      </c>
      <c r="S75" s="23">
        <f t="shared" ca="1" si="42"/>
        <v>10.3</v>
      </c>
      <c r="T75" s="23">
        <f t="shared" ca="1" si="42"/>
        <v>10.25</v>
      </c>
      <c r="U75" s="23">
        <f t="shared" ca="1" si="42"/>
        <v>10.199999999999999</v>
      </c>
      <c r="V75" s="23">
        <f t="shared" ca="1" si="42"/>
        <v>10.15</v>
      </c>
      <c r="W75" s="23">
        <f t="shared" ca="1" si="42"/>
        <v>10.1</v>
      </c>
      <c r="X75" s="23">
        <f t="shared" ca="1" si="42"/>
        <v>10.050000000000001</v>
      </c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</row>
    <row r="76" spans="1:48" ht="24" customHeight="1" x14ac:dyDescent="0.15">
      <c r="F76" s="12" t="s">
        <v>89</v>
      </c>
      <c r="H76" s="25">
        <f>B72</f>
        <v>100</v>
      </c>
      <c r="I76" s="26">
        <f t="shared" ref="I76:X76" si="43">H76-H74</f>
        <v>100</v>
      </c>
      <c r="J76" s="26">
        <f t="shared" si="43"/>
        <v>100</v>
      </c>
      <c r="K76" s="26">
        <f t="shared" si="43"/>
        <v>100</v>
      </c>
      <c r="L76" s="26">
        <f t="shared" si="43"/>
        <v>100</v>
      </c>
      <c r="M76" s="26">
        <f t="shared" si="43"/>
        <v>100</v>
      </c>
      <c r="N76" s="26">
        <f t="shared" si="43"/>
        <v>100</v>
      </c>
      <c r="O76" s="26">
        <f t="shared" si="43"/>
        <v>100</v>
      </c>
      <c r="P76" s="26">
        <f t="shared" si="43"/>
        <v>90</v>
      </c>
      <c r="Q76" s="26">
        <f t="shared" si="43"/>
        <v>80</v>
      </c>
      <c r="R76" s="26">
        <f t="shared" si="43"/>
        <v>70</v>
      </c>
      <c r="S76" s="26">
        <f t="shared" si="43"/>
        <v>60</v>
      </c>
      <c r="T76" s="26">
        <f t="shared" si="43"/>
        <v>50</v>
      </c>
      <c r="U76" s="26">
        <f t="shared" si="43"/>
        <v>40</v>
      </c>
      <c r="V76" s="26">
        <f t="shared" si="43"/>
        <v>30</v>
      </c>
      <c r="W76" s="26">
        <f t="shared" si="43"/>
        <v>20</v>
      </c>
      <c r="X76" s="26">
        <f t="shared" si="43"/>
        <v>10</v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</row>
    <row r="77" spans="1:48" ht="24" customHeight="1" x14ac:dyDescent="0.15">
      <c r="A77" s="44" t="s">
        <v>11</v>
      </c>
      <c r="B77" s="71">
        <f>'Monitor Bonos'!M11</f>
        <v>30</v>
      </c>
      <c r="C77" s="48" t="s">
        <v>77</v>
      </c>
      <c r="D77" s="69">
        <f ca="1">XIRR(G75:AP75,G70:AP70)</f>
        <v>0.76556354761123657</v>
      </c>
      <c r="E77" s="31"/>
      <c r="F77" s="11" t="s">
        <v>102</v>
      </c>
      <c r="H77" s="52">
        <f t="shared" ref="H77:X77" si="44">+H75/(1+$B$70)^(H71)</f>
        <v>0</v>
      </c>
      <c r="I77" s="53">
        <f t="shared" ca="1" si="44"/>
        <v>0</v>
      </c>
      <c r="J77" s="53">
        <f t="shared" ca="1" si="44"/>
        <v>0</v>
      </c>
      <c r="K77" s="53">
        <f t="shared" ca="1" si="44"/>
        <v>0</v>
      </c>
      <c r="L77" s="54">
        <f t="shared" ca="1" si="44"/>
        <v>0</v>
      </c>
      <c r="M77" s="54">
        <f t="shared" ca="1" si="44"/>
        <v>0</v>
      </c>
      <c r="N77" s="54">
        <f t="shared" ca="1" si="44"/>
        <v>0.49900197515202488</v>
      </c>
      <c r="O77" s="54">
        <f t="shared" ca="1" si="44"/>
        <v>9.5588475213543607</v>
      </c>
      <c r="P77" s="54">
        <f t="shared" ca="1" si="44"/>
        <v>8.6909510672311008</v>
      </c>
      <c r="Q77" s="54">
        <f t="shared" ca="1" si="44"/>
        <v>7.8898423985782022</v>
      </c>
      <c r="R77" s="54">
        <f t="shared" ca="1" si="44"/>
        <v>7.1731533928103586</v>
      </c>
      <c r="S77" s="54">
        <f t="shared" ca="1" si="44"/>
        <v>6.5116487744675871</v>
      </c>
      <c r="T77" s="54">
        <f t="shared" ca="1" si="44"/>
        <v>5.9198729691067786</v>
      </c>
      <c r="U77" s="54">
        <f t="shared" ca="1" si="44"/>
        <v>5.3736907362111141</v>
      </c>
      <c r="V77" s="54">
        <f t="shared" ca="1" si="44"/>
        <v>4.882658874109528</v>
      </c>
      <c r="W77" s="54">
        <f t="shared" ca="1" si="44"/>
        <v>4.4319585458592963</v>
      </c>
      <c r="X77" s="54">
        <f t="shared" ca="1" si="44"/>
        <v>4.0287948838095859</v>
      </c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</row>
    <row r="78" spans="1:48" ht="24" customHeight="1" x14ac:dyDescent="0.15">
      <c r="C78" s="41" t="s">
        <v>83</v>
      </c>
      <c r="D78" s="39">
        <f ca="1">SUM(H80:AP80)/B77</f>
        <v>5.1001247885929217</v>
      </c>
      <c r="F78" s="11" t="s">
        <v>103</v>
      </c>
      <c r="H78" s="56">
        <f t="shared" ref="H78:X78" ca="1" si="45">+H75/(1+$D$77)^(H71)</f>
        <v>0</v>
      </c>
      <c r="I78" s="57">
        <f t="shared" ca="1" si="45"/>
        <v>0</v>
      </c>
      <c r="J78" s="57">
        <f t="shared" ca="1" si="45"/>
        <v>0</v>
      </c>
      <c r="K78" s="57">
        <f t="shared" ca="1" si="45"/>
        <v>0</v>
      </c>
      <c r="L78" s="57">
        <f t="shared" ca="1" si="45"/>
        <v>0</v>
      </c>
      <c r="M78" s="57">
        <f t="shared" ca="1" si="45"/>
        <v>0</v>
      </c>
      <c r="N78" s="57">
        <f t="shared" ca="1" si="45"/>
        <v>0.49689477878283456</v>
      </c>
      <c r="O78" s="57">
        <f t="shared" ca="1" si="45"/>
        <v>7.8347918360920517</v>
      </c>
      <c r="P78" s="57">
        <f t="shared" ca="1" si="45"/>
        <v>5.8820317686168941</v>
      </c>
      <c r="Q78" s="57">
        <f t="shared" ca="1" si="45"/>
        <v>4.3952962109382785</v>
      </c>
      <c r="R78" s="57">
        <f t="shared" ca="1" si="45"/>
        <v>3.2996514858688406</v>
      </c>
      <c r="S78" s="57">
        <f t="shared" ca="1" si="45"/>
        <v>2.4655208549480476</v>
      </c>
      <c r="T78" s="57">
        <f t="shared" ca="1" si="45"/>
        <v>1.8508372579425592</v>
      </c>
      <c r="U78" s="57">
        <f t="shared" ca="1" si="45"/>
        <v>1.3828920304637815</v>
      </c>
      <c r="V78" s="57">
        <f t="shared" ca="1" si="45"/>
        <v>1.0364555080151583</v>
      </c>
      <c r="W78" s="57">
        <f t="shared" ca="1" si="45"/>
        <v>0.77437215727071362</v>
      </c>
      <c r="X78" s="57">
        <f t="shared" ca="1" si="45"/>
        <v>0.58125584043022438</v>
      </c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</row>
    <row r="79" spans="1:48" ht="24" customHeight="1" x14ac:dyDescent="0.15">
      <c r="C79" s="41" t="s">
        <v>85</v>
      </c>
      <c r="D79" s="39">
        <f ca="1">+D78/(1+D77/2)</f>
        <v>3.6883077902861201</v>
      </c>
      <c r="F79" s="60" t="s">
        <v>104</v>
      </c>
      <c r="N79" s="1"/>
      <c r="O79" s="1"/>
      <c r="AC79" s="4"/>
    </row>
    <row r="80" spans="1:48" ht="24" customHeight="1" x14ac:dyDescent="0.15">
      <c r="C80" s="41" t="s">
        <v>13</v>
      </c>
      <c r="D80" s="39">
        <f ca="1">SUM(H83:AP83)/B77</f>
        <v>1.9096957722527981</v>
      </c>
      <c r="F80" s="59" t="s">
        <v>105</v>
      </c>
      <c r="H80">
        <f t="shared" ref="H80:X80" si="46">H77*H71</f>
        <v>0</v>
      </c>
      <c r="I80">
        <f t="shared" ca="1" si="46"/>
        <v>0</v>
      </c>
      <c r="J80">
        <f t="shared" ca="1" si="46"/>
        <v>0</v>
      </c>
      <c r="K80">
        <f t="shared" ca="1" si="46"/>
        <v>0</v>
      </c>
      <c r="L80">
        <f t="shared" ca="1" si="46"/>
        <v>0</v>
      </c>
      <c r="M80">
        <f t="shared" ca="1" si="46"/>
        <v>0</v>
      </c>
      <c r="N80">
        <f t="shared" ca="1" si="46"/>
        <v>5.468514796186574E-3</v>
      </c>
      <c r="O80">
        <f t="shared" ca="1" si="46"/>
        <v>4.9234611890811504</v>
      </c>
      <c r="P80">
        <f t="shared" ca="1" si="46"/>
        <v>8.786194366598016</v>
      </c>
      <c r="Q80">
        <f t="shared" ca="1" si="46"/>
        <v>11.953651634010264</v>
      </c>
      <c r="R80">
        <f t="shared" ca="1" si="46"/>
        <v>14.4249166858159</v>
      </c>
      <c r="S80">
        <f t="shared" ca="1" si="46"/>
        <v>16.377242671126698</v>
      </c>
      <c r="T80">
        <f t="shared" ca="1" si="46"/>
        <v>17.824494227529726</v>
      </c>
      <c r="U80">
        <f t="shared" ca="1" si="46"/>
        <v>18.888890998791396</v>
      </c>
      <c r="V80">
        <f t="shared" ca="1" si="46"/>
        <v>19.597521234439611</v>
      </c>
      <c r="W80">
        <f t="shared" ca="1" si="46"/>
        <v>20.022738745539669</v>
      </c>
      <c r="X80">
        <f t="shared" ca="1" si="46"/>
        <v>20.199163390059017</v>
      </c>
    </row>
    <row r="81" spans="1:42" ht="24" customHeight="1" x14ac:dyDescent="0.15">
      <c r="F81" s="2" t="s">
        <v>106</v>
      </c>
      <c r="H81">
        <f t="shared" ref="H81:X81" si="47">H71*(H71+1)</f>
        <v>0</v>
      </c>
      <c r="I81">
        <f t="shared" ca="1" si="47"/>
        <v>3.7008369300056296</v>
      </c>
      <c r="J81">
        <f t="shared" ca="1" si="47"/>
        <v>1.9754100206417713</v>
      </c>
      <c r="K81">
        <f t="shared" ca="1" si="47"/>
        <v>0.72549446425220487</v>
      </c>
      <c r="L81">
        <f t="shared" ca="1" si="47"/>
        <v>-8.1516231938449663E-3</v>
      </c>
      <c r="M81">
        <f t="shared" ca="1" si="47"/>
        <v>-0.24984800150121975</v>
      </c>
      <c r="N81">
        <f t="shared" ca="1" si="47"/>
        <v>1.1079001688872209E-2</v>
      </c>
      <c r="O81">
        <f t="shared" ca="1" si="47"/>
        <v>0.7803640457872022</v>
      </c>
      <c r="P81">
        <f t="shared" ca="1" si="47"/>
        <v>2.0329968099080502</v>
      </c>
      <c r="Q81">
        <f t="shared" ca="1" si="47"/>
        <v>3.8105010320885726</v>
      </c>
      <c r="R81">
        <f t="shared" ca="1" si="47"/>
        <v>6.0549146181272278</v>
      </c>
      <c r="S81">
        <f t="shared" ca="1" si="47"/>
        <v>8.8406380183899422</v>
      </c>
      <c r="T81">
        <f t="shared" ca="1" si="47"/>
        <v>12.076832426346407</v>
      </c>
      <c r="U81">
        <f t="shared" ca="1" si="47"/>
        <v>15.870775004691312</v>
      </c>
      <c r="V81">
        <f t="shared" ca="1" si="47"/>
        <v>20.123475323700504</v>
      </c>
      <c r="W81">
        <f t="shared" ca="1" si="47"/>
        <v>24.928399324451117</v>
      </c>
      <c r="X81">
        <f t="shared" ca="1" si="47"/>
        <v>30.150872583974476</v>
      </c>
    </row>
    <row r="82" spans="1:42" ht="24" customHeight="1" x14ac:dyDescent="0.2">
      <c r="A82" s="6"/>
      <c r="F82" s="42" t="s">
        <v>107</v>
      </c>
      <c r="H82" s="7">
        <f>(H75/(1+$B$70)^(H71+2))*H81</f>
        <v>0</v>
      </c>
      <c r="I82" s="7">
        <f t="shared" ref="I82:X82" ca="1" si="48">(I75/(1+$B$70)^(I71+2))*I81</f>
        <v>0</v>
      </c>
      <c r="J82" s="7">
        <f t="shared" ca="1" si="48"/>
        <v>0</v>
      </c>
      <c r="K82" s="7">
        <f t="shared" ca="1" si="48"/>
        <v>0</v>
      </c>
      <c r="L82" s="7">
        <f t="shared" ca="1" si="48"/>
        <v>0</v>
      </c>
      <c r="M82" s="7">
        <f t="shared" ca="1" si="48"/>
        <v>0</v>
      </c>
      <c r="N82" s="7">
        <f t="shared" ca="1" si="48"/>
        <v>3.8391970315693421E-3</v>
      </c>
      <c r="O82" s="7">
        <f t="shared" ca="1" si="48"/>
        <v>5.1801256422410118</v>
      </c>
      <c r="P82" s="7">
        <f t="shared" ca="1" si="48"/>
        <v>12.269913746352636</v>
      </c>
      <c r="Q82" s="7">
        <f t="shared" ca="1" si="48"/>
        <v>20.877953196387789</v>
      </c>
      <c r="R82" s="7">
        <f t="shared" ca="1" si="48"/>
        <v>30.161688427914143</v>
      </c>
      <c r="S82" s="7">
        <f t="shared" ca="1" si="48"/>
        <v>39.977173415250292</v>
      </c>
      <c r="T82" s="7">
        <f t="shared" ca="1" si="48"/>
        <v>49.648134606361339</v>
      </c>
      <c r="U82" s="7">
        <f t="shared" ca="1" si="48"/>
        <v>59.225442096667109</v>
      </c>
      <c r="V82" s="7">
        <f t="shared" ca="1" si="48"/>
        <v>68.233378727215538</v>
      </c>
      <c r="W82" s="7">
        <f t="shared" ca="1" si="48"/>
        <v>76.723355847634892</v>
      </c>
      <c r="X82" s="7">
        <f t="shared" ca="1" si="48"/>
        <v>84.355334172716027</v>
      </c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</row>
    <row r="83" spans="1:42" ht="24" customHeight="1" x14ac:dyDescent="0.15">
      <c r="F83" s="42" t="s">
        <v>108</v>
      </c>
      <c r="H83">
        <f ca="1">(H75/(1+$D$77)^(H71+2))*H81</f>
        <v>0</v>
      </c>
      <c r="I83">
        <f t="shared" ref="I83:X83" ca="1" si="49">(I75/(1+$D$77)^(I71+2))*I81</f>
        <v>0</v>
      </c>
      <c r="J83">
        <f t="shared" ca="1" si="49"/>
        <v>0</v>
      </c>
      <c r="K83">
        <f t="shared" ca="1" si="49"/>
        <v>0</v>
      </c>
      <c r="L83">
        <f t="shared" ca="1" si="49"/>
        <v>0</v>
      </c>
      <c r="M83">
        <f t="shared" ca="1" si="49"/>
        <v>0</v>
      </c>
      <c r="N83">
        <f t="shared" ca="1" si="49"/>
        <v>1.7660311296922983E-3</v>
      </c>
      <c r="O83">
        <f t="shared" ca="1" si="49"/>
        <v>1.9613631269970671</v>
      </c>
      <c r="P83">
        <f t="shared" ca="1" si="49"/>
        <v>3.8361656799060624</v>
      </c>
      <c r="Q83">
        <f t="shared" ca="1" si="49"/>
        <v>5.372835264434582</v>
      </c>
      <c r="R83">
        <f t="shared" ca="1" si="49"/>
        <v>6.4092821058749792</v>
      </c>
      <c r="S83">
        <f t="shared" ca="1" si="49"/>
        <v>6.9923890132945532</v>
      </c>
      <c r="T83">
        <f t="shared" ca="1" si="49"/>
        <v>7.1705846370348887</v>
      </c>
      <c r="U83">
        <f t="shared" ca="1" si="49"/>
        <v>7.0407626042298226</v>
      </c>
      <c r="V83">
        <f t="shared" ca="1" si="49"/>
        <v>6.6909370203918552</v>
      </c>
      <c r="W83">
        <f t="shared" ca="1" si="49"/>
        <v>6.1926625489394098</v>
      </c>
      <c r="X83">
        <f t="shared" ca="1" si="49"/>
        <v>5.6221251353510295</v>
      </c>
    </row>
    <row r="84" spans="1:42" ht="24" customHeight="1" x14ac:dyDescent="0.15">
      <c r="A84" s="5"/>
      <c r="H84" s="1"/>
      <c r="I84" s="1"/>
      <c r="J84" s="1"/>
      <c r="K84" s="1"/>
      <c r="X84" s="3"/>
    </row>
    <row r="85" spans="1:42" ht="24" customHeight="1" x14ac:dyDescent="0.15">
      <c r="A85" s="5"/>
      <c r="H85" s="1"/>
      <c r="I85" s="1"/>
      <c r="J85" s="1"/>
      <c r="K85" s="1"/>
      <c r="X85" s="3"/>
    </row>
    <row r="86" spans="1:42" ht="24" customHeight="1" x14ac:dyDescent="0.15">
      <c r="A86" s="5"/>
      <c r="H86" s="1"/>
      <c r="I86" s="1"/>
      <c r="J86" s="1"/>
      <c r="K86" s="1"/>
      <c r="X86" s="3"/>
    </row>
    <row r="87" spans="1:42" ht="24" customHeight="1" x14ac:dyDescent="0.15">
      <c r="A87" s="5"/>
      <c r="H87" s="1"/>
      <c r="I87" s="1"/>
      <c r="J87" s="1"/>
      <c r="K87" s="1"/>
      <c r="X87" s="3"/>
    </row>
    <row r="88" spans="1:42" ht="24" customHeight="1" x14ac:dyDescent="0.15">
      <c r="A88" s="5"/>
      <c r="H88" s="1"/>
      <c r="I88" s="1"/>
      <c r="J88" s="1"/>
      <c r="K88" s="1"/>
      <c r="X88" s="3"/>
    </row>
    <row r="89" spans="1:42" ht="24" customHeight="1" x14ac:dyDescent="0.15">
      <c r="A89" s="5"/>
      <c r="H89" s="1"/>
      <c r="I89" s="1"/>
      <c r="J89" s="1"/>
      <c r="K89" s="1"/>
      <c r="X89" s="3"/>
    </row>
    <row r="90" spans="1:42" ht="24" customHeight="1" x14ac:dyDescent="0.15">
      <c r="A90" s="5"/>
      <c r="H90" s="1"/>
      <c r="I90" s="1"/>
      <c r="J90" s="1"/>
      <c r="K90" s="1"/>
      <c r="X90" s="3"/>
    </row>
    <row r="91" spans="1:42" ht="24" customHeight="1" x14ac:dyDescent="0.15">
      <c r="A91" s="5"/>
      <c r="H91" s="1"/>
      <c r="I91" s="1"/>
      <c r="J91" s="1"/>
      <c r="K91" s="1"/>
      <c r="X91" s="3"/>
    </row>
    <row r="92" spans="1:42" ht="24" customHeight="1" x14ac:dyDescent="0.15">
      <c r="A92" s="5"/>
      <c r="H92" s="1"/>
      <c r="I92" s="1"/>
      <c r="J92" s="1"/>
      <c r="K92" s="1"/>
      <c r="X92" s="3"/>
    </row>
    <row r="93" spans="1:42" ht="24" customHeight="1" x14ac:dyDescent="0.15">
      <c r="A93" s="5"/>
      <c r="H93" s="1"/>
      <c r="I93" s="1"/>
      <c r="J93" s="1"/>
      <c r="K93" s="1"/>
      <c r="X93" s="3"/>
    </row>
    <row r="94" spans="1:42" ht="24" customHeight="1" x14ac:dyDescent="0.15">
      <c r="A94" s="5"/>
      <c r="H94" s="1"/>
      <c r="I94" s="1"/>
      <c r="J94" s="1"/>
      <c r="K94" s="1"/>
      <c r="X94" s="3"/>
    </row>
    <row r="95" spans="1:42" ht="24" customHeight="1" x14ac:dyDescent="0.15">
      <c r="A95" s="5"/>
      <c r="H95" s="1"/>
      <c r="I95" s="1"/>
      <c r="J95" s="1"/>
      <c r="K95" s="1"/>
      <c r="X95" s="3"/>
    </row>
    <row r="96" spans="1:42" ht="24" customHeight="1" x14ac:dyDescent="0.15">
      <c r="A96" s="5"/>
      <c r="H96" s="1"/>
      <c r="I96" s="1"/>
      <c r="J96" s="1"/>
      <c r="K96" s="1"/>
      <c r="X96" s="3"/>
    </row>
    <row r="97" spans="1:24" ht="24" customHeight="1" x14ac:dyDescent="0.15">
      <c r="A97" s="5"/>
      <c r="H97" s="1"/>
      <c r="I97" s="1"/>
      <c r="J97" s="1"/>
      <c r="K97" s="1"/>
      <c r="X97" s="3"/>
    </row>
    <row r="98" spans="1:24" ht="24" customHeight="1" x14ac:dyDescent="0.15">
      <c r="A98" s="5"/>
      <c r="H98" s="1"/>
      <c r="I98" s="1"/>
      <c r="J98" s="1"/>
      <c r="K98" s="1"/>
      <c r="X98" s="3"/>
    </row>
    <row r="99" spans="1:24" ht="24" customHeight="1" x14ac:dyDescent="0.15">
      <c r="A99" s="5"/>
      <c r="H99" s="1"/>
      <c r="I99" s="1"/>
      <c r="J99" s="1"/>
      <c r="K99" s="1"/>
    </row>
    <row r="100" spans="1:24" ht="24" customHeight="1" x14ac:dyDescent="0.15">
      <c r="A100" s="5"/>
      <c r="H100" s="1"/>
      <c r="I100" s="1"/>
      <c r="J100" s="1"/>
      <c r="K100" s="1"/>
    </row>
    <row r="101" spans="1:24" ht="24" customHeight="1" x14ac:dyDescent="0.15">
      <c r="A101" s="5"/>
      <c r="H101" s="1"/>
      <c r="I101" s="1"/>
      <c r="J101" s="1"/>
      <c r="K101" s="1"/>
    </row>
    <row r="102" spans="1:24" ht="24" customHeight="1" x14ac:dyDescent="0.15">
      <c r="A102" s="5"/>
      <c r="H102" s="1"/>
      <c r="I102" s="1"/>
      <c r="J102" s="1"/>
      <c r="K102" s="1"/>
    </row>
    <row r="103" spans="1:24" ht="24" customHeight="1" x14ac:dyDescent="0.15">
      <c r="A103" s="5"/>
      <c r="H103" s="1"/>
      <c r="I103" s="1"/>
      <c r="J103" s="1"/>
      <c r="K103" s="1"/>
    </row>
    <row r="104" spans="1:24" ht="24" customHeight="1" x14ac:dyDescent="0.15">
      <c r="A104" s="5"/>
      <c r="H104" s="1"/>
      <c r="I104" s="1"/>
      <c r="J104" s="1"/>
      <c r="K104" s="1"/>
    </row>
    <row r="105" spans="1:24" ht="24" customHeight="1" x14ac:dyDescent="0.15">
      <c r="A105" s="5"/>
      <c r="H105" s="1"/>
      <c r="I105" s="1"/>
      <c r="J105" s="1"/>
      <c r="K105" s="1"/>
    </row>
    <row r="106" spans="1:24" ht="24" customHeight="1" x14ac:dyDescent="0.15">
      <c r="A106" s="5"/>
      <c r="H106" s="1"/>
      <c r="I106" s="1"/>
      <c r="J106" s="1"/>
      <c r="K106" s="1"/>
    </row>
    <row r="107" spans="1:24" ht="24" customHeight="1" x14ac:dyDescent="0.15">
      <c r="A107" s="5"/>
      <c r="H107" s="1"/>
      <c r="I107" s="1"/>
      <c r="J107" s="1"/>
      <c r="K107" s="1"/>
    </row>
    <row r="108" spans="1:24" ht="24" customHeight="1" x14ac:dyDescent="0.15">
      <c r="A108" s="5"/>
      <c r="H108" s="1"/>
      <c r="I108" s="1"/>
      <c r="J108" s="1"/>
      <c r="K108" s="1"/>
    </row>
    <row r="109" spans="1:24" ht="24" customHeight="1" x14ac:dyDescent="0.15">
      <c r="A109" s="5"/>
      <c r="H109" s="1"/>
      <c r="I109" s="1"/>
      <c r="J109" s="1"/>
      <c r="K109" s="1"/>
    </row>
    <row r="110" spans="1:24" ht="24" customHeight="1" x14ac:dyDescent="0.15">
      <c r="A110" s="5"/>
      <c r="H110" s="1"/>
      <c r="I110" s="1"/>
      <c r="J110" s="1"/>
      <c r="K110" s="1"/>
    </row>
    <row r="111" spans="1:24" ht="24" customHeight="1" x14ac:dyDescent="0.15">
      <c r="A111" s="5"/>
      <c r="H111" s="1"/>
      <c r="I111" s="1"/>
      <c r="J111" s="1"/>
      <c r="K111" s="1"/>
    </row>
    <row r="112" spans="1:24" ht="24" customHeight="1" x14ac:dyDescent="0.15">
      <c r="A112" s="5"/>
      <c r="H112" s="1"/>
      <c r="I112" s="1"/>
      <c r="J112" s="1"/>
      <c r="K112" s="1"/>
    </row>
    <row r="113" spans="1:11" ht="24" customHeight="1" x14ac:dyDescent="0.15">
      <c r="A113" s="5"/>
      <c r="H113" s="1"/>
      <c r="I113" s="1"/>
      <c r="J113" s="1"/>
      <c r="K113" s="1"/>
    </row>
    <row r="114" spans="1:11" ht="24" customHeight="1" x14ac:dyDescent="0.15">
      <c r="A114" s="5"/>
      <c r="H114" s="1"/>
      <c r="I114" s="1"/>
      <c r="J114" s="1"/>
      <c r="K114" s="1"/>
    </row>
    <row r="115" spans="1:11" ht="24" customHeight="1" x14ac:dyDescent="0.15">
      <c r="A115" s="5"/>
      <c r="H115" s="1"/>
      <c r="I115" s="1"/>
      <c r="J115" s="1"/>
      <c r="K115" s="1"/>
    </row>
    <row r="116" spans="1:11" ht="24" customHeight="1" x14ac:dyDescent="0.15">
      <c r="A116" s="5"/>
      <c r="H116" s="1"/>
      <c r="I116" s="1"/>
      <c r="J116" s="1"/>
      <c r="K116" s="1"/>
    </row>
    <row r="117" spans="1:11" ht="24" customHeight="1" x14ac:dyDescent="0.15">
      <c r="A117" s="5"/>
      <c r="H117" s="1"/>
      <c r="I117" s="1"/>
      <c r="J117" s="1"/>
      <c r="K117" s="1"/>
    </row>
    <row r="118" spans="1:11" ht="24" customHeight="1" x14ac:dyDescent="0.15">
      <c r="A118" s="5"/>
      <c r="H118" s="1"/>
      <c r="I118" s="1"/>
      <c r="J118" s="1"/>
      <c r="K118" s="1"/>
    </row>
    <row r="119" spans="1:11" ht="24" customHeight="1" x14ac:dyDescent="0.15">
      <c r="A119" s="5"/>
      <c r="H119" s="1"/>
      <c r="I119" s="1"/>
      <c r="J119" s="1"/>
      <c r="K119" s="1"/>
    </row>
    <row r="120" spans="1:11" ht="24" customHeight="1" x14ac:dyDescent="0.15">
      <c r="A120" s="5"/>
      <c r="H120" s="1"/>
      <c r="I120" s="1"/>
      <c r="J120" s="1"/>
      <c r="K120" s="1"/>
    </row>
    <row r="121" spans="1:11" ht="24" customHeight="1" x14ac:dyDescent="0.15">
      <c r="A121" s="5"/>
      <c r="H121" s="1"/>
      <c r="I121" s="1"/>
      <c r="J121" s="1"/>
      <c r="K121" s="1"/>
    </row>
    <row r="122" spans="1:11" ht="24" customHeight="1" x14ac:dyDescent="0.15">
      <c r="A122" s="5"/>
      <c r="H122" s="1"/>
      <c r="I122" s="1"/>
      <c r="J122" s="1"/>
      <c r="K122" s="1"/>
    </row>
    <row r="123" spans="1:11" ht="24" customHeight="1" x14ac:dyDescent="0.15">
      <c r="A123" s="5"/>
      <c r="H123" s="1"/>
      <c r="I123" s="1"/>
      <c r="J123" s="1"/>
      <c r="K123" s="1"/>
    </row>
    <row r="124" spans="1:11" ht="24" customHeight="1" x14ac:dyDescent="0.15">
      <c r="A124" s="5"/>
      <c r="H124" s="1"/>
      <c r="I124" s="1"/>
      <c r="J124" s="1"/>
      <c r="K124" s="1"/>
    </row>
    <row r="125" spans="1:11" ht="24" customHeight="1" x14ac:dyDescent="0.15">
      <c r="A125" s="5"/>
      <c r="H125" s="1"/>
      <c r="I125" s="1"/>
      <c r="J125" s="1"/>
      <c r="K125" s="1"/>
    </row>
    <row r="126" spans="1:11" ht="24" customHeight="1" x14ac:dyDescent="0.15">
      <c r="A126" s="5"/>
      <c r="H126" s="1"/>
      <c r="I126" s="1"/>
      <c r="J126" s="1"/>
      <c r="K126" s="1"/>
    </row>
    <row r="127" spans="1:11" ht="24" customHeight="1" x14ac:dyDescent="0.15">
      <c r="A127" s="5"/>
      <c r="H127" s="1"/>
      <c r="I127" s="1"/>
      <c r="J127" s="1"/>
      <c r="K127" s="1"/>
    </row>
    <row r="128" spans="1:11" ht="24" customHeight="1" x14ac:dyDescent="0.15">
      <c r="A128" s="5"/>
      <c r="H128" s="1"/>
      <c r="I128" s="1"/>
      <c r="J128" s="1"/>
      <c r="K128" s="1"/>
    </row>
    <row r="129" spans="1:11" ht="24" customHeight="1" x14ac:dyDescent="0.15">
      <c r="A129" s="5"/>
      <c r="H129" s="1"/>
      <c r="I129" s="1"/>
      <c r="J129" s="1"/>
      <c r="K129" s="1"/>
    </row>
    <row r="130" spans="1:11" ht="24" customHeight="1" x14ac:dyDescent="0.15">
      <c r="A130" s="5"/>
      <c r="H130" s="1"/>
      <c r="I130" s="1"/>
      <c r="J130" s="1"/>
      <c r="K130" s="1"/>
    </row>
    <row r="131" spans="1:11" ht="24" customHeight="1" x14ac:dyDescent="0.15">
      <c r="A131" s="5"/>
      <c r="H131" s="1"/>
      <c r="I131" s="1"/>
      <c r="J131" s="1"/>
      <c r="K131" s="1"/>
    </row>
    <row r="132" spans="1:11" ht="24" customHeight="1" x14ac:dyDescent="0.15">
      <c r="A132" s="5"/>
      <c r="H132" s="1"/>
      <c r="I132" s="1"/>
      <c r="J132" s="1"/>
      <c r="K132" s="1"/>
    </row>
    <row r="133" spans="1:11" ht="24" customHeight="1" x14ac:dyDescent="0.15">
      <c r="A133" s="5"/>
      <c r="H133" s="1"/>
      <c r="I133" s="1"/>
      <c r="J133" s="1"/>
      <c r="K133" s="1"/>
    </row>
    <row r="134" spans="1:11" ht="24" customHeight="1" x14ac:dyDescent="0.15">
      <c r="A134" s="5"/>
      <c r="H134" s="1"/>
      <c r="I134" s="1"/>
      <c r="J134" s="1"/>
      <c r="K134" s="1"/>
    </row>
    <row r="135" spans="1:11" ht="24" customHeight="1" x14ac:dyDescent="0.15">
      <c r="A135" s="5"/>
      <c r="H135" s="1"/>
      <c r="I135" s="1"/>
      <c r="J135" s="1"/>
      <c r="K135" s="1"/>
    </row>
    <row r="136" spans="1:11" ht="24" customHeight="1" x14ac:dyDescent="0.15">
      <c r="A136" s="5"/>
      <c r="H136" s="1"/>
      <c r="I136" s="1"/>
      <c r="J136" s="1"/>
      <c r="K136" s="1"/>
    </row>
    <row r="137" spans="1:11" ht="24" customHeight="1" x14ac:dyDescent="0.15">
      <c r="A137" s="5"/>
      <c r="H137" s="1"/>
      <c r="I137" s="1"/>
      <c r="J137" s="1"/>
      <c r="K137" s="1"/>
    </row>
    <row r="138" spans="1:11" ht="24" customHeight="1" x14ac:dyDescent="0.15">
      <c r="A138" s="5"/>
      <c r="H138" s="1"/>
      <c r="I138" s="1"/>
      <c r="J138" s="1"/>
      <c r="K138" s="1"/>
    </row>
    <row r="139" spans="1:11" ht="24" customHeight="1" x14ac:dyDescent="0.15">
      <c r="A139" s="5"/>
      <c r="H139" s="1"/>
      <c r="I139" s="1"/>
      <c r="J139" s="1"/>
      <c r="K139" s="1"/>
    </row>
    <row r="140" spans="1:11" ht="24" customHeight="1" x14ac:dyDescent="0.15">
      <c r="A140" s="5"/>
      <c r="H140" s="1"/>
      <c r="I140" s="1"/>
      <c r="J140" s="1"/>
      <c r="K140" s="1"/>
    </row>
    <row r="141" spans="1:11" ht="24" customHeight="1" x14ac:dyDescent="0.15">
      <c r="A141" s="5"/>
      <c r="H141" s="1"/>
      <c r="I141" s="1"/>
      <c r="J141" s="1"/>
      <c r="K141" s="1"/>
    </row>
    <row r="142" spans="1:11" ht="24" customHeight="1" x14ac:dyDescent="0.15">
      <c r="A142" s="5"/>
      <c r="H142" s="1"/>
      <c r="I142" s="1"/>
      <c r="J142" s="1"/>
      <c r="K142" s="1"/>
    </row>
    <row r="143" spans="1:11" ht="24" customHeight="1" x14ac:dyDescent="0.15">
      <c r="A143" s="5"/>
      <c r="H143" s="1"/>
      <c r="I143" s="1"/>
      <c r="J143" s="1"/>
      <c r="K143" s="1"/>
    </row>
    <row r="144" spans="1:11" ht="24" customHeight="1" x14ac:dyDescent="0.15">
      <c r="A144" s="5"/>
      <c r="H144" s="1"/>
      <c r="I144" s="1"/>
      <c r="J144" s="1"/>
      <c r="K144" s="1"/>
    </row>
    <row r="145" spans="1:11" ht="24" customHeight="1" x14ac:dyDescent="0.15">
      <c r="A145" s="5"/>
      <c r="H145" s="1"/>
      <c r="I145" s="1"/>
      <c r="J145" s="1"/>
      <c r="K145" s="1"/>
    </row>
    <row r="146" spans="1:11" ht="24" customHeight="1" x14ac:dyDescent="0.15">
      <c r="A146" s="5"/>
      <c r="H146" s="1"/>
      <c r="I146" s="1"/>
      <c r="J146" s="1"/>
      <c r="K146" s="1"/>
    </row>
    <row r="147" spans="1:11" ht="24" customHeight="1" x14ac:dyDescent="0.15">
      <c r="A147" s="5"/>
      <c r="H147" s="1"/>
      <c r="I147" s="1"/>
      <c r="J147" s="1"/>
      <c r="K147" s="1"/>
    </row>
    <row r="148" spans="1:11" ht="24" customHeight="1" x14ac:dyDescent="0.15">
      <c r="A148" s="5"/>
      <c r="H148" s="1"/>
      <c r="I148" s="1"/>
      <c r="J148" s="1"/>
      <c r="K148" s="1"/>
    </row>
    <row r="149" spans="1:11" ht="24" customHeight="1" x14ac:dyDescent="0.15">
      <c r="A149" s="5"/>
      <c r="H149" s="1"/>
      <c r="I149" s="1"/>
      <c r="J149" s="1"/>
      <c r="K149" s="1"/>
    </row>
    <row r="150" spans="1:11" ht="24" customHeight="1" x14ac:dyDescent="0.15">
      <c r="A150" s="5"/>
      <c r="H150" s="1"/>
      <c r="I150" s="1"/>
      <c r="J150" s="1"/>
      <c r="K150" s="1"/>
    </row>
    <row r="151" spans="1:11" ht="24" customHeight="1" x14ac:dyDescent="0.15">
      <c r="A151" s="5"/>
      <c r="H151" s="1"/>
      <c r="I151" s="1"/>
      <c r="J151" s="1"/>
      <c r="K151" s="1"/>
    </row>
    <row r="152" spans="1:11" ht="24" customHeight="1" x14ac:dyDescent="0.15">
      <c r="A152" s="5"/>
      <c r="H152" s="1"/>
      <c r="I152" s="1"/>
      <c r="J152" s="1"/>
      <c r="K152" s="1"/>
    </row>
    <row r="153" spans="1:11" ht="24" customHeight="1" x14ac:dyDescent="0.15">
      <c r="A153" s="5"/>
      <c r="H153" s="1"/>
      <c r="I153" s="1"/>
      <c r="J153" s="1"/>
      <c r="K153" s="1"/>
    </row>
    <row r="154" spans="1:11" ht="24" customHeight="1" x14ac:dyDescent="0.15">
      <c r="A154" s="5"/>
      <c r="H154" s="1"/>
      <c r="I154" s="1"/>
      <c r="J154" s="1"/>
      <c r="K154" s="1"/>
    </row>
    <row r="155" spans="1:11" ht="24" customHeight="1" x14ac:dyDescent="0.15">
      <c r="A155" s="5"/>
      <c r="H155" s="1"/>
      <c r="I155" s="1"/>
      <c r="J155" s="1"/>
      <c r="K155" s="1"/>
    </row>
    <row r="156" spans="1:11" ht="24" customHeight="1" x14ac:dyDescent="0.15">
      <c r="A156" s="5"/>
      <c r="H156" s="1"/>
      <c r="I156" s="1"/>
      <c r="J156" s="1"/>
      <c r="K156" s="1"/>
    </row>
    <row r="157" spans="1:11" ht="24" customHeight="1" x14ac:dyDescent="0.15">
      <c r="A157" s="5"/>
      <c r="H157" s="1"/>
      <c r="I157" s="1"/>
      <c r="J157" s="1"/>
      <c r="K157" s="1"/>
    </row>
    <row r="158" spans="1:11" ht="24" customHeight="1" x14ac:dyDescent="0.15">
      <c r="A158" s="5"/>
      <c r="H158" s="1"/>
      <c r="I158" s="1"/>
      <c r="J158" s="1"/>
      <c r="K158" s="1"/>
    </row>
    <row r="159" spans="1:11" ht="24" customHeight="1" x14ac:dyDescent="0.15">
      <c r="A159" s="5"/>
      <c r="H159" s="1"/>
      <c r="I159" s="1"/>
      <c r="J159" s="1"/>
      <c r="K159" s="1"/>
    </row>
    <row r="160" spans="1:11" ht="24" customHeight="1" x14ac:dyDescent="0.15">
      <c r="A160" s="5"/>
      <c r="H160" s="1"/>
      <c r="I160" s="1"/>
      <c r="J160" s="1"/>
      <c r="K160" s="1"/>
    </row>
    <row r="161" spans="1:11" ht="24" customHeight="1" x14ac:dyDescent="0.15">
      <c r="A161" s="5"/>
      <c r="H161" s="1"/>
      <c r="I161" s="1"/>
      <c r="J161" s="1"/>
      <c r="K161" s="1"/>
    </row>
    <row r="162" spans="1:11" ht="24" customHeight="1" x14ac:dyDescent="0.15">
      <c r="A162" s="5"/>
      <c r="H162" s="1"/>
      <c r="I162" s="1"/>
      <c r="J162" s="1"/>
      <c r="K162" s="1"/>
    </row>
    <row r="163" spans="1:11" ht="24" customHeight="1" x14ac:dyDescent="0.15">
      <c r="A163" s="5"/>
      <c r="H163" s="1"/>
      <c r="I163" s="1"/>
      <c r="J163" s="1"/>
      <c r="K163" s="1"/>
    </row>
    <row r="164" spans="1:11" ht="24" customHeight="1" x14ac:dyDescent="0.15">
      <c r="A164" s="5"/>
      <c r="H164" s="1"/>
      <c r="I164" s="1"/>
      <c r="J164" s="1"/>
      <c r="K164" s="1"/>
    </row>
    <row r="165" spans="1:11" ht="24" customHeight="1" x14ac:dyDescent="0.15">
      <c r="A165" s="5"/>
      <c r="H165" s="1"/>
      <c r="I165" s="1"/>
      <c r="J165" s="1"/>
      <c r="K165" s="1"/>
    </row>
    <row r="166" spans="1:11" ht="24" customHeight="1" x14ac:dyDescent="0.15">
      <c r="A166" s="5"/>
      <c r="H166" s="1"/>
      <c r="I166" s="1"/>
      <c r="J166" s="1"/>
      <c r="K166" s="1"/>
    </row>
    <row r="167" spans="1:11" ht="24" customHeight="1" x14ac:dyDescent="0.15">
      <c r="A167" s="5"/>
      <c r="H167" s="1"/>
      <c r="I167" s="1"/>
      <c r="J167" s="1"/>
      <c r="K167" s="1"/>
    </row>
    <row r="168" spans="1:11" ht="24" customHeight="1" x14ac:dyDescent="0.15">
      <c r="A168" s="5"/>
      <c r="H168" s="1"/>
      <c r="I168" s="1"/>
      <c r="J168" s="1"/>
      <c r="K168" s="1"/>
    </row>
    <row r="169" spans="1:11" ht="24" customHeight="1" x14ac:dyDescent="0.15">
      <c r="A169" s="5"/>
      <c r="H169" s="1"/>
      <c r="I169" s="1"/>
      <c r="J169" s="1"/>
      <c r="K169" s="1"/>
    </row>
    <row r="170" spans="1:11" ht="24" customHeight="1" x14ac:dyDescent="0.15">
      <c r="A170" s="5"/>
      <c r="H170" s="1"/>
      <c r="I170" s="1"/>
      <c r="J170" s="1"/>
      <c r="K170" s="1"/>
    </row>
    <row r="171" spans="1:11" ht="24" customHeight="1" x14ac:dyDescent="0.15">
      <c r="A171" s="5"/>
      <c r="H171" s="1"/>
      <c r="I171" s="1"/>
      <c r="J171" s="1"/>
      <c r="K171" s="1"/>
    </row>
    <row r="172" spans="1:11" ht="24" customHeight="1" x14ac:dyDescent="0.15">
      <c r="A172" s="5"/>
      <c r="H172" s="1"/>
      <c r="I172" s="1"/>
      <c r="J172" s="1"/>
      <c r="K172" s="1"/>
    </row>
    <row r="173" spans="1:11" ht="24" customHeight="1" x14ac:dyDescent="0.15">
      <c r="A173" s="5"/>
      <c r="H173" s="1"/>
      <c r="I173" s="1"/>
      <c r="J173" s="1"/>
      <c r="K173" s="1"/>
    </row>
    <row r="174" spans="1:11" ht="24" customHeight="1" x14ac:dyDescent="0.15">
      <c r="A174" s="5"/>
      <c r="H174" s="1"/>
      <c r="I174" s="1"/>
      <c r="J174" s="1"/>
      <c r="K174" s="1"/>
    </row>
    <row r="175" spans="1:11" ht="24" customHeight="1" x14ac:dyDescent="0.15">
      <c r="A175" s="5"/>
      <c r="H175" s="1"/>
      <c r="I175" s="1"/>
      <c r="J175" s="1"/>
      <c r="K175" s="1"/>
    </row>
    <row r="176" spans="1:11" ht="24" customHeight="1" x14ac:dyDescent="0.15">
      <c r="A176" s="5"/>
      <c r="H176" s="1"/>
      <c r="I176" s="1"/>
      <c r="J176" s="1"/>
      <c r="K176" s="1"/>
    </row>
    <row r="177" spans="1:11" ht="24" customHeight="1" x14ac:dyDescent="0.15">
      <c r="A177" s="5"/>
      <c r="H177" s="1"/>
      <c r="I177" s="1"/>
      <c r="J177" s="1"/>
      <c r="K177" s="1"/>
    </row>
    <row r="178" spans="1:11" ht="24" customHeight="1" x14ac:dyDescent="0.15">
      <c r="A178" s="5"/>
      <c r="H178" s="1"/>
      <c r="I178" s="1"/>
      <c r="J178" s="1"/>
      <c r="K178" s="1"/>
    </row>
    <row r="179" spans="1:11" ht="24" customHeight="1" x14ac:dyDescent="0.15">
      <c r="A179" s="5"/>
      <c r="H179" s="1"/>
      <c r="I179" s="1"/>
      <c r="J179" s="1"/>
      <c r="K179" s="1"/>
    </row>
    <row r="180" spans="1:11" ht="24" customHeight="1" x14ac:dyDescent="0.15">
      <c r="A180" s="5"/>
      <c r="H180" s="1"/>
      <c r="I180" s="1"/>
      <c r="J180" s="1"/>
      <c r="K180" s="1"/>
    </row>
    <row r="181" spans="1:11" ht="24" customHeight="1" x14ac:dyDescent="0.15">
      <c r="A181" s="5"/>
      <c r="H181" s="1"/>
      <c r="I181" s="1"/>
      <c r="J181" s="1"/>
      <c r="K181" s="1"/>
    </row>
    <row r="182" spans="1:11" ht="24" customHeight="1" x14ac:dyDescent="0.15">
      <c r="A182" s="5"/>
      <c r="H182" s="1"/>
      <c r="I182" s="1"/>
      <c r="J182" s="1"/>
      <c r="K182" s="1"/>
    </row>
    <row r="183" spans="1:11" ht="24" customHeight="1" x14ac:dyDescent="0.15">
      <c r="A183" s="5"/>
      <c r="H183" s="1"/>
      <c r="I183" s="1"/>
      <c r="J183" s="1"/>
      <c r="K183" s="1"/>
    </row>
    <row r="184" spans="1:11" ht="24" customHeight="1" x14ac:dyDescent="0.15">
      <c r="A184" s="5"/>
      <c r="H184" s="1"/>
      <c r="I184" s="1"/>
      <c r="J184" s="1"/>
      <c r="K184" s="1"/>
    </row>
    <row r="185" spans="1:11" ht="24" customHeight="1" x14ac:dyDescent="0.15">
      <c r="A185" s="5"/>
      <c r="H185" s="1"/>
      <c r="I185" s="1"/>
      <c r="J185" s="1"/>
      <c r="K185" s="1"/>
    </row>
    <row r="186" spans="1:11" ht="24" customHeight="1" x14ac:dyDescent="0.15">
      <c r="A186" s="5"/>
      <c r="H186" s="1"/>
      <c r="I186" s="1"/>
      <c r="J186" s="1"/>
      <c r="K186" s="1"/>
    </row>
    <row r="187" spans="1:11" ht="24" customHeight="1" x14ac:dyDescent="0.15">
      <c r="A187" s="5"/>
      <c r="H187" s="1"/>
      <c r="I187" s="1"/>
      <c r="J187" s="1"/>
      <c r="K187" s="1"/>
    </row>
    <row r="188" spans="1:11" ht="24" customHeight="1" x14ac:dyDescent="0.15">
      <c r="A188" s="5"/>
      <c r="H188" s="1"/>
      <c r="I188" s="1"/>
      <c r="J188" s="1"/>
      <c r="K188" s="1"/>
    </row>
    <row r="189" spans="1:11" ht="24" customHeight="1" x14ac:dyDescent="0.15">
      <c r="A189" s="5"/>
      <c r="H189" s="1"/>
      <c r="I189" s="1"/>
      <c r="J189" s="1"/>
      <c r="K189" s="1"/>
    </row>
    <row r="190" spans="1:11" ht="24" customHeight="1" x14ac:dyDescent="0.15">
      <c r="A190" s="5"/>
      <c r="H190" s="1"/>
      <c r="I190" s="1"/>
      <c r="J190" s="1"/>
      <c r="K190" s="1"/>
    </row>
    <row r="191" spans="1:11" ht="24" customHeight="1" x14ac:dyDescent="0.15">
      <c r="A191" s="5"/>
      <c r="H191" s="1"/>
      <c r="I191" s="1"/>
      <c r="J191" s="1"/>
      <c r="K191" s="1"/>
    </row>
    <row r="192" spans="1:11" ht="24" customHeight="1" x14ac:dyDescent="0.15">
      <c r="A192" s="5"/>
      <c r="H192" s="1"/>
      <c r="I192" s="1"/>
      <c r="J192" s="1"/>
      <c r="K192" s="1"/>
    </row>
    <row r="193" spans="1:11" ht="24" customHeight="1" x14ac:dyDescent="0.15">
      <c r="A193" s="5"/>
      <c r="H193" s="1"/>
      <c r="I193" s="1"/>
      <c r="J193" s="1"/>
      <c r="K193" s="1"/>
    </row>
    <row r="194" spans="1:11" ht="24" customHeight="1" x14ac:dyDescent="0.15">
      <c r="A194" s="5"/>
      <c r="H194" s="1"/>
      <c r="I194" s="1"/>
      <c r="J194" s="1"/>
      <c r="K194" s="1"/>
    </row>
    <row r="195" spans="1:11" ht="24" customHeight="1" x14ac:dyDescent="0.15">
      <c r="A195" s="5"/>
      <c r="H195" s="1"/>
      <c r="I195" s="1"/>
      <c r="J195" s="1"/>
      <c r="K195" s="1"/>
    </row>
    <row r="196" spans="1:11" ht="24" customHeight="1" x14ac:dyDescent="0.15">
      <c r="A196" s="5"/>
      <c r="H196" s="1"/>
      <c r="I196" s="1"/>
      <c r="J196" s="1"/>
      <c r="K196" s="1"/>
    </row>
    <row r="197" spans="1:11" ht="24" customHeight="1" x14ac:dyDescent="0.15">
      <c r="A197" s="5"/>
      <c r="H197" s="1"/>
      <c r="I197" s="1"/>
      <c r="J197" s="1"/>
      <c r="K197" s="1"/>
    </row>
    <row r="198" spans="1:11" ht="24" customHeight="1" x14ac:dyDescent="0.15">
      <c r="A198" s="5"/>
      <c r="H198" s="1"/>
      <c r="I198" s="1"/>
      <c r="J198" s="1"/>
      <c r="K198" s="1"/>
    </row>
    <row r="199" spans="1:11" ht="24" customHeight="1" x14ac:dyDescent="0.15">
      <c r="A199" s="5"/>
      <c r="H199" s="1"/>
      <c r="I199" s="1"/>
      <c r="J199" s="1"/>
      <c r="K199" s="1"/>
    </row>
    <row r="200" spans="1:11" ht="24" customHeight="1" x14ac:dyDescent="0.15">
      <c r="A200" s="5"/>
      <c r="H200" s="1"/>
      <c r="I200" s="1"/>
      <c r="J200" s="1"/>
      <c r="K200" s="1"/>
    </row>
    <row r="201" spans="1:11" ht="24" customHeight="1" x14ac:dyDescent="0.15">
      <c r="A201" s="5"/>
      <c r="H201" s="1"/>
      <c r="I201" s="1"/>
      <c r="J201" s="1"/>
      <c r="K201" s="1"/>
    </row>
    <row r="202" spans="1:11" ht="24" customHeight="1" x14ac:dyDescent="0.15">
      <c r="A202" s="5"/>
      <c r="H202" s="1"/>
      <c r="I202" s="1"/>
      <c r="J202" s="1"/>
      <c r="K202" s="1"/>
    </row>
    <row r="203" spans="1:11" ht="24" customHeight="1" x14ac:dyDescent="0.15">
      <c r="A203" s="5"/>
      <c r="H203" s="1"/>
      <c r="I203" s="1"/>
      <c r="J203" s="1"/>
      <c r="K203" s="1"/>
    </row>
    <row r="204" spans="1:11" ht="24" customHeight="1" x14ac:dyDescent="0.15">
      <c r="A204" s="5"/>
      <c r="H204" s="1"/>
      <c r="I204" s="1"/>
      <c r="J204" s="1"/>
      <c r="K204" s="1"/>
    </row>
    <row r="205" spans="1:11" ht="24" customHeight="1" x14ac:dyDescent="0.15">
      <c r="A205" s="5"/>
      <c r="H205" s="1"/>
      <c r="I205" s="1"/>
      <c r="J205" s="1"/>
      <c r="K205" s="1"/>
    </row>
    <row r="206" spans="1:11" ht="24" customHeight="1" x14ac:dyDescent="0.15">
      <c r="A206" s="5"/>
      <c r="H206" s="1"/>
      <c r="I206" s="1"/>
      <c r="J206" s="1"/>
      <c r="K206" s="1"/>
    </row>
    <row r="207" spans="1:11" ht="24" customHeight="1" x14ac:dyDescent="0.15">
      <c r="A207" s="5"/>
      <c r="H207" s="1"/>
      <c r="I207" s="1"/>
      <c r="J207" s="1"/>
      <c r="K207" s="1"/>
    </row>
    <row r="208" spans="1:11" ht="24" customHeight="1" x14ac:dyDescent="0.15">
      <c r="A208" s="5"/>
      <c r="H208" s="1"/>
      <c r="I208" s="1"/>
      <c r="J208" s="1"/>
      <c r="K208" s="1"/>
    </row>
    <row r="209" spans="1:11" ht="24" customHeight="1" x14ac:dyDescent="0.15">
      <c r="A209" s="5"/>
      <c r="H209" s="1"/>
      <c r="I209" s="1"/>
      <c r="J209" s="1"/>
      <c r="K209" s="1"/>
    </row>
    <row r="210" spans="1:11" ht="24" customHeight="1" x14ac:dyDescent="0.15">
      <c r="A210" s="5"/>
      <c r="H210" s="1"/>
      <c r="I210" s="1"/>
      <c r="J210" s="1"/>
      <c r="K210" s="1"/>
    </row>
    <row r="211" spans="1:11" ht="24" customHeight="1" x14ac:dyDescent="0.15">
      <c r="A211" s="5"/>
      <c r="H211" s="1"/>
      <c r="I211" s="1"/>
      <c r="J211" s="1"/>
      <c r="K211" s="1"/>
    </row>
    <row r="212" spans="1:11" ht="24" customHeight="1" x14ac:dyDescent="0.15">
      <c r="A212" s="5"/>
      <c r="H212" s="1"/>
      <c r="I212" s="1"/>
      <c r="J212" s="1"/>
      <c r="K212" s="1"/>
    </row>
    <row r="213" spans="1:11" ht="24" customHeight="1" x14ac:dyDescent="0.15">
      <c r="A213" s="5"/>
      <c r="H213" s="1"/>
      <c r="I213" s="1"/>
      <c r="J213" s="1"/>
      <c r="K213" s="1"/>
    </row>
    <row r="214" spans="1:11" ht="24" customHeight="1" x14ac:dyDescent="0.15">
      <c r="A214" s="5"/>
      <c r="H214" s="1"/>
      <c r="I214" s="1"/>
      <c r="J214" s="1"/>
      <c r="K214" s="1"/>
    </row>
    <row r="215" spans="1:11" ht="24" customHeight="1" x14ac:dyDescent="0.15">
      <c r="A215" s="5"/>
      <c r="H215" s="1"/>
      <c r="I215" s="1"/>
      <c r="J215" s="1"/>
      <c r="K215" s="1"/>
    </row>
    <row r="216" spans="1:11" ht="24" customHeight="1" x14ac:dyDescent="0.15">
      <c r="A216" s="5"/>
      <c r="H216" s="1"/>
      <c r="I216" s="1"/>
      <c r="J216" s="1"/>
      <c r="K216" s="1"/>
    </row>
    <row r="217" spans="1:11" ht="24" customHeight="1" x14ac:dyDescent="0.15">
      <c r="A217" s="5"/>
      <c r="H217" s="1"/>
      <c r="I217" s="1"/>
      <c r="J217" s="1"/>
      <c r="K217" s="1"/>
    </row>
    <row r="218" spans="1:11" ht="24" customHeight="1" x14ac:dyDescent="0.15">
      <c r="A218" s="5"/>
      <c r="H218" s="1"/>
      <c r="I218" s="1"/>
      <c r="J218" s="1"/>
      <c r="K218" s="1"/>
    </row>
    <row r="219" spans="1:11" ht="24" customHeight="1" x14ac:dyDescent="0.15">
      <c r="A219" s="5"/>
      <c r="H219" s="1"/>
      <c r="I219" s="1"/>
      <c r="J219" s="1"/>
      <c r="K219" s="1"/>
    </row>
    <row r="220" spans="1:11" ht="24" customHeight="1" x14ac:dyDescent="0.15">
      <c r="A220" s="5"/>
      <c r="H220" s="1"/>
      <c r="I220" s="1"/>
      <c r="J220" s="1"/>
      <c r="K220" s="1"/>
    </row>
    <row r="221" spans="1:11" ht="24" customHeight="1" x14ac:dyDescent="0.15">
      <c r="A221" s="5"/>
      <c r="H221" s="1"/>
      <c r="I221" s="1"/>
      <c r="J221" s="1"/>
      <c r="K221" s="1"/>
    </row>
    <row r="222" spans="1:11" ht="24" customHeight="1" x14ac:dyDescent="0.15">
      <c r="A222" s="5"/>
      <c r="H222" s="1"/>
      <c r="I222" s="1"/>
      <c r="J222" s="1"/>
      <c r="K222" s="1"/>
    </row>
    <row r="223" spans="1:11" ht="24" customHeight="1" x14ac:dyDescent="0.15">
      <c r="A223" s="5"/>
      <c r="H223" s="1"/>
      <c r="I223" s="1"/>
      <c r="J223" s="1"/>
      <c r="K223" s="1"/>
    </row>
    <row r="224" spans="1:11" ht="24" customHeight="1" x14ac:dyDescent="0.15">
      <c r="A224" s="5"/>
      <c r="H224" s="1"/>
      <c r="I224" s="1"/>
      <c r="J224" s="1"/>
      <c r="K224" s="1"/>
    </row>
    <row r="225" spans="1:11" ht="24" customHeight="1" x14ac:dyDescent="0.15">
      <c r="A225" s="5"/>
      <c r="H225" s="1"/>
      <c r="I225" s="1"/>
      <c r="J225" s="1"/>
      <c r="K225" s="1"/>
    </row>
    <row r="226" spans="1:11" ht="24" customHeight="1" x14ac:dyDescent="0.15">
      <c r="A226" s="5"/>
      <c r="H226" s="1"/>
      <c r="I226" s="1"/>
      <c r="J226" s="1"/>
      <c r="K226" s="1"/>
    </row>
    <row r="227" spans="1:11" ht="12.75" customHeight="1" x14ac:dyDescent="0.15">
      <c r="A227" s="5"/>
      <c r="H227" s="1"/>
      <c r="I227" s="1"/>
      <c r="J227" s="1"/>
      <c r="K227" s="1"/>
    </row>
    <row r="228" spans="1:11" ht="12.75" customHeight="1" x14ac:dyDescent="0.15">
      <c r="A228" s="5"/>
      <c r="H228" s="1"/>
      <c r="I228" s="1"/>
      <c r="J228" s="1"/>
      <c r="K228" s="1"/>
    </row>
    <row r="229" spans="1:11" ht="12.75" customHeight="1" x14ac:dyDescent="0.15">
      <c r="A229" s="5"/>
      <c r="H229" s="1"/>
      <c r="I229" s="1"/>
      <c r="J229" s="1"/>
      <c r="K229" s="1"/>
    </row>
    <row r="230" spans="1:11" ht="12.75" customHeight="1" x14ac:dyDescent="0.15">
      <c r="A230" s="5"/>
      <c r="H230" s="1"/>
      <c r="I230" s="1"/>
      <c r="J230" s="1"/>
      <c r="K230" s="1"/>
    </row>
    <row r="231" spans="1:11" ht="12.75" customHeight="1" x14ac:dyDescent="0.15">
      <c r="A231" s="5"/>
      <c r="H231" s="1"/>
      <c r="I231" s="1"/>
      <c r="J231" s="1"/>
      <c r="K231" s="1"/>
    </row>
    <row r="232" spans="1:11" ht="12.75" customHeight="1" x14ac:dyDescent="0.15">
      <c r="A232" s="5"/>
      <c r="H232" s="1"/>
      <c r="I232" s="1"/>
      <c r="J232" s="1"/>
      <c r="K232" s="1"/>
    </row>
    <row r="233" spans="1:11" ht="12.75" customHeight="1" x14ac:dyDescent="0.15">
      <c r="A233" s="5"/>
      <c r="H233" s="1"/>
      <c r="I233" s="1"/>
      <c r="J233" s="1"/>
      <c r="K233" s="1"/>
    </row>
    <row r="234" spans="1:11" ht="12.75" customHeight="1" x14ac:dyDescent="0.15">
      <c r="A234" s="5"/>
      <c r="H234" s="1"/>
      <c r="I234" s="1"/>
      <c r="J234" s="1"/>
      <c r="K234" s="1"/>
    </row>
    <row r="235" spans="1:11" ht="12.75" customHeight="1" x14ac:dyDescent="0.15">
      <c r="A235" s="5"/>
      <c r="H235" s="1"/>
      <c r="I235" s="1"/>
      <c r="J235" s="1"/>
      <c r="K235" s="1"/>
    </row>
    <row r="236" spans="1:11" ht="12.75" customHeight="1" x14ac:dyDescent="0.15">
      <c r="A236" s="5"/>
      <c r="H236" s="1"/>
      <c r="I236" s="1"/>
      <c r="J236" s="1"/>
      <c r="K236" s="1"/>
    </row>
    <row r="237" spans="1:11" ht="12.75" customHeight="1" x14ac:dyDescent="0.15">
      <c r="A237" s="5"/>
      <c r="H237" s="1"/>
      <c r="I237" s="1"/>
      <c r="J237" s="1"/>
      <c r="K237" s="1"/>
    </row>
    <row r="238" spans="1:11" ht="12.75" customHeight="1" x14ac:dyDescent="0.15">
      <c r="A238" s="5"/>
      <c r="H238" s="1"/>
      <c r="I238" s="1"/>
      <c r="J238" s="1"/>
      <c r="K238" s="1"/>
    </row>
    <row r="239" spans="1:11" ht="12.75" customHeight="1" x14ac:dyDescent="0.15">
      <c r="A239" s="5"/>
      <c r="H239" s="1"/>
      <c r="I239" s="1"/>
      <c r="J239" s="1"/>
      <c r="K239" s="1"/>
    </row>
    <row r="240" spans="1:11" ht="12.75" customHeight="1" x14ac:dyDescent="0.15">
      <c r="A240" s="5"/>
      <c r="H240" s="1"/>
      <c r="I240" s="1"/>
      <c r="J240" s="1"/>
      <c r="K240" s="1"/>
    </row>
    <row r="241" spans="1:11" ht="12.75" customHeight="1" x14ac:dyDescent="0.15">
      <c r="A241" s="5"/>
      <c r="H241" s="1"/>
      <c r="I241" s="1"/>
      <c r="J241" s="1"/>
      <c r="K241" s="1"/>
    </row>
    <row r="242" spans="1:11" ht="12.75" customHeight="1" x14ac:dyDescent="0.15">
      <c r="A242" s="5"/>
      <c r="H242" s="1"/>
      <c r="I242" s="1"/>
      <c r="J242" s="1"/>
      <c r="K242" s="1"/>
    </row>
    <row r="243" spans="1:11" ht="12.75" customHeight="1" x14ac:dyDescent="0.15">
      <c r="A243" s="5"/>
      <c r="H243" s="1"/>
      <c r="I243" s="1"/>
      <c r="J243" s="1"/>
      <c r="K243" s="1"/>
    </row>
    <row r="244" spans="1:11" ht="12.75" customHeight="1" x14ac:dyDescent="0.15">
      <c r="A244" s="5"/>
      <c r="H244" s="1"/>
      <c r="I244" s="1"/>
      <c r="J244" s="1"/>
      <c r="K244" s="1"/>
    </row>
    <row r="245" spans="1:11" ht="12.75" customHeight="1" x14ac:dyDescent="0.15">
      <c r="A245" s="5"/>
      <c r="H245" s="1"/>
      <c r="I245" s="1"/>
      <c r="J245" s="1"/>
      <c r="K245" s="1"/>
    </row>
    <row r="246" spans="1:11" ht="12.75" customHeight="1" x14ac:dyDescent="0.15">
      <c r="A246" s="5"/>
      <c r="H246" s="1"/>
      <c r="I246" s="1"/>
      <c r="J246" s="1"/>
      <c r="K246" s="1"/>
    </row>
    <row r="247" spans="1:11" ht="12.75" customHeight="1" x14ac:dyDescent="0.15">
      <c r="A247" s="5"/>
      <c r="H247" s="1"/>
      <c r="I247" s="1"/>
      <c r="J247" s="1"/>
      <c r="K247" s="1"/>
    </row>
    <row r="248" spans="1:11" ht="12.75" customHeight="1" x14ac:dyDescent="0.15">
      <c r="A248" s="5"/>
      <c r="H248" s="1"/>
      <c r="I248" s="1"/>
      <c r="J248" s="1"/>
      <c r="K248" s="1"/>
    </row>
    <row r="249" spans="1:11" ht="12.75" customHeight="1" x14ac:dyDescent="0.15">
      <c r="A249" s="5"/>
      <c r="H249" s="1"/>
      <c r="I249" s="1"/>
      <c r="J249" s="1"/>
      <c r="K249" s="1"/>
    </row>
    <row r="250" spans="1:11" ht="12.75" customHeight="1" x14ac:dyDescent="0.15">
      <c r="A250" s="5"/>
      <c r="H250" s="1"/>
      <c r="I250" s="1"/>
      <c r="J250" s="1"/>
      <c r="K250" s="1"/>
    </row>
    <row r="251" spans="1:11" ht="12.75" customHeight="1" x14ac:dyDescent="0.15">
      <c r="A251" s="5"/>
      <c r="H251" s="1"/>
      <c r="I251" s="1"/>
      <c r="J251" s="1"/>
      <c r="K251" s="1"/>
    </row>
    <row r="252" spans="1:11" ht="12.75" customHeight="1" x14ac:dyDescent="0.15">
      <c r="A252" s="5"/>
      <c r="H252" s="1"/>
      <c r="I252" s="1"/>
      <c r="J252" s="1"/>
      <c r="K252" s="1"/>
    </row>
    <row r="253" spans="1:11" ht="12.75" customHeight="1" x14ac:dyDescent="0.15">
      <c r="A253" s="5"/>
      <c r="H253" s="1"/>
      <c r="I253" s="1"/>
      <c r="J253" s="1"/>
      <c r="K253" s="1"/>
    </row>
    <row r="254" spans="1:11" ht="12.75" customHeight="1" x14ac:dyDescent="0.15">
      <c r="A254" s="5"/>
      <c r="H254" s="1"/>
      <c r="I254" s="1"/>
      <c r="J254" s="1"/>
      <c r="K254" s="1"/>
    </row>
    <row r="255" spans="1:11" ht="12.75" customHeight="1" x14ac:dyDescent="0.15">
      <c r="A255" s="5"/>
      <c r="H255" s="1"/>
      <c r="I255" s="1"/>
      <c r="J255" s="1"/>
      <c r="K255" s="1"/>
    </row>
    <row r="256" spans="1:11" ht="12.75" customHeight="1" x14ac:dyDescent="0.15">
      <c r="A256" s="5"/>
      <c r="H256" s="1"/>
      <c r="I256" s="1"/>
      <c r="J256" s="1"/>
      <c r="K256" s="1"/>
    </row>
    <row r="257" spans="1:11" ht="12.75" customHeight="1" x14ac:dyDescent="0.15">
      <c r="A257" s="5"/>
      <c r="H257" s="1"/>
      <c r="I257" s="1"/>
      <c r="J257" s="1"/>
      <c r="K257" s="1"/>
    </row>
    <row r="258" spans="1:11" ht="12.75" customHeight="1" x14ac:dyDescent="0.15">
      <c r="A258" s="5"/>
      <c r="H258" s="1"/>
      <c r="I258" s="1"/>
      <c r="J258" s="1"/>
      <c r="K258" s="1"/>
    </row>
    <row r="259" spans="1:11" ht="12.75" customHeight="1" x14ac:dyDescent="0.15">
      <c r="A259" s="5"/>
      <c r="H259" s="1"/>
      <c r="I259" s="1"/>
      <c r="J259" s="1"/>
      <c r="K259" s="1"/>
    </row>
    <row r="260" spans="1:11" ht="12.75" customHeight="1" x14ac:dyDescent="0.15">
      <c r="A260" s="5"/>
      <c r="H260" s="1"/>
      <c r="I260" s="1"/>
      <c r="J260" s="1"/>
      <c r="K260" s="1"/>
    </row>
    <row r="261" spans="1:11" ht="12.75" customHeight="1" x14ac:dyDescent="0.15">
      <c r="A261" s="5"/>
      <c r="H261" s="1"/>
      <c r="I261" s="1"/>
      <c r="J261" s="1"/>
      <c r="K261" s="1"/>
    </row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10F09-8B82-4346-A867-FDB0022661A8}">
  <sheetPr codeName="Hoja5"/>
  <dimension ref="A1:IO261"/>
  <sheetViews>
    <sheetView topLeftCell="A51" zoomScale="64" zoomScaleNormal="70" workbookViewId="0">
      <selection activeCell="H55" sqref="H55"/>
    </sheetView>
  </sheetViews>
  <sheetFormatPr baseColWidth="10" defaultColWidth="12.83203125" defaultRowHeight="15" customHeight="1" x14ac:dyDescent="0.15"/>
  <cols>
    <col min="1" max="1" width="20.5" customWidth="1"/>
    <col min="2" max="2" width="14.6640625" bestFit="1" customWidth="1"/>
    <col min="3" max="3" width="17.5" bestFit="1" customWidth="1"/>
    <col min="4" max="4" width="10.5" customWidth="1"/>
    <col min="5" max="5" width="24.6640625" customWidth="1"/>
    <col min="6" max="6" width="22.5" bestFit="1" customWidth="1"/>
    <col min="7" max="46" width="8.5" customWidth="1"/>
    <col min="47" max="47" width="10" customWidth="1"/>
    <col min="48" max="48" width="12.1640625" customWidth="1"/>
    <col min="49" max="249" width="10" customWidth="1"/>
  </cols>
  <sheetData>
    <row r="1" spans="1:48" ht="24" customHeight="1" x14ac:dyDescent="0.15">
      <c r="A1" s="238"/>
      <c r="B1" s="239"/>
      <c r="C1" s="239"/>
      <c r="D1" s="239"/>
      <c r="E1" s="239"/>
      <c r="F1" s="239"/>
      <c r="H1" s="1"/>
      <c r="I1" s="1"/>
      <c r="J1" s="1"/>
      <c r="K1" s="1"/>
      <c r="M1" s="239"/>
      <c r="N1" s="239"/>
      <c r="O1" s="239"/>
    </row>
    <row r="2" spans="1:48" ht="24" customHeight="1" x14ac:dyDescent="0.15">
      <c r="C2" s="240"/>
      <c r="D2" s="240"/>
      <c r="E2" s="240"/>
      <c r="F2" s="240"/>
      <c r="H2" s="1"/>
      <c r="I2" s="1"/>
      <c r="J2" s="1"/>
      <c r="K2" s="1"/>
      <c r="M2" s="239"/>
      <c r="N2" s="239"/>
      <c r="O2" s="239"/>
    </row>
    <row r="3" spans="1:48" ht="24" customHeight="1" x14ac:dyDescent="0.25">
      <c r="A3" s="36" t="s">
        <v>75</v>
      </c>
      <c r="C3" s="36" t="s">
        <v>76</v>
      </c>
      <c r="F3" s="241" t="s">
        <v>24</v>
      </c>
      <c r="G3" s="34" t="s">
        <v>100</v>
      </c>
    </row>
    <row r="4" spans="1:48" ht="24" customHeight="1" x14ac:dyDescent="0.15">
      <c r="A4" s="44" t="s">
        <v>77</v>
      </c>
      <c r="B4" s="45">
        <f>'Monitor Bonos'!C20</f>
        <v>0.2</v>
      </c>
      <c r="C4" s="46" t="s">
        <v>11</v>
      </c>
      <c r="D4" s="47">
        <f ca="1">SUM(H11:AV11)</f>
        <v>37.801568059457033</v>
      </c>
      <c r="E4" s="37"/>
      <c r="F4" s="8" t="s">
        <v>101</v>
      </c>
      <c r="G4" s="28">
        <f ca="1">B5</f>
        <v>45478</v>
      </c>
      <c r="H4" s="28">
        <v>44386</v>
      </c>
      <c r="I4" s="29">
        <v>44570</v>
      </c>
      <c r="J4" s="29">
        <v>44751</v>
      </c>
      <c r="K4" s="29">
        <v>44935</v>
      </c>
      <c r="L4" s="29">
        <v>45116</v>
      </c>
      <c r="M4" s="29">
        <v>45300</v>
      </c>
      <c r="N4" s="29">
        <v>45482</v>
      </c>
      <c r="O4" s="29">
        <v>45666</v>
      </c>
      <c r="P4" s="29">
        <v>45847</v>
      </c>
      <c r="Q4" s="29">
        <v>46031</v>
      </c>
      <c r="R4" s="29">
        <v>46212</v>
      </c>
      <c r="S4" s="29">
        <v>46396</v>
      </c>
      <c r="T4" s="29">
        <v>46577</v>
      </c>
      <c r="U4" s="29">
        <v>46761</v>
      </c>
      <c r="V4" s="29">
        <v>46943</v>
      </c>
      <c r="W4" s="29">
        <v>47127</v>
      </c>
      <c r="X4" s="29">
        <v>47308</v>
      </c>
      <c r="Y4" s="29">
        <v>47492</v>
      </c>
      <c r="Z4" s="29">
        <v>47673</v>
      </c>
      <c r="AA4" s="29">
        <v>47857</v>
      </c>
      <c r="AB4" s="29">
        <v>48038</v>
      </c>
      <c r="AC4" s="29">
        <v>48222</v>
      </c>
      <c r="AD4" s="29">
        <v>48404</v>
      </c>
      <c r="AE4" s="29">
        <v>48588</v>
      </c>
      <c r="AF4" s="29">
        <v>48769</v>
      </c>
      <c r="AG4" s="29">
        <v>48953</v>
      </c>
      <c r="AH4" s="29">
        <v>49134</v>
      </c>
      <c r="AI4" s="29">
        <v>49318</v>
      </c>
      <c r="AJ4" s="29">
        <v>49499</v>
      </c>
      <c r="AK4" s="29">
        <v>49683</v>
      </c>
      <c r="AL4" s="29">
        <v>49865</v>
      </c>
      <c r="AM4" s="29">
        <v>50049</v>
      </c>
      <c r="AN4" s="29">
        <v>50230</v>
      </c>
      <c r="AO4" s="29">
        <v>50414</v>
      </c>
      <c r="AP4" s="29">
        <v>50595</v>
      </c>
      <c r="AQ4" s="29">
        <v>50779</v>
      </c>
      <c r="AR4" s="29">
        <v>50960</v>
      </c>
      <c r="AS4" s="29">
        <v>51144</v>
      </c>
      <c r="AT4" s="29">
        <v>51326</v>
      </c>
      <c r="AU4" s="29">
        <v>51510</v>
      </c>
      <c r="AV4" s="30">
        <v>51691</v>
      </c>
    </row>
    <row r="5" spans="1:48" ht="24" customHeight="1" x14ac:dyDescent="0.15">
      <c r="A5" s="43" t="s">
        <v>79</v>
      </c>
      <c r="B5" s="38">
        <f ca="1">'Monitor Bonos'!$C$7</f>
        <v>45478</v>
      </c>
      <c r="C5" s="41" t="s">
        <v>80</v>
      </c>
      <c r="D5" s="40">
        <f ca="1">+B9*((B5-B8)/(B7-B8))</f>
        <v>5.25</v>
      </c>
      <c r="E5" s="37"/>
      <c r="F5" s="9" t="s">
        <v>81</v>
      </c>
      <c r="H5" s="16">
        <v>0</v>
      </c>
      <c r="I5" s="17">
        <f t="shared" ref="I5:AV5" ca="1" si="0">+(I4-$B$5)/365</f>
        <v>-2.4876712328767123</v>
      </c>
      <c r="J5" s="17">
        <f t="shared" ca="1" si="0"/>
        <v>-1.9917808219178081</v>
      </c>
      <c r="K5" s="17">
        <f t="shared" ca="1" si="0"/>
        <v>-1.4876712328767123</v>
      </c>
      <c r="L5" s="17">
        <f t="shared" ca="1" si="0"/>
        <v>-0.99178082191780825</v>
      </c>
      <c r="M5" s="17">
        <f t="shared" ca="1" si="0"/>
        <v>-0.48767123287671232</v>
      </c>
      <c r="N5" s="17">
        <f t="shared" ca="1" si="0"/>
        <v>1.0958904109589041E-2</v>
      </c>
      <c r="O5" s="17">
        <f t="shared" ca="1" si="0"/>
        <v>0.51506849315068493</v>
      </c>
      <c r="P5" s="17">
        <f t="shared" ca="1" si="0"/>
        <v>1.010958904109589</v>
      </c>
      <c r="Q5" s="17">
        <f t="shared" ca="1" si="0"/>
        <v>1.515068493150685</v>
      </c>
      <c r="R5" s="17">
        <f t="shared" ca="1" si="0"/>
        <v>2.010958904109589</v>
      </c>
      <c r="S5" s="17">
        <f t="shared" ca="1" si="0"/>
        <v>2.515068493150685</v>
      </c>
      <c r="T5" s="17">
        <f t="shared" ca="1" si="0"/>
        <v>3.010958904109589</v>
      </c>
      <c r="U5" s="17">
        <f t="shared" ca="1" si="0"/>
        <v>3.515068493150685</v>
      </c>
      <c r="V5" s="17">
        <f t="shared" ca="1" si="0"/>
        <v>4.0136986301369859</v>
      </c>
      <c r="W5" s="17">
        <f t="shared" ca="1" si="0"/>
        <v>4.5178082191780824</v>
      </c>
      <c r="X5" s="17">
        <f t="shared" ca="1" si="0"/>
        <v>5.0136986301369859</v>
      </c>
      <c r="Y5" s="17">
        <f t="shared" ca="1" si="0"/>
        <v>5.5178082191780824</v>
      </c>
      <c r="Z5" s="17">
        <f t="shared" ca="1" si="0"/>
        <v>6.0136986301369859</v>
      </c>
      <c r="AA5" s="17">
        <f t="shared" ca="1" si="0"/>
        <v>6.5178082191780824</v>
      </c>
      <c r="AB5" s="17">
        <f t="shared" ca="1" si="0"/>
        <v>7.0136986301369859</v>
      </c>
      <c r="AC5" s="17">
        <f t="shared" ca="1" si="0"/>
        <v>7.5178082191780824</v>
      </c>
      <c r="AD5" s="17">
        <f t="shared" ca="1" si="0"/>
        <v>8.0164383561643842</v>
      </c>
      <c r="AE5" s="17">
        <f t="shared" ca="1" si="0"/>
        <v>8.5205479452054789</v>
      </c>
      <c r="AF5" s="17">
        <f t="shared" ca="1" si="0"/>
        <v>9.0164383561643842</v>
      </c>
      <c r="AG5" s="17">
        <f t="shared" ca="1" si="0"/>
        <v>9.5205479452054789</v>
      </c>
      <c r="AH5" s="17">
        <f t="shared" ca="1" si="0"/>
        <v>10.016438356164384</v>
      </c>
      <c r="AI5" s="17">
        <f t="shared" ca="1" si="0"/>
        <v>10.520547945205479</v>
      </c>
      <c r="AJ5" s="17">
        <f t="shared" ca="1" si="0"/>
        <v>11.016438356164384</v>
      </c>
      <c r="AK5" s="17">
        <f t="shared" ca="1" si="0"/>
        <v>11.520547945205479</v>
      </c>
      <c r="AL5" s="17">
        <f t="shared" ca="1" si="0"/>
        <v>12.019178082191781</v>
      </c>
      <c r="AM5" s="17">
        <f t="shared" ca="1" si="0"/>
        <v>12.523287671232877</v>
      </c>
      <c r="AN5" s="17">
        <f t="shared" ca="1" si="0"/>
        <v>13.019178082191781</v>
      </c>
      <c r="AO5" s="17">
        <f t="shared" ca="1" si="0"/>
        <v>13.523287671232877</v>
      </c>
      <c r="AP5" s="17">
        <f t="shared" ca="1" si="0"/>
        <v>14.019178082191781</v>
      </c>
      <c r="AQ5" s="17">
        <f t="shared" ca="1" si="0"/>
        <v>14.523287671232877</v>
      </c>
      <c r="AR5" s="17">
        <f t="shared" ca="1" si="0"/>
        <v>15.019178082191781</v>
      </c>
      <c r="AS5" s="17">
        <f t="shared" ca="1" si="0"/>
        <v>15.523287671232877</v>
      </c>
      <c r="AT5" s="17">
        <f t="shared" ca="1" si="0"/>
        <v>16.021917808219179</v>
      </c>
      <c r="AU5" s="17">
        <f t="shared" ca="1" si="0"/>
        <v>16.526027397260275</v>
      </c>
      <c r="AV5" s="18">
        <f t="shared" ca="1" si="0"/>
        <v>17.021917808219179</v>
      </c>
    </row>
    <row r="6" spans="1:48" ht="24" customHeight="1" x14ac:dyDescent="0.15">
      <c r="A6" s="50" t="s">
        <v>82</v>
      </c>
      <c r="B6" s="51">
        <v>100</v>
      </c>
      <c r="C6" s="41" t="s">
        <v>83</v>
      </c>
      <c r="D6" s="39">
        <f ca="1">SUM(H14:AV14)/D4</f>
        <v>5.808663756639846</v>
      </c>
      <c r="E6" s="37"/>
      <c r="F6" s="10" t="s">
        <v>87</v>
      </c>
      <c r="L6" s="63">
        <v>3.5000000000000003E-2</v>
      </c>
      <c r="M6" s="63">
        <v>3.5000000000000003E-2</v>
      </c>
      <c r="N6" s="63">
        <v>3.5000000000000003E-2</v>
      </c>
      <c r="O6" s="63">
        <v>3.5000000000000003E-2</v>
      </c>
      <c r="P6" s="63">
        <v>3.5000000000000003E-2</v>
      </c>
      <c r="Q6" s="63">
        <v>3.5000000000000003E-2</v>
      </c>
      <c r="R6" s="63">
        <v>3.5000000000000003E-2</v>
      </c>
      <c r="S6" s="63">
        <v>3.5000000000000003E-2</v>
      </c>
      <c r="T6" s="63">
        <v>3.5000000000000003E-2</v>
      </c>
      <c r="U6" s="63">
        <v>3.5000000000000003E-2</v>
      </c>
      <c r="V6" s="63">
        <v>3.5000000000000003E-2</v>
      </c>
      <c r="W6" s="63">
        <v>3.5000000000000003E-2</v>
      </c>
      <c r="X6" s="63">
        <v>3.5000000000000003E-2</v>
      </c>
      <c r="Y6" s="63">
        <v>4.8750000000000002E-2</v>
      </c>
      <c r="Z6" s="63">
        <v>4.8750000000000002E-2</v>
      </c>
      <c r="AA6" s="63">
        <v>4.8750000000000002E-2</v>
      </c>
      <c r="AB6" s="63">
        <v>4.8750000000000002E-2</v>
      </c>
      <c r="AC6" s="63">
        <v>4.8750000000000002E-2</v>
      </c>
      <c r="AD6" s="63">
        <v>4.8750000000000002E-2</v>
      </c>
      <c r="AE6" s="63">
        <v>4.8750000000000002E-2</v>
      </c>
      <c r="AF6" s="63">
        <v>4.8750000000000002E-2</v>
      </c>
      <c r="AG6" s="63">
        <v>4.8750000000000002E-2</v>
      </c>
      <c r="AH6" s="63">
        <v>4.8750000000000002E-2</v>
      </c>
      <c r="AI6" s="63">
        <v>4.8750000000000002E-2</v>
      </c>
      <c r="AJ6" s="63">
        <v>4.8750000000000002E-2</v>
      </c>
      <c r="AK6" s="63">
        <v>4.8750000000000002E-2</v>
      </c>
      <c r="AL6" s="63">
        <v>4.8750000000000002E-2</v>
      </c>
      <c r="AM6" s="63">
        <v>4.8750000000000002E-2</v>
      </c>
      <c r="AN6" s="63">
        <v>4.8750000000000002E-2</v>
      </c>
      <c r="AO6" s="63">
        <v>4.8750000000000002E-2</v>
      </c>
      <c r="AP6" s="63">
        <v>4.8750000000000002E-2</v>
      </c>
      <c r="AQ6" s="63">
        <v>4.8750000000000002E-2</v>
      </c>
      <c r="AR6" s="63">
        <v>4.8750000000000002E-2</v>
      </c>
      <c r="AS6" s="63">
        <v>4.8750000000000002E-2</v>
      </c>
      <c r="AT6" s="63">
        <v>4.8750000000000002E-2</v>
      </c>
      <c r="AU6" s="63">
        <v>4.8750000000000002E-2</v>
      </c>
      <c r="AV6" s="63">
        <v>4.8750000000000002E-2</v>
      </c>
    </row>
    <row r="7" spans="1:48" ht="24" customHeight="1" x14ac:dyDescent="0.15">
      <c r="A7" s="50" t="s">
        <v>84</v>
      </c>
      <c r="B7" s="38">
        <f>L4</f>
        <v>45116</v>
      </c>
      <c r="C7" s="41" t="s">
        <v>85</v>
      </c>
      <c r="D7" s="39">
        <f ca="1">+D6/(1+B4/2)</f>
        <v>5.2806034151271319</v>
      </c>
      <c r="E7" s="37"/>
      <c r="F7" s="10" t="s">
        <v>29</v>
      </c>
      <c r="H7" s="19"/>
      <c r="I7" s="20"/>
      <c r="J7" s="20"/>
      <c r="K7" s="20"/>
      <c r="L7" s="21">
        <f>L6/2*L10</f>
        <v>1.7500000000000002</v>
      </c>
      <c r="M7" s="21">
        <f t="shared" ref="M7:AV7" si="1">M6/2*M10</f>
        <v>1.7500000000000002</v>
      </c>
      <c r="N7" s="21">
        <f t="shared" si="1"/>
        <v>1.7500000000000002</v>
      </c>
      <c r="O7" s="21">
        <f t="shared" si="1"/>
        <v>1.7500000000000002</v>
      </c>
      <c r="P7" s="21">
        <f t="shared" si="1"/>
        <v>1.7500000000000002</v>
      </c>
      <c r="Q7" s="21">
        <f t="shared" si="1"/>
        <v>1.7500000000000002</v>
      </c>
      <c r="R7" s="21">
        <f t="shared" si="1"/>
        <v>1.7500000000000002</v>
      </c>
      <c r="S7" s="21">
        <f t="shared" si="1"/>
        <v>1.7500000000000002</v>
      </c>
      <c r="T7" s="21">
        <f t="shared" si="1"/>
        <v>1.7500000000000002</v>
      </c>
      <c r="U7" s="21">
        <f t="shared" si="1"/>
        <v>1.7500000000000002</v>
      </c>
      <c r="V7" s="21">
        <f t="shared" si="1"/>
        <v>1.6875000000000002</v>
      </c>
      <c r="W7" s="21">
        <f t="shared" si="1"/>
        <v>1.6250000000000002</v>
      </c>
      <c r="X7" s="21">
        <f t="shared" si="1"/>
        <v>1.5625000000000002</v>
      </c>
      <c r="Y7" s="21">
        <f t="shared" si="1"/>
        <v>2.0892857142857144</v>
      </c>
      <c r="Z7" s="21">
        <f t="shared" si="1"/>
        <v>2.0022321428571432</v>
      </c>
      <c r="AA7" s="21">
        <f t="shared" si="1"/>
        <v>1.9151785714285718</v>
      </c>
      <c r="AB7" s="21">
        <f t="shared" si="1"/>
        <v>1.8281250000000004</v>
      </c>
      <c r="AC7" s="21">
        <f t="shared" si="1"/>
        <v>1.741071428571429</v>
      </c>
      <c r="AD7" s="21">
        <f t="shared" si="1"/>
        <v>1.6540178571428577</v>
      </c>
      <c r="AE7" s="21">
        <f t="shared" si="1"/>
        <v>1.5669642857142863</v>
      </c>
      <c r="AF7" s="21">
        <f t="shared" si="1"/>
        <v>1.4799107142857149</v>
      </c>
      <c r="AG7" s="21">
        <f t="shared" si="1"/>
        <v>1.3928571428571435</v>
      </c>
      <c r="AH7" s="21">
        <f t="shared" si="1"/>
        <v>1.3058035714285721</v>
      </c>
      <c r="AI7" s="21">
        <f t="shared" si="1"/>
        <v>1.2187500000000007</v>
      </c>
      <c r="AJ7" s="21">
        <f t="shared" si="1"/>
        <v>1.1316964285714293</v>
      </c>
      <c r="AK7" s="21">
        <f t="shared" si="1"/>
        <v>1.0446428571428579</v>
      </c>
      <c r="AL7" s="21">
        <f t="shared" si="1"/>
        <v>0.95758928571428659</v>
      </c>
      <c r="AM7" s="21">
        <f t="shared" si="1"/>
        <v>0.87053571428571519</v>
      </c>
      <c r="AN7" s="21">
        <f t="shared" si="1"/>
        <v>0.78348214285714379</v>
      </c>
      <c r="AO7" s="21">
        <f t="shared" si="1"/>
        <v>0.6964285714285724</v>
      </c>
      <c r="AP7" s="21">
        <f t="shared" si="1"/>
        <v>0.60937500000000089</v>
      </c>
      <c r="AQ7" s="21">
        <f t="shared" si="1"/>
        <v>0.52232142857142938</v>
      </c>
      <c r="AR7" s="21">
        <f t="shared" si="1"/>
        <v>0.43526785714285793</v>
      </c>
      <c r="AS7" s="21">
        <f t="shared" si="1"/>
        <v>0.34821428571428653</v>
      </c>
      <c r="AT7" s="21">
        <f t="shared" si="1"/>
        <v>0.26116071428571508</v>
      </c>
      <c r="AU7" s="21">
        <f t="shared" si="1"/>
        <v>0.17410714285714368</v>
      </c>
      <c r="AV7" s="21">
        <f t="shared" si="1"/>
        <v>8.7053571428572243E-2</v>
      </c>
    </row>
    <row r="8" spans="1:48" ht="24" customHeight="1" x14ac:dyDescent="0.15">
      <c r="A8" s="50" t="s">
        <v>86</v>
      </c>
      <c r="B8" s="38">
        <f>K4</f>
        <v>44935</v>
      </c>
      <c r="C8" s="41" t="s">
        <v>13</v>
      </c>
      <c r="D8" s="39">
        <f ca="1">SUM(H16:AV16)/D4</f>
        <v>37.911379780697814</v>
      </c>
      <c r="E8" s="37"/>
      <c r="F8" s="10" t="s">
        <v>28</v>
      </c>
      <c r="H8" s="19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  <c r="R8" s="23">
        <v>0</v>
      </c>
      <c r="S8" s="23">
        <v>0</v>
      </c>
      <c r="T8" s="23">
        <v>0</v>
      </c>
      <c r="U8" s="23">
        <v>3.5714285714285716</v>
      </c>
      <c r="V8" s="23">
        <v>3.5714285714285716</v>
      </c>
      <c r="W8" s="23">
        <v>3.5714285714285716</v>
      </c>
      <c r="X8" s="23">
        <v>3.5714285714285716</v>
      </c>
      <c r="Y8" s="23">
        <v>3.5714285714285716</v>
      </c>
      <c r="Z8" s="23">
        <v>3.5714285714285716</v>
      </c>
      <c r="AA8" s="23">
        <v>3.5714285714285716</v>
      </c>
      <c r="AB8" s="23">
        <v>3.5714285714285716</v>
      </c>
      <c r="AC8" s="23">
        <v>3.5714285714285716</v>
      </c>
      <c r="AD8" s="23">
        <v>3.5714285714285716</v>
      </c>
      <c r="AE8" s="23">
        <v>3.5714285714285716</v>
      </c>
      <c r="AF8" s="23">
        <v>3.5714285714285716</v>
      </c>
      <c r="AG8" s="23">
        <v>3.5714285714285716</v>
      </c>
      <c r="AH8" s="23">
        <v>3.5714285714285716</v>
      </c>
      <c r="AI8" s="23">
        <v>3.5714285714285716</v>
      </c>
      <c r="AJ8" s="23">
        <v>3.5714285714285716</v>
      </c>
      <c r="AK8" s="23">
        <v>3.5714285714285716</v>
      </c>
      <c r="AL8" s="23">
        <v>3.5714285714285716</v>
      </c>
      <c r="AM8" s="23">
        <v>3.5714285714285716</v>
      </c>
      <c r="AN8" s="23">
        <v>3.5714285714285716</v>
      </c>
      <c r="AO8" s="23">
        <v>3.5714285714285716</v>
      </c>
      <c r="AP8" s="23">
        <v>3.5714285714285716</v>
      </c>
      <c r="AQ8" s="23">
        <v>3.5714285714285716</v>
      </c>
      <c r="AR8" s="23">
        <v>3.5714285714285716</v>
      </c>
      <c r="AS8" s="23">
        <v>3.5714285714285716</v>
      </c>
      <c r="AT8" s="23">
        <v>3.5714285714285716</v>
      </c>
      <c r="AU8" s="23">
        <v>3.5714285714285716</v>
      </c>
      <c r="AV8" s="24">
        <v>3.5714285714285716</v>
      </c>
    </row>
    <row r="9" spans="1:48" ht="24" customHeight="1" x14ac:dyDescent="0.15">
      <c r="A9" s="50" t="s">
        <v>88</v>
      </c>
      <c r="B9" s="61">
        <v>1.75</v>
      </c>
      <c r="E9" s="37"/>
      <c r="F9" s="11" t="s">
        <v>92</v>
      </c>
      <c r="G9">
        <f>-B11</f>
        <v>-30</v>
      </c>
      <c r="H9" s="19">
        <f t="shared" ref="H9:AV9" si="2">IF(H5&lt;0,0,H8+H7)</f>
        <v>0</v>
      </c>
      <c r="I9" s="23">
        <f t="shared" ca="1" si="2"/>
        <v>0</v>
      </c>
      <c r="J9" s="23">
        <f t="shared" ca="1" si="2"/>
        <v>0</v>
      </c>
      <c r="K9" s="23">
        <f t="shared" ca="1" si="2"/>
        <v>0</v>
      </c>
      <c r="L9" s="23">
        <f t="shared" ca="1" si="2"/>
        <v>0</v>
      </c>
      <c r="M9" s="23">
        <f t="shared" ca="1" si="2"/>
        <v>0</v>
      </c>
      <c r="N9" s="23">
        <f t="shared" ca="1" si="2"/>
        <v>1.7500000000000002</v>
      </c>
      <c r="O9" s="23">
        <f t="shared" ca="1" si="2"/>
        <v>1.7500000000000002</v>
      </c>
      <c r="P9" s="23">
        <f t="shared" ca="1" si="2"/>
        <v>1.7500000000000002</v>
      </c>
      <c r="Q9" s="23">
        <f t="shared" ca="1" si="2"/>
        <v>1.7500000000000002</v>
      </c>
      <c r="R9" s="23">
        <f t="shared" ca="1" si="2"/>
        <v>1.7500000000000002</v>
      </c>
      <c r="S9" s="23">
        <f t="shared" ca="1" si="2"/>
        <v>1.7500000000000002</v>
      </c>
      <c r="T9" s="23">
        <f t="shared" ca="1" si="2"/>
        <v>1.7500000000000002</v>
      </c>
      <c r="U9" s="23">
        <f t="shared" ca="1" si="2"/>
        <v>5.3214285714285721</v>
      </c>
      <c r="V9" s="23">
        <f t="shared" ca="1" si="2"/>
        <v>5.2589285714285721</v>
      </c>
      <c r="W9" s="23">
        <f t="shared" ca="1" si="2"/>
        <v>5.1964285714285721</v>
      </c>
      <c r="X9" s="23">
        <f t="shared" ca="1" si="2"/>
        <v>5.1339285714285721</v>
      </c>
      <c r="Y9" s="23">
        <f t="shared" ca="1" si="2"/>
        <v>5.6607142857142865</v>
      </c>
      <c r="Z9" s="23">
        <f t="shared" ca="1" si="2"/>
        <v>5.5736607142857153</v>
      </c>
      <c r="AA9" s="23">
        <f t="shared" ca="1" si="2"/>
        <v>5.4866071428571432</v>
      </c>
      <c r="AB9" s="23">
        <f t="shared" ca="1" si="2"/>
        <v>5.3995535714285721</v>
      </c>
      <c r="AC9" s="23">
        <f t="shared" ca="1" si="2"/>
        <v>5.3125000000000009</v>
      </c>
      <c r="AD9" s="23">
        <f t="shared" ca="1" si="2"/>
        <v>5.2254464285714288</v>
      </c>
      <c r="AE9" s="23">
        <f t="shared" ca="1" si="2"/>
        <v>5.1383928571428577</v>
      </c>
      <c r="AF9" s="23">
        <f t="shared" ca="1" si="2"/>
        <v>5.0513392857142865</v>
      </c>
      <c r="AG9" s="23">
        <f t="shared" ca="1" si="2"/>
        <v>4.9642857142857153</v>
      </c>
      <c r="AH9" s="23">
        <f t="shared" ca="1" si="2"/>
        <v>4.8772321428571441</v>
      </c>
      <c r="AI9" s="23">
        <f t="shared" ca="1" si="2"/>
        <v>4.7901785714285721</v>
      </c>
      <c r="AJ9" s="23">
        <f t="shared" ca="1" si="2"/>
        <v>4.7031250000000009</v>
      </c>
      <c r="AK9" s="23">
        <f t="shared" ca="1" si="2"/>
        <v>4.6160714285714297</v>
      </c>
      <c r="AL9" s="23">
        <f t="shared" ca="1" si="2"/>
        <v>4.5290178571428585</v>
      </c>
      <c r="AM9" s="23">
        <f t="shared" ca="1" si="2"/>
        <v>4.4419642857142865</v>
      </c>
      <c r="AN9" s="23">
        <f t="shared" ca="1" si="2"/>
        <v>4.3549107142857153</v>
      </c>
      <c r="AO9" s="23">
        <f t="shared" ca="1" si="2"/>
        <v>4.2678571428571441</v>
      </c>
      <c r="AP9" s="23">
        <f t="shared" ca="1" si="2"/>
        <v>4.180803571428573</v>
      </c>
      <c r="AQ9" s="23">
        <f t="shared" ca="1" si="2"/>
        <v>4.0937500000000009</v>
      </c>
      <c r="AR9" s="23">
        <f t="shared" ca="1" si="2"/>
        <v>4.0066964285714297</v>
      </c>
      <c r="AS9" s="23">
        <f t="shared" ca="1" si="2"/>
        <v>3.9196428571428581</v>
      </c>
      <c r="AT9" s="23">
        <f t="shared" ca="1" si="2"/>
        <v>3.8325892857142865</v>
      </c>
      <c r="AU9" s="23">
        <f t="shared" ca="1" si="2"/>
        <v>3.7455357142857153</v>
      </c>
      <c r="AV9" s="24">
        <f t="shared" ca="1" si="2"/>
        <v>3.6584821428571437</v>
      </c>
    </row>
    <row r="10" spans="1:48" ht="24" customHeight="1" x14ac:dyDescent="0.15">
      <c r="F10" s="12" t="s">
        <v>89</v>
      </c>
      <c r="H10" s="25">
        <f>B6</f>
        <v>100</v>
      </c>
      <c r="I10" s="26">
        <f t="shared" ref="I10:AV10" si="3">H10-H8</f>
        <v>100</v>
      </c>
      <c r="J10" s="26">
        <f t="shared" si="3"/>
        <v>100</v>
      </c>
      <c r="K10" s="26">
        <f t="shared" si="3"/>
        <v>100</v>
      </c>
      <c r="L10" s="26">
        <f t="shared" si="3"/>
        <v>100</v>
      </c>
      <c r="M10" s="26">
        <f t="shared" si="3"/>
        <v>100</v>
      </c>
      <c r="N10" s="26">
        <f t="shared" si="3"/>
        <v>100</v>
      </c>
      <c r="O10" s="26">
        <f t="shared" si="3"/>
        <v>100</v>
      </c>
      <c r="P10" s="26">
        <f t="shared" si="3"/>
        <v>100</v>
      </c>
      <c r="Q10" s="26">
        <f t="shared" si="3"/>
        <v>100</v>
      </c>
      <c r="R10" s="26">
        <f t="shared" si="3"/>
        <v>100</v>
      </c>
      <c r="S10" s="26">
        <f t="shared" si="3"/>
        <v>100</v>
      </c>
      <c r="T10" s="26">
        <f t="shared" si="3"/>
        <v>100</v>
      </c>
      <c r="U10" s="26">
        <f t="shared" si="3"/>
        <v>100</v>
      </c>
      <c r="V10" s="26">
        <f t="shared" si="3"/>
        <v>96.428571428571431</v>
      </c>
      <c r="W10" s="26">
        <f t="shared" si="3"/>
        <v>92.857142857142861</v>
      </c>
      <c r="X10" s="26">
        <f t="shared" si="3"/>
        <v>89.285714285714292</v>
      </c>
      <c r="Y10" s="26">
        <f t="shared" si="3"/>
        <v>85.714285714285722</v>
      </c>
      <c r="Z10" s="26">
        <f t="shared" si="3"/>
        <v>82.142857142857153</v>
      </c>
      <c r="AA10" s="26">
        <f t="shared" si="3"/>
        <v>78.571428571428584</v>
      </c>
      <c r="AB10" s="26">
        <f t="shared" si="3"/>
        <v>75.000000000000014</v>
      </c>
      <c r="AC10" s="26">
        <f t="shared" si="3"/>
        <v>71.428571428571445</v>
      </c>
      <c r="AD10" s="26">
        <f t="shared" si="3"/>
        <v>67.857142857142875</v>
      </c>
      <c r="AE10" s="26">
        <f t="shared" si="3"/>
        <v>64.285714285714306</v>
      </c>
      <c r="AF10" s="26">
        <f t="shared" si="3"/>
        <v>60.714285714285737</v>
      </c>
      <c r="AG10" s="26">
        <f t="shared" si="3"/>
        <v>57.142857142857167</v>
      </c>
      <c r="AH10" s="26">
        <f t="shared" si="3"/>
        <v>53.571428571428598</v>
      </c>
      <c r="AI10" s="26">
        <f t="shared" si="3"/>
        <v>50.000000000000028</v>
      </c>
      <c r="AJ10" s="26">
        <f t="shared" si="3"/>
        <v>46.428571428571459</v>
      </c>
      <c r="AK10" s="26">
        <f t="shared" si="3"/>
        <v>42.85714285714289</v>
      </c>
      <c r="AL10" s="26">
        <f t="shared" si="3"/>
        <v>39.28571428571432</v>
      </c>
      <c r="AM10" s="26">
        <f t="shared" si="3"/>
        <v>35.714285714285751</v>
      </c>
      <c r="AN10" s="26">
        <f t="shared" si="3"/>
        <v>32.142857142857181</v>
      </c>
      <c r="AO10" s="26">
        <f t="shared" si="3"/>
        <v>28.571428571428608</v>
      </c>
      <c r="AP10" s="26">
        <f t="shared" si="3"/>
        <v>25.000000000000036</v>
      </c>
      <c r="AQ10" s="26">
        <f t="shared" si="3"/>
        <v>21.428571428571463</v>
      </c>
      <c r="AR10" s="26">
        <f t="shared" si="3"/>
        <v>17.85714285714289</v>
      </c>
      <c r="AS10" s="26">
        <f t="shared" si="3"/>
        <v>14.285714285714318</v>
      </c>
      <c r="AT10" s="26">
        <f t="shared" si="3"/>
        <v>10.714285714285747</v>
      </c>
      <c r="AU10" s="26">
        <f t="shared" si="3"/>
        <v>7.1428571428571761</v>
      </c>
      <c r="AV10" s="27">
        <f t="shared" si="3"/>
        <v>3.5714285714286045</v>
      </c>
    </row>
    <row r="11" spans="1:48" ht="24" customHeight="1" x14ac:dyDescent="0.15">
      <c r="A11" s="44" t="s">
        <v>11</v>
      </c>
      <c r="B11" s="91">
        <f>'Monitor Bonos'!M20</f>
        <v>30</v>
      </c>
      <c r="C11" s="48" t="s">
        <v>77</v>
      </c>
      <c r="D11" s="69">
        <f ca="1">XIRR(G9:AV9,G4:AV4)</f>
        <v>0.25146859288215639</v>
      </c>
      <c r="E11" s="31"/>
      <c r="F11" s="11" t="s">
        <v>102</v>
      </c>
      <c r="H11" s="52">
        <f t="shared" ref="H11:AV11" si="4">+H9/(1+$B$4)^(H5)</f>
        <v>0</v>
      </c>
      <c r="I11" s="53">
        <f t="shared" ca="1" si="4"/>
        <v>0</v>
      </c>
      <c r="J11" s="53">
        <f t="shared" ca="1" si="4"/>
        <v>0</v>
      </c>
      <c r="K11" s="53">
        <f t="shared" ca="1" si="4"/>
        <v>0</v>
      </c>
      <c r="L11" s="54">
        <f t="shared" ca="1" si="4"/>
        <v>0</v>
      </c>
      <c r="M11" s="54">
        <f t="shared" ca="1" si="4"/>
        <v>0</v>
      </c>
      <c r="N11" s="54">
        <f t="shared" ca="1" si="4"/>
        <v>1.7465069130320874</v>
      </c>
      <c r="O11" s="54">
        <f t="shared" ca="1" si="4"/>
        <v>1.5931412535590603</v>
      </c>
      <c r="P11" s="54">
        <f t="shared" ca="1" si="4"/>
        <v>1.4554224275267398</v>
      </c>
      <c r="Q11" s="54">
        <f t="shared" ca="1" si="4"/>
        <v>1.3276177112992167</v>
      </c>
      <c r="R11" s="54">
        <f t="shared" ca="1" si="4"/>
        <v>1.2128520229389497</v>
      </c>
      <c r="S11" s="54">
        <f t="shared" ca="1" si="4"/>
        <v>1.1063480927493474</v>
      </c>
      <c r="T11" s="54">
        <f t="shared" ca="1" si="4"/>
        <v>1.0107100191157916</v>
      </c>
      <c r="U11" s="54">
        <f t="shared" ca="1" si="4"/>
        <v>2.8035011193818495</v>
      </c>
      <c r="V11" s="54">
        <f t="shared" ca="1" si="4"/>
        <v>2.5298083012407742</v>
      </c>
      <c r="W11" s="54">
        <f t="shared" ca="1" si="4"/>
        <v>2.2802332688208193</v>
      </c>
      <c r="X11" s="54">
        <f t="shared" ca="1" si="4"/>
        <v>2.0580641952652026</v>
      </c>
      <c r="Y11" s="54">
        <f t="shared" ca="1" si="4"/>
        <v>2.0699712090956464</v>
      </c>
      <c r="Z11" s="54">
        <f t="shared" ca="1" si="4"/>
        <v>1.8619515563685549</v>
      </c>
      <c r="AA11" s="54">
        <f t="shared" ca="1" si="4"/>
        <v>1.671920751826071</v>
      </c>
      <c r="AB11" s="54">
        <f t="shared" ca="1" si="4"/>
        <v>1.5031573938244338</v>
      </c>
      <c r="AC11" s="54">
        <f t="shared" ca="1" si="4"/>
        <v>1.3490545800603637</v>
      </c>
      <c r="AD11" s="54">
        <f t="shared" ca="1" si="4"/>
        <v>1.2116350325468936</v>
      </c>
      <c r="AE11" s="54">
        <f t="shared" ca="1" si="4"/>
        <v>1.0868252055637178</v>
      </c>
      <c r="AF11" s="54">
        <f t="shared" ca="1" si="4"/>
        <v>0.97605370876178998</v>
      </c>
      <c r="AG11" s="54">
        <f t="shared" ca="1" si="4"/>
        <v>0.87499973109387086</v>
      </c>
      <c r="AH11" s="54">
        <f t="shared" ca="1" si="4"/>
        <v>0.78534296422319627</v>
      </c>
      <c r="AI11" s="54">
        <f t="shared" ca="1" si="4"/>
        <v>0.70359315907053599</v>
      </c>
      <c r="AJ11" s="54">
        <f t="shared" ca="1" si="4"/>
        <v>0.6310898648429728</v>
      </c>
      <c r="AK11" s="54">
        <f t="shared" ca="1" si="4"/>
        <v>0.5650165629690389</v>
      </c>
      <c r="AL11" s="54">
        <f t="shared" ca="1" si="4"/>
        <v>0.50618647398670402</v>
      </c>
      <c r="AM11" s="54">
        <f t="shared" ca="1" si="4"/>
        <v>0.45286164521782646</v>
      </c>
      <c r="AN11" s="54">
        <f t="shared" ca="1" si="4"/>
        <v>0.40560613222772285</v>
      </c>
      <c r="AO11" s="54">
        <f t="shared" ca="1" si="4"/>
        <v>0.36259274106217937</v>
      </c>
      <c r="AP11" s="54">
        <f t="shared" ca="1" si="4"/>
        <v>0.3244918356665491</v>
      </c>
      <c r="AQ11" s="54">
        <f t="shared" ca="1" si="4"/>
        <v>0.28983398148014167</v>
      </c>
      <c r="AR11" s="54">
        <f t="shared" ca="1" si="4"/>
        <v>0.25914880095277437</v>
      </c>
      <c r="AS11" s="54">
        <f t="shared" ca="1" si="4"/>
        <v>0.23125612117372257</v>
      </c>
      <c r="AT11" s="54">
        <f t="shared" ca="1" si="4"/>
        <v>0.20646995590803349</v>
      </c>
      <c r="AU11" s="54">
        <f t="shared" ca="1" si="4"/>
        <v>0.18406130673779025</v>
      </c>
      <c r="AV11" s="55">
        <f t="shared" ca="1" si="4"/>
        <v>0.16424201986666034</v>
      </c>
    </row>
    <row r="12" spans="1:48" ht="24" customHeight="1" x14ac:dyDescent="0.15">
      <c r="C12" s="41" t="s">
        <v>83</v>
      </c>
      <c r="D12" s="39">
        <f ca="1">SUM(H14:AV14)/B11</f>
        <v>7.31921994437075</v>
      </c>
      <c r="F12" s="11" t="s">
        <v>103</v>
      </c>
      <c r="H12" s="56">
        <f t="shared" ref="H12:AV12" ca="1" si="5">+H9/(1+$D$11)^(H5)</f>
        <v>0</v>
      </c>
      <c r="I12" s="57">
        <f t="shared" ca="1" si="5"/>
        <v>0</v>
      </c>
      <c r="J12" s="57">
        <f t="shared" ca="1" si="5"/>
        <v>0</v>
      </c>
      <c r="K12" s="57">
        <f t="shared" ca="1" si="5"/>
        <v>0</v>
      </c>
      <c r="L12" s="57">
        <f t="shared" ca="1" si="5"/>
        <v>0</v>
      </c>
      <c r="M12" s="57">
        <f t="shared" ca="1" si="5"/>
        <v>0</v>
      </c>
      <c r="N12" s="57">
        <f t="shared" ca="1" si="5"/>
        <v>1.7457032994249526</v>
      </c>
      <c r="O12" s="57">
        <f t="shared" ca="1" si="5"/>
        <v>1.5590501999748703</v>
      </c>
      <c r="P12" s="57">
        <f t="shared" ca="1" si="5"/>
        <v>1.3949237794330616</v>
      </c>
      <c r="Q12" s="57">
        <f t="shared" ca="1" si="5"/>
        <v>1.2457765291451284</v>
      </c>
      <c r="R12" s="57">
        <f t="shared" ca="1" si="5"/>
        <v>1.1146294740170228</v>
      </c>
      <c r="S12" s="57">
        <f t="shared" ca="1" si="5"/>
        <v>0.99545169269975931</v>
      </c>
      <c r="T12" s="57">
        <f t="shared" ca="1" si="5"/>
        <v>0.89065716899056147</v>
      </c>
      <c r="U12" s="57">
        <f t="shared" ca="1" si="5"/>
        <v>2.4187468839811275</v>
      </c>
      <c r="V12" s="57">
        <f t="shared" ca="1" si="5"/>
        <v>2.1373858623606892</v>
      </c>
      <c r="W12" s="57">
        <f t="shared" ca="1" si="5"/>
        <v>1.8861676367111178</v>
      </c>
      <c r="X12" s="57">
        <f t="shared" ca="1" si="5"/>
        <v>1.6673068230112984</v>
      </c>
      <c r="Y12" s="57">
        <f t="shared" ca="1" si="5"/>
        <v>1.641824027636918</v>
      </c>
      <c r="Z12" s="57">
        <f t="shared" ca="1" si="5"/>
        <v>1.4463928917413227</v>
      </c>
      <c r="AA12" s="57">
        <f t="shared" ca="1" si="5"/>
        <v>1.2715670968594666</v>
      </c>
      <c r="AB12" s="57">
        <f t="shared" ca="1" si="5"/>
        <v>1.1196535202537496</v>
      </c>
      <c r="AC12" s="57">
        <f t="shared" ca="1" si="5"/>
        <v>0.98381718664343465</v>
      </c>
      <c r="AD12" s="57">
        <f t="shared" ca="1" si="5"/>
        <v>0.86529129828010787</v>
      </c>
      <c r="AE12" s="57">
        <f t="shared" ca="1" si="5"/>
        <v>0.75989906203023549</v>
      </c>
      <c r="AF12" s="57">
        <f t="shared" ca="1" si="5"/>
        <v>0.66838319441903149</v>
      </c>
      <c r="AG12" s="57">
        <f t="shared" ca="1" si="5"/>
        <v>0.58663155106606846</v>
      </c>
      <c r="AH12" s="57">
        <f t="shared" ca="1" si="5"/>
        <v>0.51567069785578579</v>
      </c>
      <c r="AI12" s="57">
        <f t="shared" ca="1" si="5"/>
        <v>0.45231438191062034</v>
      </c>
      <c r="AJ12" s="57">
        <f t="shared" ca="1" si="5"/>
        <v>0.39734302466125943</v>
      </c>
      <c r="AK12" s="57">
        <f t="shared" ca="1" si="5"/>
        <v>0.34829020327056998</v>
      </c>
      <c r="AL12" s="57">
        <f t="shared" ca="1" si="5"/>
        <v>0.30555982026943507</v>
      </c>
      <c r="AM12" s="57">
        <f t="shared" ca="1" si="5"/>
        <v>0.26764364869230128</v>
      </c>
      <c r="AN12" s="57">
        <f t="shared" ca="1" si="5"/>
        <v>0.23477481842128808</v>
      </c>
      <c r="AO12" s="57">
        <f t="shared" ca="1" si="5"/>
        <v>0.20548106047607725</v>
      </c>
      <c r="AP12" s="57">
        <f t="shared" ca="1" si="5"/>
        <v>0.1800993172274904</v>
      </c>
      <c r="AQ12" s="57">
        <f t="shared" ca="1" si="5"/>
        <v>0.15749373658575092</v>
      </c>
      <c r="AR12" s="57">
        <f t="shared" ca="1" si="5"/>
        <v>0.13791731288502246</v>
      </c>
      <c r="AS12" s="57">
        <f t="shared" ca="1" si="5"/>
        <v>0.12049485743702351</v>
      </c>
      <c r="AT12" s="57">
        <f t="shared" ca="1" si="5"/>
        <v>0.10535078361447334</v>
      </c>
      <c r="AU12" s="57">
        <f t="shared" ca="1" si="5"/>
        <v>9.1949442030306194E-2</v>
      </c>
      <c r="AV12" s="58">
        <f t="shared" ca="1" si="5"/>
        <v>8.0357510512113831E-2</v>
      </c>
    </row>
    <row r="13" spans="1:48" ht="24" customHeight="1" x14ac:dyDescent="0.15">
      <c r="C13" s="41" t="s">
        <v>85</v>
      </c>
      <c r="D13" s="39">
        <f ca="1">+D12/(1+D11/2)</f>
        <v>6.5017295533323427</v>
      </c>
      <c r="F13" s="60" t="s">
        <v>104</v>
      </c>
      <c r="N13" s="1"/>
      <c r="O13" s="1"/>
      <c r="AC13" s="4"/>
      <c r="AV13" t="s">
        <v>6</v>
      </c>
    </row>
    <row r="14" spans="1:48" ht="24" customHeight="1" x14ac:dyDescent="0.15">
      <c r="C14" s="41" t="s">
        <v>13</v>
      </c>
      <c r="D14" s="39">
        <f ca="1">SUM(H17:AV17)/B11</f>
        <v>29.240089520007263</v>
      </c>
      <c r="F14" s="59" t="s">
        <v>105</v>
      </c>
      <c r="H14">
        <f t="shared" ref="H14:AV14" si="6">H11*H5</f>
        <v>0</v>
      </c>
      <c r="I14">
        <f t="shared" ca="1" si="6"/>
        <v>0</v>
      </c>
      <c r="J14">
        <f t="shared" ca="1" si="6"/>
        <v>0</v>
      </c>
      <c r="K14">
        <f t="shared" ca="1" si="6"/>
        <v>0</v>
      </c>
      <c r="L14">
        <f t="shared" ca="1" si="6"/>
        <v>0</v>
      </c>
      <c r="M14">
        <f t="shared" ca="1" si="6"/>
        <v>0</v>
      </c>
      <c r="N14">
        <f t="shared" ca="1" si="6"/>
        <v>1.9139801786653012E-2</v>
      </c>
      <c r="O14">
        <f t="shared" ca="1" si="6"/>
        <v>0.82057686484685843</v>
      </c>
      <c r="P14">
        <f t="shared" ca="1" si="6"/>
        <v>1.4713722623489505</v>
      </c>
      <c r="Q14">
        <f t="shared" ca="1" si="6"/>
        <v>2.0114317653382656</v>
      </c>
      <c r="R14">
        <f t="shared" ca="1" si="6"/>
        <v>2.4389955748964085</v>
      </c>
      <c r="S14">
        <f t="shared" ca="1" si="6"/>
        <v>2.7825412305312356</v>
      </c>
      <c r="T14">
        <f t="shared" ca="1" si="6"/>
        <v>3.0432063315294657</v>
      </c>
      <c r="U14">
        <f t="shared" ca="1" si="6"/>
        <v>9.8544984552518162</v>
      </c>
      <c r="V14">
        <f t="shared" ca="1" si="6"/>
        <v>10.153888113199271</v>
      </c>
      <c r="W14">
        <f t="shared" ca="1" si="6"/>
        <v>10.301656603522003</v>
      </c>
      <c r="X14">
        <f t="shared" ca="1" si="6"/>
        <v>10.318513636535124</v>
      </c>
      <c r="Y14">
        <f t="shared" ca="1" si="6"/>
        <v>11.421704151009951</v>
      </c>
      <c r="Z14">
        <f t="shared" ca="1" si="6"/>
        <v>11.197215523915007</v>
      </c>
      <c r="AA14">
        <f t="shared" ca="1" si="6"/>
        <v>10.897258818066364</v>
      </c>
      <c r="AB14">
        <f t="shared" ca="1" si="6"/>
        <v>10.542692953946712</v>
      </c>
      <c r="AC14">
        <f t="shared" ca="1" si="6"/>
        <v>10.141933610097638</v>
      </c>
      <c r="AD14">
        <f t="shared" ca="1" si="6"/>
        <v>9.7129975485814004</v>
      </c>
      <c r="AE14">
        <f t="shared" ca="1" si="6"/>
        <v>9.2603462720634582</v>
      </c>
      <c r="AF14">
        <f t="shared" ca="1" si="6"/>
        <v>8.8005280973563043</v>
      </c>
      <c r="AG14">
        <f t="shared" ca="1" si="6"/>
        <v>8.3304768919210996</v>
      </c>
      <c r="AH14">
        <f t="shared" ca="1" si="6"/>
        <v>7.866339389589057</v>
      </c>
      <c r="AI14">
        <f t="shared" ca="1" si="6"/>
        <v>7.4021855639201588</v>
      </c>
      <c r="AJ14">
        <f t="shared" ca="1" si="6"/>
        <v>6.9523625932427224</v>
      </c>
      <c r="AK14">
        <f t="shared" ca="1" si="6"/>
        <v>6.5093004035200233</v>
      </c>
      <c r="AL14">
        <f t="shared" ca="1" si="6"/>
        <v>6.0839453736429325</v>
      </c>
      <c r="AM14">
        <f t="shared" ca="1" si="6"/>
        <v>5.6713166583306434</v>
      </c>
      <c r="AN14">
        <f t="shared" ca="1" si="6"/>
        <v>5.2806584667017509</v>
      </c>
      <c r="AO14">
        <f t="shared" ca="1" si="6"/>
        <v>4.9034459448847052</v>
      </c>
      <c r="AP14">
        <f t="shared" ca="1" si="6"/>
        <v>4.549108830426662</v>
      </c>
      <c r="AQ14">
        <f t="shared" ca="1" si="6"/>
        <v>4.2093422899348791</v>
      </c>
      <c r="AR14">
        <f t="shared" ca="1" si="6"/>
        <v>3.8922019912961892</v>
      </c>
      <c r="AS14">
        <f t="shared" ca="1" si="6"/>
        <v>3.5898552947131841</v>
      </c>
      <c r="AT14">
        <f t="shared" ca="1" si="6"/>
        <v>3.3080446634251506</v>
      </c>
      <c r="AU14">
        <f t="shared" ca="1" si="6"/>
        <v>3.0418021979242491</v>
      </c>
      <c r="AV14">
        <f t="shared" ca="1" si="6"/>
        <v>2.7957141628261937</v>
      </c>
    </row>
    <row r="15" spans="1:48" ht="24" customHeight="1" x14ac:dyDescent="0.15">
      <c r="F15" s="2" t="s">
        <v>106</v>
      </c>
      <c r="H15">
        <f t="shared" ref="H15:AV15" si="7">H5*(H5+1)</f>
        <v>0</v>
      </c>
      <c r="I15">
        <f t="shared" ca="1" si="7"/>
        <v>3.7008369300056296</v>
      </c>
      <c r="J15">
        <f t="shared" ca="1" si="7"/>
        <v>1.9754100206417713</v>
      </c>
      <c r="K15">
        <f t="shared" ca="1" si="7"/>
        <v>0.72549446425220487</v>
      </c>
      <c r="L15">
        <f t="shared" ca="1" si="7"/>
        <v>-8.1516231938449663E-3</v>
      </c>
      <c r="M15">
        <f t="shared" ca="1" si="7"/>
        <v>-0.24984800150121975</v>
      </c>
      <c r="N15">
        <f t="shared" ca="1" si="7"/>
        <v>1.1079001688872209E-2</v>
      </c>
      <c r="O15">
        <f t="shared" ca="1" si="7"/>
        <v>0.7803640457872022</v>
      </c>
      <c r="P15">
        <f t="shared" ca="1" si="7"/>
        <v>2.0329968099080502</v>
      </c>
      <c r="Q15">
        <f t="shared" ca="1" si="7"/>
        <v>3.8105010320885726</v>
      </c>
      <c r="R15">
        <f t="shared" ca="1" si="7"/>
        <v>6.0549146181272278</v>
      </c>
      <c r="S15">
        <f t="shared" ca="1" si="7"/>
        <v>8.8406380183899422</v>
      </c>
      <c r="T15">
        <f t="shared" ca="1" si="7"/>
        <v>12.076832426346407</v>
      </c>
      <c r="U15">
        <f t="shared" ca="1" si="7"/>
        <v>15.870775004691312</v>
      </c>
      <c r="V15">
        <f t="shared" ca="1" si="7"/>
        <v>20.123475323700504</v>
      </c>
      <c r="W15">
        <f t="shared" ca="1" si="7"/>
        <v>24.928399324451117</v>
      </c>
      <c r="X15">
        <f t="shared" ca="1" si="7"/>
        <v>30.150872583974476</v>
      </c>
      <c r="Y15">
        <f t="shared" ca="1" si="7"/>
        <v>35.964015762807286</v>
      </c>
      <c r="Z15">
        <f t="shared" ca="1" si="7"/>
        <v>42.178269844248447</v>
      </c>
      <c r="AA15">
        <f t="shared" ca="1" si="7"/>
        <v>48.99963220116345</v>
      </c>
      <c r="AB15">
        <f t="shared" ca="1" si="7"/>
        <v>56.205667104522419</v>
      </c>
      <c r="AC15">
        <f t="shared" ca="1" si="7"/>
        <v>64.035248639519608</v>
      </c>
      <c r="AD15">
        <f t="shared" ca="1" si="7"/>
        <v>72.279722274347918</v>
      </c>
      <c r="AE15">
        <f t="shared" ca="1" si="7"/>
        <v>81.120285231750785</v>
      </c>
      <c r="AF15">
        <f t="shared" ca="1" si="7"/>
        <v>90.31259898667669</v>
      </c>
      <c r="AG15">
        <f t="shared" ca="1" si="7"/>
        <v>100.16138112216174</v>
      </c>
      <c r="AH15">
        <f t="shared" ca="1" si="7"/>
        <v>110.34547569900545</v>
      </c>
      <c r="AI15">
        <f t="shared" ca="1" si="7"/>
        <v>121.2024770125727</v>
      </c>
      <c r="AJ15">
        <f t="shared" ca="1" si="7"/>
        <v>132.37835241133422</v>
      </c>
      <c r="AK15">
        <f t="shared" ca="1" si="7"/>
        <v>144.24357290298366</v>
      </c>
      <c r="AL15">
        <f t="shared" ca="1" si="7"/>
        <v>156.47981985363106</v>
      </c>
      <c r="AM15">
        <f t="shared" ca="1" si="7"/>
        <v>169.35602176768626</v>
      </c>
      <c r="AN15">
        <f t="shared" ca="1" si="7"/>
        <v>182.51817601801463</v>
      </c>
      <c r="AO15">
        <f t="shared" ca="1" si="7"/>
        <v>196.40259711015202</v>
      </c>
      <c r="AP15">
        <f t="shared" ca="1" si="7"/>
        <v>210.5565321823982</v>
      </c>
      <c r="AQ15">
        <f t="shared" ca="1" si="7"/>
        <v>225.44917245261777</v>
      </c>
      <c r="AR15">
        <f t="shared" ca="1" si="7"/>
        <v>240.59488834678172</v>
      </c>
      <c r="AS15">
        <f t="shared" ca="1" si="7"/>
        <v>256.49574779508356</v>
      </c>
      <c r="AT15">
        <f t="shared" ca="1" si="7"/>
        <v>272.72376806155006</v>
      </c>
      <c r="AU15">
        <f t="shared" ca="1" si="7"/>
        <v>289.63560893225753</v>
      </c>
      <c r="AV15">
        <f t="shared" ca="1" si="7"/>
        <v>306.7676036779884</v>
      </c>
    </row>
    <row r="16" spans="1:48" ht="24" customHeight="1" x14ac:dyDescent="0.2">
      <c r="A16" s="62"/>
      <c r="F16" s="42" t="s">
        <v>107</v>
      </c>
      <c r="H16" s="7">
        <f>(H9/(1+$B$4)^(H5+2))*H15</f>
        <v>0</v>
      </c>
      <c r="I16" s="7">
        <f t="shared" ref="I16:AV16" ca="1" si="8">(I9/(1+$B$4)^(I5+2))*I15</f>
        <v>0</v>
      </c>
      <c r="J16" s="7">
        <f t="shared" ca="1" si="8"/>
        <v>0</v>
      </c>
      <c r="K16" s="7">
        <f t="shared" ca="1" si="8"/>
        <v>0</v>
      </c>
      <c r="L16" s="7">
        <f t="shared" ca="1" si="8"/>
        <v>0</v>
      </c>
      <c r="M16" s="7">
        <f t="shared" ca="1" si="8"/>
        <v>0</v>
      </c>
      <c r="N16" s="7">
        <f t="shared" ca="1" si="8"/>
        <v>1.3437189610492698E-2</v>
      </c>
      <c r="O16" s="7">
        <f t="shared" ca="1" si="8"/>
        <v>0.8633542737068356</v>
      </c>
      <c r="P16" s="7">
        <f t="shared" ca="1" si="8"/>
        <v>2.0547702446045086</v>
      </c>
      <c r="Q16" s="7">
        <f t="shared" ca="1" si="8"/>
        <v>3.5131171243921768</v>
      </c>
      <c r="R16" s="7">
        <f t="shared" ca="1" si="8"/>
        <v>5.0998023911932133</v>
      </c>
      <c r="S16" s="7">
        <f t="shared" ca="1" si="8"/>
        <v>6.7922382016201963</v>
      </c>
      <c r="T16" s="7">
        <f t="shared" ca="1" si="8"/>
        <v>8.4765107864519358</v>
      </c>
      <c r="U16" s="7">
        <f t="shared" ca="1" si="8"/>
        <v>30.898427424381655</v>
      </c>
      <c r="V16" s="7">
        <f t="shared" ca="1" si="8"/>
        <v>35.353149252577374</v>
      </c>
      <c r="W16" s="7">
        <f t="shared" ca="1" si="8"/>
        <v>39.474003804211023</v>
      </c>
      <c r="X16" s="7">
        <f t="shared" ca="1" si="8"/>
        <v>43.091966195195198</v>
      </c>
      <c r="Y16" s="7">
        <f t="shared" ca="1" si="8"/>
        <v>51.697553605884082</v>
      </c>
      <c r="Z16" s="7">
        <f t="shared" ca="1" si="8"/>
        <v>54.537427209327284</v>
      </c>
      <c r="AA16" s="7">
        <f t="shared" ca="1" si="8"/>
        <v>56.891320770118156</v>
      </c>
      <c r="AB16" s="7">
        <f t="shared" ca="1" si="8"/>
        <v>58.670808390970585</v>
      </c>
      <c r="AC16" s="7">
        <f t="shared" ca="1" si="8"/>
        <v>59.991003793366744</v>
      </c>
      <c r="AD16" s="7">
        <f t="shared" ca="1" si="8"/>
        <v>60.817113646083321</v>
      </c>
      <c r="AE16" s="7">
        <f t="shared" ca="1" si="8"/>
        <v>61.224701855822893</v>
      </c>
      <c r="AF16" s="7">
        <f t="shared" ca="1" si="8"/>
        <v>61.215241103376457</v>
      </c>
      <c r="AG16" s="7">
        <f t="shared" ca="1" si="8"/>
        <v>60.861931630473791</v>
      </c>
      <c r="AH16" s="7">
        <f t="shared" ca="1" si="8"/>
        <v>60.179890954219175</v>
      </c>
      <c r="AI16" s="7">
        <f t="shared" ca="1" si="8"/>
        <v>59.220301172534754</v>
      </c>
      <c r="AJ16" s="7">
        <f t="shared" ca="1" si="8"/>
        <v>58.015719813475222</v>
      </c>
      <c r="AK16" s="7">
        <f t="shared" ca="1" si="8"/>
        <v>56.597227633345696</v>
      </c>
      <c r="AL16" s="7">
        <f t="shared" ca="1" si="8"/>
        <v>55.005533515127865</v>
      </c>
      <c r="AM16" s="7">
        <f t="shared" ca="1" si="8"/>
        <v>53.260310170319755</v>
      </c>
      <c r="AN16" s="7">
        <f t="shared" ca="1" si="8"/>
        <v>51.410063497170569</v>
      </c>
      <c r="AO16" s="7">
        <f t="shared" ca="1" si="8"/>
        <v>49.454275026320055</v>
      </c>
      <c r="AP16" s="7">
        <f t="shared" ca="1" si="8"/>
        <v>47.447135860728636</v>
      </c>
      <c r="AQ16" s="7">
        <f t="shared" ca="1" si="8"/>
        <v>45.376966162045314</v>
      </c>
      <c r="AR16" s="7">
        <f t="shared" ca="1" si="8"/>
        <v>43.298525576691056</v>
      </c>
      <c r="AS16" s="7">
        <f t="shared" ca="1" si="8"/>
        <v>41.191813703225293</v>
      </c>
      <c r="AT16" s="7">
        <f t="shared" ca="1" si="8"/>
        <v>39.103655810236823</v>
      </c>
      <c r="AU16" s="7">
        <f t="shared" ca="1" si="8"/>
        <v>37.021325456852018</v>
      </c>
      <c r="AV16" s="7">
        <f t="shared" ca="1" si="8"/>
        <v>34.988979762311082</v>
      </c>
    </row>
    <row r="17" spans="1:48" ht="24" customHeight="1" x14ac:dyDescent="0.2">
      <c r="A17" s="62"/>
      <c r="F17" s="42" t="s">
        <v>108</v>
      </c>
      <c r="H17">
        <f ca="1">(H9/(1+$D$11)^(H5+2))*H15</f>
        <v>0</v>
      </c>
      <c r="I17">
        <f t="shared" ref="I17:AV17" ca="1" si="9">(I9/(1+$D$11)^(I5+2))*I15</f>
        <v>0</v>
      </c>
      <c r="J17">
        <f t="shared" ca="1" si="9"/>
        <v>0</v>
      </c>
      <c r="K17">
        <f t="shared" ca="1" si="9"/>
        <v>0</v>
      </c>
      <c r="L17">
        <f t="shared" ca="1" si="9"/>
        <v>0</v>
      </c>
      <c r="M17">
        <f t="shared" ca="1" si="9"/>
        <v>0</v>
      </c>
      <c r="N17">
        <f t="shared" ca="1" si="9"/>
        <v>1.2348981825101338E-2</v>
      </c>
      <c r="O17">
        <f t="shared" ca="1" si="9"/>
        <v>0.77681471030090288</v>
      </c>
      <c r="P17">
        <f t="shared" ca="1" si="9"/>
        <v>1.8107031832795466</v>
      </c>
      <c r="Q17">
        <f t="shared" ca="1" si="9"/>
        <v>3.0309747475891555</v>
      </c>
      <c r="R17">
        <f t="shared" ca="1" si="9"/>
        <v>4.3092196983073441</v>
      </c>
      <c r="S17">
        <f t="shared" ca="1" si="9"/>
        <v>5.6190628299281373</v>
      </c>
      <c r="T17">
        <f t="shared" ca="1" si="9"/>
        <v>6.8678958140899269</v>
      </c>
      <c r="U17">
        <f t="shared" ca="1" si="9"/>
        <v>24.510301178480695</v>
      </c>
      <c r="V17">
        <f t="shared" ca="1" si="9"/>
        <v>27.462875500009186</v>
      </c>
      <c r="W17">
        <f t="shared" ca="1" si="9"/>
        <v>30.021664821085849</v>
      </c>
      <c r="X17">
        <f t="shared" ca="1" si="9"/>
        <v>32.097817462980309</v>
      </c>
      <c r="Y17">
        <f t="shared" ca="1" si="9"/>
        <v>37.701174212397881</v>
      </c>
      <c r="Z17">
        <f t="shared" ca="1" si="9"/>
        <v>38.952481494179729</v>
      </c>
      <c r="AA17">
        <f t="shared" ca="1" si="9"/>
        <v>39.782511028709024</v>
      </c>
      <c r="AB17">
        <f t="shared" ca="1" si="9"/>
        <v>40.18128735275981</v>
      </c>
      <c r="AC17">
        <f t="shared" ca="1" si="9"/>
        <v>40.224772397496523</v>
      </c>
      <c r="AD17">
        <f t="shared" ca="1" si="9"/>
        <v>39.93364028729922</v>
      </c>
      <c r="AE17">
        <f t="shared" ca="1" si="9"/>
        <v>39.359127957073142</v>
      </c>
      <c r="AF17">
        <f t="shared" ca="1" si="9"/>
        <v>38.541973830360895</v>
      </c>
      <c r="AG17">
        <f t="shared" ca="1" si="9"/>
        <v>37.516802034312768</v>
      </c>
      <c r="AH17">
        <f t="shared" ca="1" si="9"/>
        <v>36.331813435667591</v>
      </c>
      <c r="AI17">
        <f t="shared" ca="1" si="9"/>
        <v>35.003541185903302</v>
      </c>
      <c r="AJ17">
        <f t="shared" ca="1" si="9"/>
        <v>33.584791390928444</v>
      </c>
      <c r="AK17">
        <f t="shared" ca="1" si="9"/>
        <v>32.077301058316124</v>
      </c>
      <c r="AL17">
        <f t="shared" ca="1" si="9"/>
        <v>30.529147241745523</v>
      </c>
      <c r="AM17">
        <f t="shared" ca="1" si="9"/>
        <v>28.941276028444083</v>
      </c>
      <c r="AN17">
        <f t="shared" ca="1" si="9"/>
        <v>27.360102715930545</v>
      </c>
      <c r="AO17">
        <f t="shared" ca="1" si="9"/>
        <v>25.767905250262849</v>
      </c>
      <c r="AP17">
        <f t="shared" ca="1" si="9"/>
        <v>24.212569245365554</v>
      </c>
      <c r="AQ17">
        <f t="shared" ca="1" si="9"/>
        <v>22.671070241655471</v>
      </c>
      <c r="AR17">
        <f t="shared" ca="1" si="9"/>
        <v>21.186795428681293</v>
      </c>
      <c r="AS17">
        <f t="shared" ca="1" si="9"/>
        <v>19.733711380871078</v>
      </c>
      <c r="AT17">
        <f t="shared" ca="1" si="9"/>
        <v>18.345132340794276</v>
      </c>
      <c r="AU17">
        <f t="shared" ca="1" si="9"/>
        <v>17.004393364030836</v>
      </c>
      <c r="AV17">
        <f t="shared" ca="1" si="9"/>
        <v>15.739685769155722</v>
      </c>
    </row>
    <row r="18" spans="1:48" ht="24" customHeight="1" x14ac:dyDescent="0.15"/>
    <row r="19" spans="1:48" ht="24" customHeight="1" x14ac:dyDescent="0.15"/>
    <row r="20" spans="1:48" ht="24" customHeight="1" x14ac:dyDescent="0.25">
      <c r="A20" s="36" t="s">
        <v>75</v>
      </c>
      <c r="C20" s="36" t="s">
        <v>76</v>
      </c>
      <c r="F20" s="241" t="s">
        <v>23</v>
      </c>
      <c r="G20" s="34" t="s">
        <v>100</v>
      </c>
    </row>
    <row r="21" spans="1:48" ht="24" customHeight="1" x14ac:dyDescent="0.15">
      <c r="A21" s="44" t="s">
        <v>77</v>
      </c>
      <c r="B21" s="45">
        <f>'Monitor Bonos'!C19</f>
        <v>0.2</v>
      </c>
      <c r="C21" s="46" t="s">
        <v>11</v>
      </c>
      <c r="D21" s="70">
        <f ca="1">SUM(H28:AV28)</f>
        <v>47.470015335609048</v>
      </c>
      <c r="E21" s="37"/>
      <c r="F21" s="8" t="s">
        <v>101</v>
      </c>
      <c r="G21" s="28">
        <f ca="1">B22</f>
        <v>45478</v>
      </c>
      <c r="H21" s="28">
        <v>44386</v>
      </c>
      <c r="I21" s="29">
        <v>44570</v>
      </c>
      <c r="J21" s="29">
        <v>44751</v>
      </c>
      <c r="K21" s="29">
        <v>44935</v>
      </c>
      <c r="L21" s="29">
        <v>45116</v>
      </c>
      <c r="M21" s="29">
        <v>45300</v>
      </c>
      <c r="N21" s="29">
        <v>45482</v>
      </c>
      <c r="O21" s="29">
        <v>45666</v>
      </c>
      <c r="P21" s="29">
        <v>45847</v>
      </c>
      <c r="Q21" s="29">
        <v>46031</v>
      </c>
      <c r="R21" s="29">
        <v>46212</v>
      </c>
      <c r="S21" s="29">
        <v>46396</v>
      </c>
      <c r="T21" s="29">
        <v>46577</v>
      </c>
      <c r="U21" s="29">
        <v>46761</v>
      </c>
      <c r="V21" s="29">
        <v>46943</v>
      </c>
      <c r="W21" s="29">
        <v>47127</v>
      </c>
      <c r="X21" s="29">
        <v>47308</v>
      </c>
      <c r="Y21" s="29">
        <v>47492</v>
      </c>
      <c r="Z21" s="29">
        <v>47673</v>
      </c>
      <c r="AA21" s="29">
        <v>47857</v>
      </c>
      <c r="AB21" s="29">
        <v>48038</v>
      </c>
      <c r="AC21" s="29">
        <v>48222</v>
      </c>
      <c r="AD21" s="29">
        <v>48404</v>
      </c>
      <c r="AE21" s="29">
        <v>48588</v>
      </c>
      <c r="AF21" s="29">
        <v>48769</v>
      </c>
      <c r="AG21" s="29">
        <v>48953</v>
      </c>
      <c r="AH21" s="29">
        <v>49134</v>
      </c>
      <c r="AI21" s="29">
        <v>49318</v>
      </c>
      <c r="AJ21" s="29">
        <v>49499</v>
      </c>
      <c r="AK21" s="29">
        <v>49683</v>
      </c>
      <c r="AL21" s="29">
        <v>49865</v>
      </c>
      <c r="AM21" s="29">
        <v>50049</v>
      </c>
      <c r="AN21" s="29">
        <v>50230</v>
      </c>
      <c r="AO21" s="29">
        <v>50414</v>
      </c>
      <c r="AP21" s="29"/>
      <c r="AQ21" s="29"/>
      <c r="AR21" s="29"/>
      <c r="AS21" s="29"/>
      <c r="AT21" s="29"/>
      <c r="AU21" s="29"/>
      <c r="AV21" s="30"/>
    </row>
    <row r="22" spans="1:48" ht="24" customHeight="1" x14ac:dyDescent="0.15">
      <c r="A22" s="43" t="s">
        <v>79</v>
      </c>
      <c r="B22" s="38">
        <f ca="1">'Monitor Bonos'!$C$7</f>
        <v>45478</v>
      </c>
      <c r="C22" s="41" t="s">
        <v>80</v>
      </c>
      <c r="D22" s="40">
        <f ca="1">+B26*((B22-B25)/(B24-B25))</f>
        <v>5.82</v>
      </c>
      <c r="E22" s="37"/>
      <c r="F22" s="9" t="s">
        <v>81</v>
      </c>
      <c r="H22" s="16">
        <v>0</v>
      </c>
      <c r="I22" s="17">
        <f t="shared" ref="I22:AO22" ca="1" si="10">+(I21-$B$22)/365</f>
        <v>-2.4876712328767123</v>
      </c>
      <c r="J22" s="17">
        <f t="shared" ca="1" si="10"/>
        <v>-1.9917808219178081</v>
      </c>
      <c r="K22" s="17">
        <f t="shared" ca="1" si="10"/>
        <v>-1.4876712328767123</v>
      </c>
      <c r="L22" s="17">
        <f t="shared" ca="1" si="10"/>
        <v>-0.99178082191780825</v>
      </c>
      <c r="M22" s="17">
        <f t="shared" ca="1" si="10"/>
        <v>-0.48767123287671232</v>
      </c>
      <c r="N22" s="17">
        <f t="shared" ca="1" si="10"/>
        <v>1.0958904109589041E-2</v>
      </c>
      <c r="O22" s="17">
        <f t="shared" ca="1" si="10"/>
        <v>0.51506849315068493</v>
      </c>
      <c r="P22" s="17">
        <f t="shared" ca="1" si="10"/>
        <v>1.010958904109589</v>
      </c>
      <c r="Q22" s="17">
        <f t="shared" ca="1" si="10"/>
        <v>1.515068493150685</v>
      </c>
      <c r="R22" s="17">
        <f t="shared" ca="1" si="10"/>
        <v>2.010958904109589</v>
      </c>
      <c r="S22" s="17">
        <f t="shared" ca="1" si="10"/>
        <v>2.515068493150685</v>
      </c>
      <c r="T22" s="17">
        <f t="shared" ca="1" si="10"/>
        <v>3.010958904109589</v>
      </c>
      <c r="U22" s="17">
        <f t="shared" ca="1" si="10"/>
        <v>3.515068493150685</v>
      </c>
      <c r="V22" s="17">
        <f t="shared" ca="1" si="10"/>
        <v>4.0136986301369859</v>
      </c>
      <c r="W22" s="17">
        <f t="shared" ca="1" si="10"/>
        <v>4.5178082191780824</v>
      </c>
      <c r="X22" s="17">
        <f t="shared" ca="1" si="10"/>
        <v>5.0136986301369859</v>
      </c>
      <c r="Y22" s="17">
        <f t="shared" ca="1" si="10"/>
        <v>5.5178082191780824</v>
      </c>
      <c r="Z22" s="17">
        <f t="shared" ca="1" si="10"/>
        <v>6.0136986301369859</v>
      </c>
      <c r="AA22" s="17">
        <f t="shared" ca="1" si="10"/>
        <v>6.5178082191780824</v>
      </c>
      <c r="AB22" s="17">
        <f t="shared" ca="1" si="10"/>
        <v>7.0136986301369859</v>
      </c>
      <c r="AC22" s="17">
        <f t="shared" ca="1" si="10"/>
        <v>7.5178082191780824</v>
      </c>
      <c r="AD22" s="17">
        <f t="shared" ca="1" si="10"/>
        <v>8.0164383561643842</v>
      </c>
      <c r="AE22" s="17">
        <f t="shared" ca="1" si="10"/>
        <v>8.5205479452054789</v>
      </c>
      <c r="AF22" s="17">
        <f t="shared" ca="1" si="10"/>
        <v>9.0164383561643842</v>
      </c>
      <c r="AG22" s="17">
        <f t="shared" ca="1" si="10"/>
        <v>9.5205479452054789</v>
      </c>
      <c r="AH22" s="17">
        <f t="shared" ca="1" si="10"/>
        <v>10.016438356164384</v>
      </c>
      <c r="AI22" s="17">
        <f t="shared" ca="1" si="10"/>
        <v>10.520547945205479</v>
      </c>
      <c r="AJ22" s="17">
        <f t="shared" ca="1" si="10"/>
        <v>11.016438356164384</v>
      </c>
      <c r="AK22" s="17">
        <f t="shared" ca="1" si="10"/>
        <v>11.520547945205479</v>
      </c>
      <c r="AL22" s="17">
        <f t="shared" ca="1" si="10"/>
        <v>12.019178082191781</v>
      </c>
      <c r="AM22" s="17">
        <f t="shared" ca="1" si="10"/>
        <v>12.523287671232877</v>
      </c>
      <c r="AN22" s="17">
        <f t="shared" ca="1" si="10"/>
        <v>13.019178082191781</v>
      </c>
      <c r="AO22" s="17">
        <f t="shared" ca="1" si="10"/>
        <v>13.523287671232877</v>
      </c>
      <c r="AP22" s="17"/>
      <c r="AQ22" s="17"/>
      <c r="AR22" s="17"/>
      <c r="AS22" s="17"/>
      <c r="AT22" s="17"/>
      <c r="AU22" s="17"/>
      <c r="AV22" s="18"/>
    </row>
    <row r="23" spans="1:48" ht="24" customHeight="1" x14ac:dyDescent="0.15">
      <c r="A23" s="50" t="s">
        <v>82</v>
      </c>
      <c r="B23" s="51">
        <v>100</v>
      </c>
      <c r="C23" s="41" t="s">
        <v>83</v>
      </c>
      <c r="D23" s="39">
        <f ca="1">SUM(H31:AV31)/D21</f>
        <v>4.9910067094298007</v>
      </c>
      <c r="E23" s="37"/>
      <c r="F23" s="10" t="s">
        <v>87</v>
      </c>
      <c r="H23" s="14"/>
      <c r="I23" s="13"/>
      <c r="J23" s="13"/>
      <c r="K23" s="13"/>
      <c r="L23" s="65">
        <v>3.875E-2</v>
      </c>
      <c r="M23" s="66">
        <v>4.2500000000000003E-2</v>
      </c>
      <c r="N23" s="66">
        <v>4.2500000000000003E-2</v>
      </c>
      <c r="O23" s="67">
        <v>0.05</v>
      </c>
      <c r="P23" s="67">
        <v>0.05</v>
      </c>
      <c r="Q23" s="67">
        <v>0.05</v>
      </c>
      <c r="R23" s="67">
        <v>0.05</v>
      </c>
      <c r="S23" s="67">
        <v>0.05</v>
      </c>
      <c r="T23" s="67">
        <v>0.05</v>
      </c>
      <c r="U23" s="67">
        <v>0.05</v>
      </c>
      <c r="V23" s="67">
        <v>0.05</v>
      </c>
      <c r="W23" s="67">
        <v>0.05</v>
      </c>
      <c r="X23" s="67">
        <v>0.05</v>
      </c>
      <c r="Y23" s="67">
        <v>0.05</v>
      </c>
      <c r="Z23" s="67">
        <v>0.05</v>
      </c>
      <c r="AA23" s="67">
        <v>0.05</v>
      </c>
      <c r="AB23" s="67">
        <v>0.05</v>
      </c>
      <c r="AC23" s="67">
        <v>0.05</v>
      </c>
      <c r="AD23" s="67">
        <v>0.05</v>
      </c>
      <c r="AE23" s="67">
        <v>0.05</v>
      </c>
      <c r="AF23" s="67">
        <v>0.05</v>
      </c>
      <c r="AG23" s="67">
        <v>0.05</v>
      </c>
      <c r="AH23" s="67">
        <v>0.05</v>
      </c>
      <c r="AI23" s="67">
        <v>0.05</v>
      </c>
      <c r="AJ23" s="67">
        <v>0.05</v>
      </c>
      <c r="AK23" s="67">
        <v>0.05</v>
      </c>
      <c r="AL23" s="67">
        <v>0.05</v>
      </c>
      <c r="AM23" s="67">
        <v>0.05</v>
      </c>
      <c r="AN23" s="67">
        <v>0.05</v>
      </c>
      <c r="AO23" s="67">
        <v>0.05</v>
      </c>
      <c r="AP23" s="67"/>
      <c r="AQ23" s="67"/>
      <c r="AR23" s="67"/>
      <c r="AS23" s="67"/>
      <c r="AT23" s="67"/>
      <c r="AU23" s="67"/>
      <c r="AV23" s="68"/>
    </row>
    <row r="24" spans="1:48" ht="24" customHeight="1" x14ac:dyDescent="0.15">
      <c r="A24" s="50" t="s">
        <v>84</v>
      </c>
      <c r="B24" s="38">
        <f>L21</f>
        <v>45116</v>
      </c>
      <c r="C24" s="41" t="s">
        <v>85</v>
      </c>
      <c r="D24" s="39">
        <f ca="1">+D23/(1+B21/2)</f>
        <v>4.5372788267543642</v>
      </c>
      <c r="E24" s="37"/>
      <c r="F24" s="10" t="s">
        <v>29</v>
      </c>
      <c r="H24" s="19"/>
      <c r="I24" s="20"/>
      <c r="J24" s="20"/>
      <c r="K24" s="20"/>
      <c r="L24" s="21">
        <f>L23/2*L27</f>
        <v>1.9375</v>
      </c>
      <c r="M24" s="21">
        <f t="shared" ref="M24:AO24" si="11">M23/2*M27</f>
        <v>2.125</v>
      </c>
      <c r="N24" s="21">
        <f t="shared" si="11"/>
        <v>2.125</v>
      </c>
      <c r="O24" s="21">
        <f t="shared" si="11"/>
        <v>2.5</v>
      </c>
      <c r="P24" s="21">
        <f t="shared" si="11"/>
        <v>2.5</v>
      </c>
      <c r="Q24" s="21">
        <f t="shared" si="11"/>
        <v>2.5</v>
      </c>
      <c r="R24" s="21">
        <f t="shared" si="11"/>
        <v>2.5</v>
      </c>
      <c r="S24" s="21">
        <f t="shared" si="11"/>
        <v>2.5</v>
      </c>
      <c r="T24" s="21">
        <f t="shared" si="11"/>
        <v>2.5</v>
      </c>
      <c r="U24" s="21">
        <f t="shared" si="11"/>
        <v>2.3863636363636362</v>
      </c>
      <c r="V24" s="21">
        <f t="shared" si="11"/>
        <v>2.2727272727272729</v>
      </c>
      <c r="W24" s="21">
        <f t="shared" si="11"/>
        <v>2.1590909090909092</v>
      </c>
      <c r="X24" s="21">
        <f t="shared" si="11"/>
        <v>2.0454545454545454</v>
      </c>
      <c r="Y24" s="21">
        <f t="shared" si="11"/>
        <v>1.9318181818181817</v>
      </c>
      <c r="Z24" s="21">
        <f t="shared" si="11"/>
        <v>1.8181818181818181</v>
      </c>
      <c r="AA24" s="21">
        <f t="shared" si="11"/>
        <v>1.7045454545454544</v>
      </c>
      <c r="AB24" s="21">
        <f t="shared" si="11"/>
        <v>1.5909090909090908</v>
      </c>
      <c r="AC24" s="21">
        <f t="shared" si="11"/>
        <v>1.4772727272727271</v>
      </c>
      <c r="AD24" s="21">
        <f t="shared" si="11"/>
        <v>1.3636363636363633</v>
      </c>
      <c r="AE24" s="21">
        <f t="shared" si="11"/>
        <v>1.2499999999999998</v>
      </c>
      <c r="AF24" s="21">
        <f t="shared" si="11"/>
        <v>1.136363636363636</v>
      </c>
      <c r="AG24" s="21">
        <f t="shared" si="11"/>
        <v>1.0227272727272723</v>
      </c>
      <c r="AH24" s="21">
        <f t="shared" si="11"/>
        <v>0.90909090909090873</v>
      </c>
      <c r="AI24" s="21">
        <f t="shared" si="11"/>
        <v>0.79545454545454497</v>
      </c>
      <c r="AJ24" s="21">
        <f t="shared" si="11"/>
        <v>0.68181818181818121</v>
      </c>
      <c r="AK24" s="21">
        <f t="shared" si="11"/>
        <v>0.56818181818181734</v>
      </c>
      <c r="AL24" s="21">
        <f t="shared" si="11"/>
        <v>0.45454545454545364</v>
      </c>
      <c r="AM24" s="21">
        <f t="shared" si="11"/>
        <v>0.34090909090908988</v>
      </c>
      <c r="AN24" s="21">
        <f t="shared" si="11"/>
        <v>0.2272727272727261</v>
      </c>
      <c r="AO24" s="21">
        <f t="shared" si="11"/>
        <v>0.11363636363636234</v>
      </c>
      <c r="AP24" s="21"/>
      <c r="AQ24" s="21"/>
      <c r="AR24" s="21"/>
      <c r="AS24" s="21"/>
      <c r="AT24" s="21"/>
      <c r="AU24" s="21"/>
      <c r="AV24" s="22"/>
    </row>
    <row r="25" spans="1:48" ht="24" customHeight="1" x14ac:dyDescent="0.15">
      <c r="A25" s="50" t="s">
        <v>86</v>
      </c>
      <c r="B25" s="38">
        <f>K21</f>
        <v>44935</v>
      </c>
      <c r="C25" s="41" t="s">
        <v>13</v>
      </c>
      <c r="D25" s="39">
        <f ca="1">SUM(H33:AV33)/D21</f>
        <v>28.200466909026307</v>
      </c>
      <c r="E25" s="37"/>
      <c r="F25" s="10" t="s">
        <v>28</v>
      </c>
      <c r="H25" s="19">
        <v>0</v>
      </c>
      <c r="I25" s="23">
        <v>0</v>
      </c>
      <c r="J25" s="23">
        <v>0</v>
      </c>
      <c r="K25" s="23">
        <v>0</v>
      </c>
      <c r="L25" s="23">
        <v>0</v>
      </c>
      <c r="M25" s="23">
        <v>0</v>
      </c>
      <c r="N25" s="23">
        <v>0</v>
      </c>
      <c r="O25" s="23">
        <v>0</v>
      </c>
      <c r="P25" s="23">
        <v>0</v>
      </c>
      <c r="Q25" s="23">
        <v>0</v>
      </c>
      <c r="R25" s="23">
        <v>0</v>
      </c>
      <c r="S25" s="23">
        <v>0</v>
      </c>
      <c r="T25" s="23">
        <v>4.5454545454545503</v>
      </c>
      <c r="U25" s="23">
        <v>4.5454545454545503</v>
      </c>
      <c r="V25" s="23">
        <v>4.5454545454545503</v>
      </c>
      <c r="W25" s="23">
        <v>4.5454545454545503</v>
      </c>
      <c r="X25" s="23">
        <v>4.5454545454545503</v>
      </c>
      <c r="Y25" s="23">
        <v>4.5454545454545503</v>
      </c>
      <c r="Z25" s="23">
        <v>4.5454545454545503</v>
      </c>
      <c r="AA25" s="23">
        <v>4.5454545454545503</v>
      </c>
      <c r="AB25" s="23">
        <v>4.5454545454545503</v>
      </c>
      <c r="AC25" s="23">
        <v>4.5454545454545503</v>
      </c>
      <c r="AD25" s="23">
        <v>4.5454545454545503</v>
      </c>
      <c r="AE25" s="23">
        <v>4.5454545454545503</v>
      </c>
      <c r="AF25" s="23">
        <v>4.5454545454545503</v>
      </c>
      <c r="AG25" s="23">
        <v>4.5454545454545503</v>
      </c>
      <c r="AH25" s="23">
        <v>4.5454545454545503</v>
      </c>
      <c r="AI25" s="23">
        <v>4.5454545454545503</v>
      </c>
      <c r="AJ25" s="23">
        <v>4.5454545454545503</v>
      </c>
      <c r="AK25" s="23">
        <v>4.5454545454545503</v>
      </c>
      <c r="AL25" s="23">
        <v>4.5454545454545503</v>
      </c>
      <c r="AM25" s="23">
        <v>4.5454545454545503</v>
      </c>
      <c r="AN25" s="23">
        <v>4.5454545454545503</v>
      </c>
      <c r="AO25" s="23">
        <v>4.5454545454545503</v>
      </c>
      <c r="AP25" s="23"/>
      <c r="AQ25" s="23"/>
      <c r="AR25" s="23"/>
      <c r="AS25" s="23"/>
      <c r="AT25" s="23"/>
      <c r="AU25" s="23"/>
      <c r="AV25" s="23"/>
    </row>
    <row r="26" spans="1:48" ht="24" customHeight="1" x14ac:dyDescent="0.15">
      <c r="A26" s="50" t="s">
        <v>88</v>
      </c>
      <c r="B26" s="61">
        <v>1.94</v>
      </c>
      <c r="E26" s="37"/>
      <c r="F26" s="11" t="s">
        <v>92</v>
      </c>
      <c r="G26">
        <f>-B28</f>
        <v>-30</v>
      </c>
      <c r="H26" s="19">
        <f t="shared" ref="H26:AO26" si="12">IF(H22&lt;0,0,H25+H24)</f>
        <v>0</v>
      </c>
      <c r="I26" s="23">
        <f t="shared" ca="1" si="12"/>
        <v>0</v>
      </c>
      <c r="J26" s="23">
        <f t="shared" ca="1" si="12"/>
        <v>0</v>
      </c>
      <c r="K26" s="23">
        <f t="shared" ca="1" si="12"/>
        <v>0</v>
      </c>
      <c r="L26" s="23">
        <f t="shared" ca="1" si="12"/>
        <v>0</v>
      </c>
      <c r="M26" s="23">
        <f t="shared" ca="1" si="12"/>
        <v>0</v>
      </c>
      <c r="N26" s="23">
        <f t="shared" ca="1" si="12"/>
        <v>2.125</v>
      </c>
      <c r="O26" s="23">
        <f t="shared" ca="1" si="12"/>
        <v>2.5</v>
      </c>
      <c r="P26" s="23">
        <f t="shared" ca="1" si="12"/>
        <v>2.5</v>
      </c>
      <c r="Q26" s="23">
        <f t="shared" ca="1" si="12"/>
        <v>2.5</v>
      </c>
      <c r="R26" s="23">
        <f t="shared" ca="1" si="12"/>
        <v>2.5</v>
      </c>
      <c r="S26" s="23">
        <f t="shared" ca="1" si="12"/>
        <v>2.5</v>
      </c>
      <c r="T26" s="23">
        <f t="shared" ca="1" si="12"/>
        <v>7.0454545454545503</v>
      </c>
      <c r="U26" s="23">
        <f t="shared" ca="1" si="12"/>
        <v>6.931818181818187</v>
      </c>
      <c r="V26" s="23">
        <f t="shared" ca="1" si="12"/>
        <v>6.8181818181818237</v>
      </c>
      <c r="W26" s="23">
        <f t="shared" ca="1" si="12"/>
        <v>6.7045454545454595</v>
      </c>
      <c r="X26" s="23">
        <f t="shared" ca="1" si="12"/>
        <v>6.5909090909090953</v>
      </c>
      <c r="Y26" s="23">
        <f t="shared" ca="1" si="12"/>
        <v>6.477272727272732</v>
      </c>
      <c r="Z26" s="23">
        <f t="shared" ca="1" si="12"/>
        <v>6.3636363636363686</v>
      </c>
      <c r="AA26" s="23">
        <f t="shared" ca="1" si="12"/>
        <v>6.2500000000000044</v>
      </c>
      <c r="AB26" s="23">
        <f t="shared" ca="1" si="12"/>
        <v>6.1363636363636411</v>
      </c>
      <c r="AC26" s="23">
        <f t="shared" ca="1" si="12"/>
        <v>6.0227272727272769</v>
      </c>
      <c r="AD26" s="23">
        <f t="shared" ca="1" si="12"/>
        <v>5.9090909090909136</v>
      </c>
      <c r="AE26" s="23">
        <f t="shared" ca="1" si="12"/>
        <v>5.7954545454545503</v>
      </c>
      <c r="AF26" s="23">
        <f t="shared" ca="1" si="12"/>
        <v>5.6818181818181861</v>
      </c>
      <c r="AG26" s="23">
        <f t="shared" ca="1" si="12"/>
        <v>5.5681818181818228</v>
      </c>
      <c r="AH26" s="23">
        <f t="shared" ca="1" si="12"/>
        <v>5.4545454545454586</v>
      </c>
      <c r="AI26" s="23">
        <f t="shared" ca="1" si="12"/>
        <v>5.3409090909090953</v>
      </c>
      <c r="AJ26" s="23">
        <f t="shared" ca="1" si="12"/>
        <v>5.227272727272732</v>
      </c>
      <c r="AK26" s="23">
        <f t="shared" ca="1" si="12"/>
        <v>5.1136363636363678</v>
      </c>
      <c r="AL26" s="23">
        <f t="shared" ca="1" si="12"/>
        <v>5.0000000000000036</v>
      </c>
      <c r="AM26" s="23">
        <f t="shared" ca="1" si="12"/>
        <v>4.8863636363636402</v>
      </c>
      <c r="AN26" s="23">
        <f t="shared" ca="1" si="12"/>
        <v>4.772727272727276</v>
      </c>
      <c r="AO26" s="23">
        <f t="shared" ca="1" si="12"/>
        <v>4.6590909090909127</v>
      </c>
      <c r="AP26" s="23"/>
      <c r="AQ26" s="23"/>
      <c r="AR26" s="23"/>
      <c r="AS26" s="23"/>
      <c r="AT26" s="23"/>
      <c r="AU26" s="23"/>
      <c r="AV26" s="24"/>
    </row>
    <row r="27" spans="1:48" ht="24" customHeight="1" x14ac:dyDescent="0.15">
      <c r="F27" s="12" t="s">
        <v>89</v>
      </c>
      <c r="H27" s="25">
        <f>B23</f>
        <v>100</v>
      </c>
      <c r="I27" s="26">
        <f t="shared" ref="I27:AO27" si="13">H27-H25</f>
        <v>100</v>
      </c>
      <c r="J27" s="26">
        <f t="shared" si="13"/>
        <v>100</v>
      </c>
      <c r="K27" s="26">
        <f t="shared" si="13"/>
        <v>100</v>
      </c>
      <c r="L27" s="26">
        <f t="shared" si="13"/>
        <v>100</v>
      </c>
      <c r="M27" s="26">
        <f t="shared" si="13"/>
        <v>100</v>
      </c>
      <c r="N27" s="26">
        <f t="shared" si="13"/>
        <v>100</v>
      </c>
      <c r="O27" s="26">
        <f t="shared" si="13"/>
        <v>100</v>
      </c>
      <c r="P27" s="26">
        <f t="shared" si="13"/>
        <v>100</v>
      </c>
      <c r="Q27" s="26">
        <f t="shared" si="13"/>
        <v>100</v>
      </c>
      <c r="R27" s="26">
        <f t="shared" si="13"/>
        <v>100</v>
      </c>
      <c r="S27" s="26">
        <f t="shared" si="13"/>
        <v>100</v>
      </c>
      <c r="T27" s="26">
        <f t="shared" si="13"/>
        <v>100</v>
      </c>
      <c r="U27" s="26">
        <f t="shared" si="13"/>
        <v>95.454545454545453</v>
      </c>
      <c r="V27" s="26">
        <f t="shared" si="13"/>
        <v>90.909090909090907</v>
      </c>
      <c r="W27" s="26">
        <f t="shared" si="13"/>
        <v>86.36363636363636</v>
      </c>
      <c r="X27" s="26">
        <f t="shared" si="13"/>
        <v>81.818181818181813</v>
      </c>
      <c r="Y27" s="26">
        <f t="shared" si="13"/>
        <v>77.272727272727266</v>
      </c>
      <c r="Z27" s="26">
        <f t="shared" si="13"/>
        <v>72.72727272727272</v>
      </c>
      <c r="AA27" s="26">
        <f t="shared" si="13"/>
        <v>68.181818181818173</v>
      </c>
      <c r="AB27" s="26">
        <f t="shared" si="13"/>
        <v>63.636363636363626</v>
      </c>
      <c r="AC27" s="26">
        <f t="shared" si="13"/>
        <v>59.090909090909079</v>
      </c>
      <c r="AD27" s="26">
        <f t="shared" si="13"/>
        <v>54.545454545454533</v>
      </c>
      <c r="AE27" s="26">
        <f t="shared" si="13"/>
        <v>49.999999999999986</v>
      </c>
      <c r="AF27" s="26">
        <f t="shared" si="13"/>
        <v>45.454545454545439</v>
      </c>
      <c r="AG27" s="26">
        <f t="shared" si="13"/>
        <v>40.909090909090892</v>
      </c>
      <c r="AH27" s="26">
        <f t="shared" si="13"/>
        <v>36.363636363636346</v>
      </c>
      <c r="AI27" s="26">
        <f t="shared" si="13"/>
        <v>31.818181818181795</v>
      </c>
      <c r="AJ27" s="26">
        <f t="shared" si="13"/>
        <v>27.272727272727245</v>
      </c>
      <c r="AK27" s="26">
        <f t="shared" si="13"/>
        <v>22.727272727272695</v>
      </c>
      <c r="AL27" s="26">
        <f t="shared" si="13"/>
        <v>18.181818181818144</v>
      </c>
      <c r="AM27" s="26">
        <f t="shared" si="13"/>
        <v>13.636363636363594</v>
      </c>
      <c r="AN27" s="26">
        <f t="shared" si="13"/>
        <v>9.0909090909090438</v>
      </c>
      <c r="AO27" s="26">
        <f t="shared" si="13"/>
        <v>4.5454545454544935</v>
      </c>
      <c r="AP27" s="26"/>
      <c r="AQ27" s="26"/>
      <c r="AR27" s="26"/>
      <c r="AS27" s="26"/>
      <c r="AT27" s="26"/>
      <c r="AU27" s="26"/>
      <c r="AV27" s="27"/>
    </row>
    <row r="28" spans="1:48" ht="24" customHeight="1" x14ac:dyDescent="0.15">
      <c r="A28" s="44" t="s">
        <v>11</v>
      </c>
      <c r="B28" s="71">
        <f>'Monitor Bonos'!M19</f>
        <v>30</v>
      </c>
      <c r="C28" s="48" t="s">
        <v>77</v>
      </c>
      <c r="D28" s="49">
        <f ca="1">XIRR(G26:AV26,G21:AV21)</f>
        <v>0.32947021126747134</v>
      </c>
      <c r="E28" s="31"/>
      <c r="F28" s="11" t="s">
        <v>102</v>
      </c>
      <c r="H28" s="52">
        <f t="shared" ref="H28:AO28" si="14">+H26/(1+$B$21)^(H22)</f>
        <v>0</v>
      </c>
      <c r="I28" s="53">
        <f t="shared" ca="1" si="14"/>
        <v>0</v>
      </c>
      <c r="J28" s="53">
        <f t="shared" ca="1" si="14"/>
        <v>0</v>
      </c>
      <c r="K28" s="53">
        <f t="shared" ca="1" si="14"/>
        <v>0</v>
      </c>
      <c r="L28" s="54">
        <f t="shared" ca="1" si="14"/>
        <v>0</v>
      </c>
      <c r="M28" s="54">
        <f t="shared" ca="1" si="14"/>
        <v>0</v>
      </c>
      <c r="N28" s="54">
        <f t="shared" ca="1" si="14"/>
        <v>2.1207583943961059</v>
      </c>
      <c r="O28" s="54">
        <f t="shared" ca="1" si="14"/>
        <v>2.2759160765129431</v>
      </c>
      <c r="P28" s="54">
        <f t="shared" ca="1" si="14"/>
        <v>2.0791748964667707</v>
      </c>
      <c r="Q28" s="54">
        <f t="shared" ca="1" si="14"/>
        <v>1.8965967304274522</v>
      </c>
      <c r="R28" s="54">
        <f t="shared" ca="1" si="14"/>
        <v>1.7326457470556422</v>
      </c>
      <c r="S28" s="54">
        <f t="shared" ca="1" si="14"/>
        <v>1.5804972753562103</v>
      </c>
      <c r="T28" s="54">
        <f t="shared" ca="1" si="14"/>
        <v>4.06909228475189</v>
      </c>
      <c r="U28" s="54">
        <f t="shared" ca="1" si="14"/>
        <v>3.6519065832094282</v>
      </c>
      <c r="V28" s="54">
        <f t="shared" ca="1" si="14"/>
        <v>3.2798872866835187</v>
      </c>
      <c r="W28" s="54">
        <f t="shared" ca="1" si="14"/>
        <v>2.9420066854826583</v>
      </c>
      <c r="X28" s="54">
        <f t="shared" ca="1" si="14"/>
        <v>2.6421314253839454</v>
      </c>
      <c r="Y28" s="54">
        <f t="shared" ca="1" si="14"/>
        <v>2.3685647044140041</v>
      </c>
      <c r="Z28" s="54">
        <f t="shared" ca="1" si="14"/>
        <v>2.1258528709985773</v>
      </c>
      <c r="AA28" s="54">
        <f t="shared" ca="1" si="14"/>
        <v>1.9045476424381618</v>
      </c>
      <c r="AB28" s="54">
        <f t="shared" ca="1" si="14"/>
        <v>1.7082746284809993</v>
      </c>
      <c r="AC28" s="54">
        <f t="shared" ca="1" si="14"/>
        <v>1.5294094704427661</v>
      </c>
      <c r="AD28" s="54">
        <f t="shared" ca="1" si="14"/>
        <v>1.3701530871719765</v>
      </c>
      <c r="AE28" s="54">
        <f t="shared" ca="1" si="14"/>
        <v>1.225800800525227</v>
      </c>
      <c r="AF28" s="54">
        <f t="shared" ca="1" si="14"/>
        <v>1.0978790762595965</v>
      </c>
      <c r="AG28" s="54">
        <f t="shared" ca="1" si="14"/>
        <v>0.98144181741398917</v>
      </c>
      <c r="AH28" s="54">
        <f t="shared" ca="1" si="14"/>
        <v>0.87830326100767742</v>
      </c>
      <c r="AI28" s="54">
        <f t="shared" ca="1" si="14"/>
        <v>0.7844858064363518</v>
      </c>
      <c r="AJ28" s="54">
        <f t="shared" ca="1" si="14"/>
        <v>0.70142274316585362</v>
      </c>
      <c r="AK28" s="54">
        <f t="shared" ca="1" si="14"/>
        <v>0.62591952641198301</v>
      </c>
      <c r="AL28" s="54">
        <f t="shared" ca="1" si="14"/>
        <v>0.55882587566792385</v>
      </c>
      <c r="AM28" s="54">
        <f t="shared" ca="1" si="14"/>
        <v>0.49816849780014927</v>
      </c>
      <c r="AN28" s="54">
        <f t="shared" ca="1" si="14"/>
        <v>0.44452058291766672</v>
      </c>
      <c r="AO28" s="54">
        <f t="shared" ca="1" si="14"/>
        <v>0.39583155832957601</v>
      </c>
      <c r="AP28" s="54"/>
      <c r="AQ28" s="54"/>
      <c r="AR28" s="54"/>
      <c r="AS28" s="54"/>
      <c r="AT28" s="54"/>
      <c r="AU28" s="54"/>
      <c r="AV28" s="55"/>
    </row>
    <row r="29" spans="1:48" ht="24" customHeight="1" x14ac:dyDescent="0.15">
      <c r="C29" s="41" t="s">
        <v>83</v>
      </c>
      <c r="D29" s="39">
        <f ca="1">SUM(H31:AV31)/B28</f>
        <v>7.8974388345586766</v>
      </c>
      <c r="F29" s="11" t="s">
        <v>103</v>
      </c>
      <c r="H29" s="56">
        <f t="shared" ref="H29:AO29" ca="1" si="15">+H26/(1+$D$28)^(H22)</f>
        <v>0</v>
      </c>
      <c r="I29" s="57">
        <f t="shared" ca="1" si="15"/>
        <v>0</v>
      </c>
      <c r="J29" s="57">
        <f t="shared" ca="1" si="15"/>
        <v>0</v>
      </c>
      <c r="K29" s="57">
        <f t="shared" ca="1" si="15"/>
        <v>0</v>
      </c>
      <c r="L29" s="57">
        <f t="shared" ca="1" si="15"/>
        <v>0</v>
      </c>
      <c r="M29" s="57">
        <f t="shared" ca="1" si="15"/>
        <v>0</v>
      </c>
      <c r="N29" s="57">
        <f t="shared" ca="1" si="15"/>
        <v>2.1183784626433804</v>
      </c>
      <c r="O29" s="57">
        <f t="shared" ca="1" si="15"/>
        <v>2.1589225023632737</v>
      </c>
      <c r="P29" s="57">
        <f t="shared" ca="1" si="15"/>
        <v>1.8745887910305628</v>
      </c>
      <c r="Q29" s="57">
        <f t="shared" ca="1" si="15"/>
        <v>1.6238968606186601</v>
      </c>
      <c r="R29" s="57">
        <f t="shared" ca="1" si="15"/>
        <v>1.4100269228622988</v>
      </c>
      <c r="S29" s="57">
        <f t="shared" ca="1" si="15"/>
        <v>1.2214616370159153</v>
      </c>
      <c r="T29" s="57">
        <f t="shared" ca="1" si="15"/>
        <v>2.9889441700006123</v>
      </c>
      <c r="U29" s="57">
        <f t="shared" ca="1" si="15"/>
        <v>2.5474658738801614</v>
      </c>
      <c r="V29" s="57">
        <f t="shared" ca="1" si="15"/>
        <v>2.1740018414149365</v>
      </c>
      <c r="W29" s="57">
        <f t="shared" ca="1" si="15"/>
        <v>1.851881082280916</v>
      </c>
      <c r="X29" s="57">
        <f t="shared" ca="1" si="15"/>
        <v>1.5807312533646318</v>
      </c>
      <c r="Y29" s="57">
        <f t="shared" ca="1" si="15"/>
        <v>1.3457281232856029</v>
      </c>
      <c r="Z29" s="57">
        <f t="shared" ca="1" si="15"/>
        <v>1.1479935888564439</v>
      </c>
      <c r="AA29" s="57">
        <f t="shared" ca="1" si="15"/>
        <v>0.97671206292471091</v>
      </c>
      <c r="AB29" s="57">
        <f t="shared" ca="1" si="15"/>
        <v>0.83265785757658073</v>
      </c>
      <c r="AC29" s="57">
        <f t="shared" ca="1" si="15"/>
        <v>0.70794761150702012</v>
      </c>
      <c r="AD29" s="57">
        <f t="shared" ca="1" si="15"/>
        <v>0.60264105160074621</v>
      </c>
      <c r="AE29" s="57">
        <f t="shared" ca="1" si="15"/>
        <v>0.51200944338484433</v>
      </c>
      <c r="AF29" s="57">
        <f t="shared" ca="1" si="15"/>
        <v>0.43585974676609146</v>
      </c>
      <c r="AG29" s="57">
        <f t="shared" ca="1" si="15"/>
        <v>0.37002005574422614</v>
      </c>
      <c r="AH29" s="57">
        <f t="shared" ca="1" si="15"/>
        <v>0.31473090058673475</v>
      </c>
      <c r="AI29" s="57">
        <f t="shared" ca="1" si="15"/>
        <v>0.2669613755299779</v>
      </c>
      <c r="AJ29" s="57">
        <f t="shared" ca="1" si="15"/>
        <v>0.22687015512347289</v>
      </c>
      <c r="AK29" s="57">
        <f t="shared" ca="1" si="15"/>
        <v>0.1922580249113712</v>
      </c>
      <c r="AL29" s="57">
        <f t="shared" ca="1" si="15"/>
        <v>0.1631002987447529</v>
      </c>
      <c r="AM29" s="57">
        <f t="shared" ca="1" si="15"/>
        <v>0.13807751486726674</v>
      </c>
      <c r="AN29" s="57">
        <f t="shared" ca="1" si="15"/>
        <v>0.11710427769072258</v>
      </c>
      <c r="AO29" s="57">
        <f t="shared" ca="1" si="15"/>
        <v>9.9028397746441205E-2</v>
      </c>
      <c r="AP29" s="57"/>
      <c r="AQ29" s="57"/>
      <c r="AR29" s="57"/>
      <c r="AS29" s="57"/>
      <c r="AT29" s="57"/>
      <c r="AU29" s="57"/>
      <c r="AV29" s="58"/>
    </row>
    <row r="30" spans="1:48" ht="24" customHeight="1" x14ac:dyDescent="0.15">
      <c r="C30" s="41" t="s">
        <v>85</v>
      </c>
      <c r="D30" s="39">
        <f ca="1">+D29/(1+D28/2)</f>
        <v>6.780459175961437</v>
      </c>
      <c r="F30" s="60" t="s">
        <v>104</v>
      </c>
      <c r="N30" s="1"/>
      <c r="O30" s="1"/>
      <c r="AC30" s="4"/>
    </row>
    <row r="31" spans="1:48" ht="24" customHeight="1" x14ac:dyDescent="0.15">
      <c r="C31" s="41" t="s">
        <v>13</v>
      </c>
      <c r="D31" s="39">
        <f ca="1">SUM(H34:AV34)/B28</f>
        <v>16.18211007439858</v>
      </c>
      <c r="F31" s="59" t="s">
        <v>105</v>
      </c>
      <c r="H31">
        <f t="shared" ref="H31:AO31" si="16">H28*H22</f>
        <v>0</v>
      </c>
      <c r="I31">
        <f t="shared" ca="1" si="16"/>
        <v>0</v>
      </c>
      <c r="J31">
        <f t="shared" ca="1" si="16"/>
        <v>0</v>
      </c>
      <c r="K31">
        <f t="shared" ca="1" si="16"/>
        <v>0</v>
      </c>
      <c r="L31">
        <f t="shared" ca="1" si="16"/>
        <v>0</v>
      </c>
      <c r="M31">
        <f t="shared" ca="1" si="16"/>
        <v>0</v>
      </c>
      <c r="N31">
        <f t="shared" ca="1" si="16"/>
        <v>2.3241187883792942E-2</v>
      </c>
      <c r="O31">
        <f t="shared" ca="1" si="16"/>
        <v>1.1722526640669406</v>
      </c>
      <c r="P31">
        <f t="shared" ca="1" si="16"/>
        <v>2.1019603747842148</v>
      </c>
      <c r="Q31">
        <f t="shared" ca="1" si="16"/>
        <v>2.8734739504832363</v>
      </c>
      <c r="R31">
        <f t="shared" ca="1" si="16"/>
        <v>3.4842793927091544</v>
      </c>
      <c r="S31">
        <f t="shared" ca="1" si="16"/>
        <v>3.9750589007589072</v>
      </c>
      <c r="T31">
        <f t="shared" ca="1" si="16"/>
        <v>12.251869646417335</v>
      </c>
      <c r="U31">
        <f t="shared" ca="1" si="16"/>
        <v>12.836701770569032</v>
      </c>
      <c r="V31">
        <f t="shared" ca="1" si="16"/>
        <v>13.164479109565354</v>
      </c>
      <c r="W31">
        <f t="shared" ca="1" si="16"/>
        <v>13.291421984550421</v>
      </c>
      <c r="X31">
        <f t="shared" ca="1" si="16"/>
        <v>13.246850708089369</v>
      </c>
      <c r="Y31">
        <f t="shared" ca="1" si="16"/>
        <v>13.069285793670698</v>
      </c>
      <c r="Z31">
        <f t="shared" ca="1" si="16"/>
        <v>12.784238498196924</v>
      </c>
      <c r="AA31">
        <f t="shared" ca="1" si="16"/>
        <v>12.41347627769969</v>
      </c>
      <c r="AB31">
        <f t="shared" ca="1" si="16"/>
        <v>11.981323421674954</v>
      </c>
      <c r="AC31">
        <f t="shared" ca="1" si="16"/>
        <v>11.497807087383425</v>
      </c>
      <c r="AD31">
        <f t="shared" ca="1" si="16"/>
        <v>10.983747761822475</v>
      </c>
      <c r="AE31">
        <f t="shared" ca="1" si="16"/>
        <v>10.444494492146454</v>
      </c>
      <c r="AF31">
        <f t="shared" ca="1" si="16"/>
        <v>9.8989590136173486</v>
      </c>
      <c r="AG31">
        <f t="shared" ca="1" si="16"/>
        <v>9.3438638781194854</v>
      </c>
      <c r="AH31">
        <f t="shared" ca="1" si="16"/>
        <v>8.7974704719015584</v>
      </c>
      <c r="AI31">
        <f t="shared" ca="1" si="16"/>
        <v>8.2532205389468238</v>
      </c>
      <c r="AJ31">
        <f t="shared" ca="1" si="16"/>
        <v>7.7271804116983498</v>
      </c>
      <c r="AK31">
        <f t="shared" ca="1" si="16"/>
        <v>7.210935913869557</v>
      </c>
      <c r="AL31">
        <f t="shared" ca="1" si="16"/>
        <v>6.7166277165895396</v>
      </c>
      <c r="AM31">
        <f t="shared" ca="1" si="16"/>
        <v>6.2387074066972117</v>
      </c>
      <c r="AN31">
        <f t="shared" ca="1" si="16"/>
        <v>5.7872926302048002</v>
      </c>
      <c r="AO31">
        <f t="shared" ca="1" si="16"/>
        <v>5.3529440326432525</v>
      </c>
    </row>
    <row r="32" spans="1:48" ht="24" customHeight="1" x14ac:dyDescent="0.15">
      <c r="F32" s="2" t="s">
        <v>106</v>
      </c>
      <c r="H32">
        <f t="shared" ref="H32:AO32" si="17">H22*(H22+1)</f>
        <v>0</v>
      </c>
      <c r="I32">
        <f t="shared" ca="1" si="17"/>
        <v>3.7008369300056296</v>
      </c>
      <c r="J32">
        <f t="shared" ca="1" si="17"/>
        <v>1.9754100206417713</v>
      </c>
      <c r="K32">
        <f t="shared" ca="1" si="17"/>
        <v>0.72549446425220487</v>
      </c>
      <c r="L32">
        <f t="shared" ca="1" si="17"/>
        <v>-8.1516231938449663E-3</v>
      </c>
      <c r="M32">
        <f t="shared" ca="1" si="17"/>
        <v>-0.24984800150121975</v>
      </c>
      <c r="N32">
        <f t="shared" ca="1" si="17"/>
        <v>1.1079001688872209E-2</v>
      </c>
      <c r="O32">
        <f t="shared" ca="1" si="17"/>
        <v>0.7803640457872022</v>
      </c>
      <c r="P32">
        <f t="shared" ca="1" si="17"/>
        <v>2.0329968099080502</v>
      </c>
      <c r="Q32">
        <f t="shared" ca="1" si="17"/>
        <v>3.8105010320885726</v>
      </c>
      <c r="R32">
        <f t="shared" ca="1" si="17"/>
        <v>6.0549146181272278</v>
      </c>
      <c r="S32">
        <f t="shared" ca="1" si="17"/>
        <v>8.8406380183899422</v>
      </c>
      <c r="T32">
        <f t="shared" ca="1" si="17"/>
        <v>12.076832426346407</v>
      </c>
      <c r="U32">
        <f t="shared" ca="1" si="17"/>
        <v>15.870775004691312</v>
      </c>
      <c r="V32">
        <f t="shared" ca="1" si="17"/>
        <v>20.123475323700504</v>
      </c>
      <c r="W32">
        <f t="shared" ca="1" si="17"/>
        <v>24.928399324451117</v>
      </c>
      <c r="X32">
        <f t="shared" ca="1" si="17"/>
        <v>30.150872583974476</v>
      </c>
      <c r="Y32">
        <f t="shared" ca="1" si="17"/>
        <v>35.964015762807286</v>
      </c>
      <c r="Z32">
        <f t="shared" ca="1" si="17"/>
        <v>42.178269844248447</v>
      </c>
      <c r="AA32">
        <f t="shared" ca="1" si="17"/>
        <v>48.99963220116345</v>
      </c>
      <c r="AB32">
        <f t="shared" ca="1" si="17"/>
        <v>56.205667104522419</v>
      </c>
      <c r="AC32">
        <f t="shared" ca="1" si="17"/>
        <v>64.035248639519608</v>
      </c>
      <c r="AD32">
        <f t="shared" ca="1" si="17"/>
        <v>72.279722274347918</v>
      </c>
      <c r="AE32">
        <f t="shared" ca="1" si="17"/>
        <v>81.120285231750785</v>
      </c>
      <c r="AF32">
        <f t="shared" ca="1" si="17"/>
        <v>90.31259898667669</v>
      </c>
      <c r="AG32">
        <f t="shared" ca="1" si="17"/>
        <v>100.16138112216174</v>
      </c>
      <c r="AH32">
        <f t="shared" ca="1" si="17"/>
        <v>110.34547569900545</v>
      </c>
      <c r="AI32">
        <f t="shared" ca="1" si="17"/>
        <v>121.2024770125727</v>
      </c>
      <c r="AJ32">
        <f t="shared" ca="1" si="17"/>
        <v>132.37835241133422</v>
      </c>
      <c r="AK32">
        <f t="shared" ca="1" si="17"/>
        <v>144.24357290298366</v>
      </c>
      <c r="AL32">
        <f t="shared" ca="1" si="17"/>
        <v>156.47981985363106</v>
      </c>
      <c r="AM32">
        <f t="shared" ca="1" si="17"/>
        <v>169.35602176768626</v>
      </c>
      <c r="AN32">
        <f t="shared" ca="1" si="17"/>
        <v>182.51817601801463</v>
      </c>
      <c r="AO32">
        <f t="shared" ca="1" si="17"/>
        <v>196.40259711015202</v>
      </c>
    </row>
    <row r="33" spans="1:48" ht="24" customHeight="1" x14ac:dyDescent="0.2">
      <c r="A33" s="6"/>
      <c r="F33" s="42" t="s">
        <v>107</v>
      </c>
      <c r="H33" s="7">
        <f>(H26/(1+$B$21)^(H22+2))*H32</f>
        <v>0</v>
      </c>
      <c r="I33" s="7">
        <f t="shared" ref="I33:AO33" ca="1" si="18">(I26/(1+$B$21)^(I22+2))*I32</f>
        <v>0</v>
      </c>
      <c r="J33" s="7">
        <f t="shared" ca="1" si="18"/>
        <v>0</v>
      </c>
      <c r="K33" s="7">
        <f t="shared" ca="1" si="18"/>
        <v>0</v>
      </c>
      <c r="L33" s="7">
        <f t="shared" ca="1" si="18"/>
        <v>0</v>
      </c>
      <c r="M33" s="7">
        <f t="shared" ca="1" si="18"/>
        <v>0</v>
      </c>
      <c r="N33" s="7">
        <f t="shared" ca="1" si="18"/>
        <v>1.6316587384169703E-2</v>
      </c>
      <c r="O33" s="7">
        <f t="shared" ca="1" si="18"/>
        <v>1.233363248152622</v>
      </c>
      <c r="P33" s="7">
        <f t="shared" ca="1" si="18"/>
        <v>2.9353860637207263</v>
      </c>
      <c r="Q33" s="7">
        <f t="shared" ca="1" si="18"/>
        <v>5.0187387491316802</v>
      </c>
      <c r="R33" s="7">
        <f t="shared" ca="1" si="18"/>
        <v>7.2854319874188747</v>
      </c>
      <c r="S33" s="7">
        <f t="shared" ca="1" si="18"/>
        <v>9.703197430885993</v>
      </c>
      <c r="T33" s="7">
        <f t="shared" ca="1" si="18"/>
        <v>34.126212257144182</v>
      </c>
      <c r="U33" s="7">
        <f t="shared" ca="1" si="18"/>
        <v>40.249019250186009</v>
      </c>
      <c r="V33" s="7">
        <f t="shared" ca="1" si="18"/>
        <v>45.835229776454725</v>
      </c>
      <c r="W33" s="7">
        <f t="shared" ca="1" si="18"/>
        <v>50.930220465914289</v>
      </c>
      <c r="X33" s="7">
        <f t="shared" ca="1" si="18"/>
        <v>55.321227747823748</v>
      </c>
      <c r="Y33" s="7">
        <f t="shared" ca="1" si="18"/>
        <v>59.154929419982111</v>
      </c>
      <c r="Z33" s="7">
        <f t="shared" ca="1" si="18"/>
        <v>62.267219473714071</v>
      </c>
      <c r="AA33" s="7">
        <f t="shared" ca="1" si="18"/>
        <v>64.80703749240476</v>
      </c>
      <c r="AB33" s="7">
        <f t="shared" ca="1" si="18"/>
        <v>66.676885480211638</v>
      </c>
      <c r="AC33" s="7">
        <f t="shared" ca="1" si="18"/>
        <v>68.01119146627677</v>
      </c>
      <c r="AD33" s="7">
        <f t="shared" ca="1" si="18"/>
        <v>68.773808759813122</v>
      </c>
      <c r="AE33" s="7">
        <f t="shared" ca="1" si="18"/>
        <v>69.053687899940883</v>
      </c>
      <c r="AF33" s="7">
        <f t="shared" ca="1" si="18"/>
        <v>68.85577274312223</v>
      </c>
      <c r="AG33" s="7">
        <f t="shared" ca="1" si="18"/>
        <v>68.265672168909489</v>
      </c>
      <c r="AH33" s="7">
        <f t="shared" ca="1" si="18"/>
        <v>67.303327183249934</v>
      </c>
      <c r="AI33" s="7">
        <f t="shared" ca="1" si="18"/>
        <v>66.028904806452417</v>
      </c>
      <c r="AJ33" s="7">
        <f t="shared" ca="1" si="18"/>
        <v>64.481379919537602</v>
      </c>
      <c r="AK33" s="7">
        <f t="shared" ca="1" si="18"/>
        <v>62.697825582922121</v>
      </c>
      <c r="AL33" s="7">
        <f t="shared" ca="1" si="18"/>
        <v>60.725675245878001</v>
      </c>
      <c r="AM33" s="7">
        <f t="shared" ca="1" si="18"/>
        <v>58.588774275984491</v>
      </c>
      <c r="AN33" s="7">
        <f t="shared" ca="1" si="18"/>
        <v>56.342420830970234</v>
      </c>
      <c r="AO33" s="7">
        <f t="shared" ca="1" si="18"/>
        <v>53.987740329227321</v>
      </c>
      <c r="AP33" s="7"/>
      <c r="AQ33" s="7"/>
      <c r="AR33" s="7"/>
      <c r="AS33" s="7"/>
      <c r="AT33" s="7"/>
      <c r="AU33" s="7"/>
      <c r="AV33" s="7"/>
    </row>
    <row r="34" spans="1:48" ht="24" customHeight="1" x14ac:dyDescent="0.15">
      <c r="F34" s="42" t="s">
        <v>108</v>
      </c>
      <c r="H34">
        <f ca="1">(H26/(1+$D$28)^(H22+2))*H32</f>
        <v>0</v>
      </c>
      <c r="I34">
        <f t="shared" ref="I34:AO34" ca="1" si="19">(I26/(1+$D$28)^(I22+2))*I32</f>
        <v>0</v>
      </c>
      <c r="J34">
        <f t="shared" ca="1" si="19"/>
        <v>0</v>
      </c>
      <c r="K34">
        <f t="shared" ca="1" si="19"/>
        <v>0</v>
      </c>
      <c r="L34">
        <f t="shared" ca="1" si="19"/>
        <v>0</v>
      </c>
      <c r="M34">
        <f t="shared" ca="1" si="19"/>
        <v>0</v>
      </c>
      <c r="N34">
        <f t="shared" ca="1" si="19"/>
        <v>1.327843706078469E-2</v>
      </c>
      <c r="O34">
        <f t="shared" ca="1" si="19"/>
        <v>0.95318474483559867</v>
      </c>
      <c r="P34">
        <f t="shared" ca="1" si="19"/>
        <v>2.1561823738274049</v>
      </c>
      <c r="Q34">
        <f t="shared" ca="1" si="19"/>
        <v>3.5009290084569971</v>
      </c>
      <c r="R34">
        <f t="shared" ca="1" si="19"/>
        <v>4.8303456261951885</v>
      </c>
      <c r="S34">
        <f t="shared" ca="1" si="19"/>
        <v>6.1095077291211259</v>
      </c>
      <c r="T34">
        <f t="shared" ca="1" si="19"/>
        <v>20.422721814041985</v>
      </c>
      <c r="U34">
        <f t="shared" ca="1" si="19"/>
        <v>22.874377714480381</v>
      </c>
      <c r="V34">
        <f t="shared" ca="1" si="19"/>
        <v>24.751736418341821</v>
      </c>
      <c r="W34">
        <f t="shared" ca="1" si="19"/>
        <v>26.118622389929847</v>
      </c>
      <c r="X34">
        <f t="shared" ca="1" si="19"/>
        <v>26.965017337972697</v>
      </c>
      <c r="Y34">
        <f t="shared" ca="1" si="19"/>
        <v>27.382196724346674</v>
      </c>
      <c r="Z34">
        <f t="shared" ca="1" si="19"/>
        <v>27.394980909054034</v>
      </c>
      <c r="AA34">
        <f t="shared" ca="1" si="19"/>
        <v>27.077100078573416</v>
      </c>
      <c r="AB34">
        <f t="shared" ca="1" si="19"/>
        <v>26.478261686017351</v>
      </c>
      <c r="AC34">
        <f t="shared" ca="1" si="19"/>
        <v>25.648560718417887</v>
      </c>
      <c r="AD34">
        <f t="shared" ca="1" si="19"/>
        <v>24.644383926028308</v>
      </c>
      <c r="AE34">
        <f t="shared" ca="1" si="19"/>
        <v>23.499045305775944</v>
      </c>
      <c r="AF34">
        <f t="shared" ca="1" si="19"/>
        <v>22.270905806207974</v>
      </c>
      <c r="AG34">
        <f t="shared" ca="1" si="19"/>
        <v>20.968547467558977</v>
      </c>
      <c r="AH34">
        <f t="shared" ca="1" si="19"/>
        <v>19.648829954124068</v>
      </c>
      <c r="AI34">
        <f t="shared" ca="1" si="19"/>
        <v>18.30638979219346</v>
      </c>
      <c r="AJ34">
        <f t="shared" ca="1" si="19"/>
        <v>16.991711200732503</v>
      </c>
      <c r="AK34">
        <f t="shared" ca="1" si="19"/>
        <v>15.690028273606687</v>
      </c>
      <c r="AL34">
        <f t="shared" ca="1" si="19"/>
        <v>14.439623596294076</v>
      </c>
      <c r="AM34">
        <f t="shared" ca="1" si="19"/>
        <v>13.230199219827963</v>
      </c>
      <c r="AN34">
        <f t="shared" ca="1" si="19"/>
        <v>12.092654871959953</v>
      </c>
      <c r="AO34">
        <f t="shared" ca="1" si="19"/>
        <v>11.003979106974322</v>
      </c>
    </row>
    <row r="35" spans="1:48" ht="24" customHeight="1" x14ac:dyDescent="0.15"/>
    <row r="36" spans="1:48" ht="24" customHeight="1" x14ac:dyDescent="0.25">
      <c r="A36" s="36" t="s">
        <v>75</v>
      </c>
      <c r="C36" s="36" t="s">
        <v>76</v>
      </c>
      <c r="F36" s="241" t="s">
        <v>22</v>
      </c>
      <c r="G36" s="34" t="s">
        <v>100</v>
      </c>
    </row>
    <row r="37" spans="1:48" ht="24" customHeight="1" x14ac:dyDescent="0.15">
      <c r="A37" s="44" t="s">
        <v>77</v>
      </c>
      <c r="B37" s="45">
        <f>'Monitor Bonos'!C18</f>
        <v>0.15</v>
      </c>
      <c r="C37" s="46" t="s">
        <v>11</v>
      </c>
      <c r="D37" s="47">
        <f ca="1">SUM(H44:AJ44)</f>
        <v>53.672634626943719</v>
      </c>
      <c r="E37" s="37"/>
      <c r="F37" s="8" t="s">
        <v>101</v>
      </c>
      <c r="G37" s="28">
        <f ca="1">B38</f>
        <v>45478</v>
      </c>
      <c r="H37" s="28">
        <v>44386</v>
      </c>
      <c r="I37" s="29">
        <v>44570</v>
      </c>
      <c r="J37" s="29">
        <v>44751</v>
      </c>
      <c r="K37" s="29">
        <v>44935</v>
      </c>
      <c r="L37" s="29">
        <v>45116</v>
      </c>
      <c r="M37" s="29">
        <v>45300</v>
      </c>
      <c r="N37" s="29">
        <v>45482</v>
      </c>
      <c r="O37" s="29">
        <v>45666</v>
      </c>
      <c r="P37" s="29">
        <v>45847</v>
      </c>
      <c r="Q37" s="29">
        <v>46031</v>
      </c>
      <c r="R37" s="29">
        <v>46212</v>
      </c>
      <c r="S37" s="29">
        <v>46396</v>
      </c>
      <c r="T37" s="29">
        <v>46577</v>
      </c>
      <c r="U37" s="29">
        <v>46761</v>
      </c>
      <c r="V37" s="29">
        <v>46943</v>
      </c>
      <c r="W37" s="29">
        <v>47127</v>
      </c>
      <c r="X37" s="29">
        <v>47308</v>
      </c>
      <c r="Y37" s="29">
        <v>47492</v>
      </c>
      <c r="Z37" s="29">
        <v>47673</v>
      </c>
      <c r="AA37" s="29">
        <v>47857</v>
      </c>
      <c r="AB37" s="29">
        <v>48038</v>
      </c>
      <c r="AC37" s="29">
        <v>48222</v>
      </c>
      <c r="AD37" s="29">
        <v>48404</v>
      </c>
      <c r="AE37" s="29">
        <v>48588</v>
      </c>
      <c r="AF37" s="29">
        <v>48769</v>
      </c>
      <c r="AG37" s="29">
        <v>48953</v>
      </c>
      <c r="AH37" s="29">
        <v>49134</v>
      </c>
      <c r="AI37" s="29">
        <v>49318</v>
      </c>
      <c r="AJ37" s="29">
        <v>49499</v>
      </c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30"/>
    </row>
    <row r="38" spans="1:48" ht="24" customHeight="1" x14ac:dyDescent="0.15">
      <c r="A38" s="43" t="s">
        <v>79</v>
      </c>
      <c r="B38" s="38">
        <f ca="1">'Monitor Bonos'!$C$7</f>
        <v>45478</v>
      </c>
      <c r="C38" s="41" t="s">
        <v>80</v>
      </c>
      <c r="D38" s="40">
        <f ca="1">+B42*((B38-B41)/(B40-B41))</f>
        <v>2.25</v>
      </c>
      <c r="E38" s="37"/>
      <c r="F38" s="9" t="s">
        <v>81</v>
      </c>
      <c r="H38" s="16">
        <v>0</v>
      </c>
      <c r="I38" s="17">
        <f ca="1">+(I37-$B$38)/365</f>
        <v>-2.4876712328767123</v>
      </c>
      <c r="J38" s="17">
        <f t="shared" ref="J38:AJ38" ca="1" si="20">+(J37-$B$38)/365</f>
        <v>-1.9917808219178081</v>
      </c>
      <c r="K38" s="17">
        <f t="shared" ca="1" si="20"/>
        <v>-1.4876712328767123</v>
      </c>
      <c r="L38" s="17">
        <f t="shared" ca="1" si="20"/>
        <v>-0.99178082191780825</v>
      </c>
      <c r="M38" s="17">
        <f t="shared" ca="1" si="20"/>
        <v>-0.48767123287671232</v>
      </c>
      <c r="N38" s="17">
        <f t="shared" ca="1" si="20"/>
        <v>1.0958904109589041E-2</v>
      </c>
      <c r="O38" s="17">
        <f t="shared" ca="1" si="20"/>
        <v>0.51506849315068493</v>
      </c>
      <c r="P38" s="17">
        <f t="shared" ca="1" si="20"/>
        <v>1.010958904109589</v>
      </c>
      <c r="Q38" s="17">
        <f t="shared" ca="1" si="20"/>
        <v>1.515068493150685</v>
      </c>
      <c r="R38" s="17">
        <f t="shared" ca="1" si="20"/>
        <v>2.010958904109589</v>
      </c>
      <c r="S38" s="17">
        <f t="shared" ca="1" si="20"/>
        <v>2.515068493150685</v>
      </c>
      <c r="T38" s="17">
        <f t="shared" ca="1" si="20"/>
        <v>3.010958904109589</v>
      </c>
      <c r="U38" s="17">
        <f t="shared" ca="1" si="20"/>
        <v>3.515068493150685</v>
      </c>
      <c r="V38" s="17">
        <f t="shared" ca="1" si="20"/>
        <v>4.0136986301369859</v>
      </c>
      <c r="W38" s="17">
        <f t="shared" ca="1" si="20"/>
        <v>4.5178082191780824</v>
      </c>
      <c r="X38" s="17">
        <f t="shared" ca="1" si="20"/>
        <v>5.0136986301369859</v>
      </c>
      <c r="Y38" s="17">
        <f t="shared" ca="1" si="20"/>
        <v>5.5178082191780824</v>
      </c>
      <c r="Z38" s="17">
        <f t="shared" ca="1" si="20"/>
        <v>6.0136986301369859</v>
      </c>
      <c r="AA38" s="17">
        <f t="shared" ca="1" si="20"/>
        <v>6.5178082191780824</v>
      </c>
      <c r="AB38" s="17">
        <f t="shared" ca="1" si="20"/>
        <v>7.0136986301369859</v>
      </c>
      <c r="AC38" s="17">
        <f t="shared" ca="1" si="20"/>
        <v>7.5178082191780824</v>
      </c>
      <c r="AD38" s="17">
        <f t="shared" ca="1" si="20"/>
        <v>8.0164383561643842</v>
      </c>
      <c r="AE38" s="17">
        <f t="shared" ca="1" si="20"/>
        <v>8.5205479452054789</v>
      </c>
      <c r="AF38" s="17">
        <f t="shared" ca="1" si="20"/>
        <v>9.0164383561643842</v>
      </c>
      <c r="AG38" s="17">
        <f t="shared" ca="1" si="20"/>
        <v>9.5205479452054789</v>
      </c>
      <c r="AH38" s="17">
        <f t="shared" ca="1" si="20"/>
        <v>10.016438356164384</v>
      </c>
      <c r="AI38" s="17">
        <f t="shared" ca="1" si="20"/>
        <v>10.520547945205479</v>
      </c>
      <c r="AJ38" s="17">
        <f t="shared" ca="1" si="20"/>
        <v>11.016438356164384</v>
      </c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8"/>
    </row>
    <row r="39" spans="1:48" ht="24" customHeight="1" x14ac:dyDescent="0.15">
      <c r="A39" s="50" t="s">
        <v>82</v>
      </c>
      <c r="B39" s="51">
        <v>100</v>
      </c>
      <c r="C39" s="41" t="s">
        <v>83</v>
      </c>
      <c r="D39" s="39">
        <f ca="1">SUM(H47:AV47)/D37</f>
        <v>6.3628219324658062</v>
      </c>
      <c r="E39" s="37"/>
      <c r="F39" s="10" t="s">
        <v>87</v>
      </c>
      <c r="L39" s="63">
        <v>1.4999999999999999E-2</v>
      </c>
      <c r="M39" s="63">
        <v>3.6249999999999998E-2</v>
      </c>
      <c r="N39" s="63">
        <v>3.6249999999999998E-2</v>
      </c>
      <c r="O39" s="63">
        <v>4.1250000000000002E-2</v>
      </c>
      <c r="P39" s="63">
        <v>4.1250000000000002E-2</v>
      </c>
      <c r="Q39" s="63">
        <v>4.1250000000000002E-2</v>
      </c>
      <c r="R39" s="63">
        <v>4.1250000000000002E-2</v>
      </c>
      <c r="S39" s="63">
        <v>4.1250000000000002E-2</v>
      </c>
      <c r="T39" s="63">
        <v>4.1250000000000002E-2</v>
      </c>
      <c r="U39" s="63">
        <v>4.7500000000000001E-2</v>
      </c>
      <c r="V39" s="63">
        <v>4.7500000000000001E-2</v>
      </c>
      <c r="W39" s="63">
        <v>0.05</v>
      </c>
      <c r="X39" s="63">
        <v>0.05</v>
      </c>
      <c r="Y39" s="63">
        <v>0.05</v>
      </c>
      <c r="Z39" s="63">
        <v>0.05</v>
      </c>
      <c r="AA39" s="63">
        <v>0.05</v>
      </c>
      <c r="AB39" s="63">
        <v>0.05</v>
      </c>
      <c r="AC39" s="63">
        <v>0.05</v>
      </c>
      <c r="AD39" s="63">
        <v>0.05</v>
      </c>
      <c r="AE39" s="63">
        <v>0.05</v>
      </c>
      <c r="AF39" s="63">
        <v>0.05</v>
      </c>
      <c r="AG39" s="63">
        <v>0.05</v>
      </c>
      <c r="AH39" s="63">
        <v>0.05</v>
      </c>
      <c r="AI39" s="63">
        <v>0.05</v>
      </c>
      <c r="AJ39" s="63">
        <v>0.05</v>
      </c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</row>
    <row r="40" spans="1:48" ht="24" customHeight="1" x14ac:dyDescent="0.15">
      <c r="A40" s="50" t="s">
        <v>84</v>
      </c>
      <c r="B40" s="38">
        <f>L37</f>
        <v>45116</v>
      </c>
      <c r="C40" s="41" t="s">
        <v>85</v>
      </c>
      <c r="D40" s="39">
        <f ca="1">+D39/(1+B37/2)</f>
        <v>5.9189041232240056</v>
      </c>
      <c r="E40" s="37"/>
      <c r="F40" s="10" t="s">
        <v>29</v>
      </c>
      <c r="H40" s="19"/>
      <c r="I40" s="20"/>
      <c r="J40" s="20"/>
      <c r="K40" s="20"/>
      <c r="L40" s="76">
        <f>L39/2*L43</f>
        <v>0.75</v>
      </c>
      <c r="M40" s="76">
        <f t="shared" ref="M40:AJ40" si="21">M39/2*M43</f>
        <v>1.8124999999999998</v>
      </c>
      <c r="N40" s="76">
        <f t="shared" si="21"/>
        <v>1.8124999999999998</v>
      </c>
      <c r="O40" s="76">
        <f t="shared" si="21"/>
        <v>2.0625</v>
      </c>
      <c r="P40" s="76">
        <f t="shared" si="21"/>
        <v>2.0625</v>
      </c>
      <c r="Q40" s="76">
        <f t="shared" si="21"/>
        <v>2.0625</v>
      </c>
      <c r="R40" s="76">
        <f t="shared" si="21"/>
        <v>2.0625</v>
      </c>
      <c r="S40" s="76">
        <f t="shared" si="21"/>
        <v>2.0625</v>
      </c>
      <c r="T40" s="76">
        <f t="shared" si="21"/>
        <v>2.0625</v>
      </c>
      <c r="U40" s="76">
        <f t="shared" si="21"/>
        <v>2.375</v>
      </c>
      <c r="V40" s="76">
        <f t="shared" si="21"/>
        <v>2.375</v>
      </c>
      <c r="W40" s="76">
        <f t="shared" si="21"/>
        <v>2.5</v>
      </c>
      <c r="X40" s="76">
        <f t="shared" si="21"/>
        <v>2.5</v>
      </c>
      <c r="Y40" s="76">
        <f t="shared" si="21"/>
        <v>2.5</v>
      </c>
      <c r="Z40" s="76">
        <f t="shared" si="21"/>
        <v>2.5</v>
      </c>
      <c r="AA40" s="76">
        <f t="shared" si="21"/>
        <v>2.5</v>
      </c>
      <c r="AB40" s="76">
        <f t="shared" si="21"/>
        <v>2.25</v>
      </c>
      <c r="AC40" s="76">
        <f t="shared" si="21"/>
        <v>2</v>
      </c>
      <c r="AD40" s="76">
        <f t="shared" si="21"/>
        <v>1.75</v>
      </c>
      <c r="AE40" s="76">
        <f t="shared" si="21"/>
        <v>1.5</v>
      </c>
      <c r="AF40" s="76">
        <f t="shared" si="21"/>
        <v>1.25</v>
      </c>
      <c r="AG40" s="76">
        <f t="shared" si="21"/>
        <v>1</v>
      </c>
      <c r="AH40" s="76">
        <f t="shared" si="21"/>
        <v>0.75</v>
      </c>
      <c r="AI40" s="76">
        <f t="shared" si="21"/>
        <v>0.5</v>
      </c>
      <c r="AJ40" s="76">
        <f t="shared" si="21"/>
        <v>0.25</v>
      </c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</row>
    <row r="41" spans="1:48" ht="24" customHeight="1" x14ac:dyDescent="0.15">
      <c r="A41" s="50" t="s">
        <v>86</v>
      </c>
      <c r="B41" s="38">
        <f>K37</f>
        <v>44935</v>
      </c>
      <c r="C41" s="41" t="s">
        <v>13</v>
      </c>
      <c r="D41" s="39">
        <f ca="1">SUM(H49:AV49)/D37</f>
        <v>27.58798224519261</v>
      </c>
      <c r="E41" s="37"/>
      <c r="F41" s="10" t="s">
        <v>28</v>
      </c>
      <c r="H41" s="72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10</v>
      </c>
      <c r="AB41" s="73">
        <v>10</v>
      </c>
      <c r="AC41" s="73">
        <v>10</v>
      </c>
      <c r="AD41" s="73">
        <v>10</v>
      </c>
      <c r="AE41" s="73">
        <v>10</v>
      </c>
      <c r="AF41" s="73">
        <v>10</v>
      </c>
      <c r="AG41" s="73">
        <v>10</v>
      </c>
      <c r="AH41" s="73">
        <v>10</v>
      </c>
      <c r="AI41" s="73">
        <v>10</v>
      </c>
      <c r="AJ41" s="73">
        <v>10</v>
      </c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4"/>
    </row>
    <row r="42" spans="1:48" ht="24" customHeight="1" x14ac:dyDescent="0.15">
      <c r="A42" s="50" t="s">
        <v>88</v>
      </c>
      <c r="B42" s="61">
        <v>0.75</v>
      </c>
      <c r="E42" s="37"/>
      <c r="F42" s="11" t="s">
        <v>92</v>
      </c>
      <c r="G42">
        <f>-B44</f>
        <v>-30</v>
      </c>
      <c r="H42" s="19">
        <f t="shared" ref="H42:AJ42" si="22">IF(H38&lt;0,0,H41+H40)</f>
        <v>0</v>
      </c>
      <c r="I42" s="23">
        <f t="shared" ca="1" si="22"/>
        <v>0</v>
      </c>
      <c r="J42" s="23">
        <f t="shared" ca="1" si="22"/>
        <v>0</v>
      </c>
      <c r="K42" s="23">
        <f t="shared" ca="1" si="22"/>
        <v>0</v>
      </c>
      <c r="L42" s="23">
        <f t="shared" ca="1" si="22"/>
        <v>0</v>
      </c>
      <c r="M42" s="23">
        <f t="shared" ca="1" si="22"/>
        <v>0</v>
      </c>
      <c r="N42" s="23">
        <f t="shared" ca="1" si="22"/>
        <v>1.8124999999999998</v>
      </c>
      <c r="O42" s="23">
        <f t="shared" ca="1" si="22"/>
        <v>2.0625</v>
      </c>
      <c r="P42" s="23">
        <f t="shared" ca="1" si="22"/>
        <v>2.0625</v>
      </c>
      <c r="Q42" s="23">
        <f t="shared" ca="1" si="22"/>
        <v>2.0625</v>
      </c>
      <c r="R42" s="23">
        <f t="shared" ca="1" si="22"/>
        <v>2.0625</v>
      </c>
      <c r="S42" s="23">
        <f t="shared" ca="1" si="22"/>
        <v>2.0625</v>
      </c>
      <c r="T42" s="23">
        <f t="shared" ca="1" si="22"/>
        <v>2.0625</v>
      </c>
      <c r="U42" s="23">
        <f t="shared" ca="1" si="22"/>
        <v>2.375</v>
      </c>
      <c r="V42" s="23">
        <f t="shared" ca="1" si="22"/>
        <v>2.375</v>
      </c>
      <c r="W42" s="23">
        <f t="shared" ca="1" si="22"/>
        <v>2.5</v>
      </c>
      <c r="X42" s="23">
        <f t="shared" ca="1" si="22"/>
        <v>2.5</v>
      </c>
      <c r="Y42" s="23">
        <f t="shared" ca="1" si="22"/>
        <v>2.5</v>
      </c>
      <c r="Z42" s="23">
        <f t="shared" ca="1" si="22"/>
        <v>2.5</v>
      </c>
      <c r="AA42" s="23">
        <f t="shared" ca="1" si="22"/>
        <v>12.5</v>
      </c>
      <c r="AB42" s="23">
        <f t="shared" ca="1" si="22"/>
        <v>12.25</v>
      </c>
      <c r="AC42" s="23">
        <f t="shared" ca="1" si="22"/>
        <v>12</v>
      </c>
      <c r="AD42" s="23">
        <f t="shared" ca="1" si="22"/>
        <v>11.75</v>
      </c>
      <c r="AE42" s="23">
        <f t="shared" ca="1" si="22"/>
        <v>11.5</v>
      </c>
      <c r="AF42" s="23">
        <f t="shared" ca="1" si="22"/>
        <v>11.25</v>
      </c>
      <c r="AG42" s="23">
        <f t="shared" ca="1" si="22"/>
        <v>11</v>
      </c>
      <c r="AH42" s="23">
        <f t="shared" ca="1" si="22"/>
        <v>10.75</v>
      </c>
      <c r="AI42" s="23">
        <f t="shared" ca="1" si="22"/>
        <v>10.5</v>
      </c>
      <c r="AJ42" s="23">
        <f t="shared" ca="1" si="22"/>
        <v>10.25</v>
      </c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4"/>
    </row>
    <row r="43" spans="1:48" ht="24" customHeight="1" x14ac:dyDescent="0.15">
      <c r="F43" s="12" t="s">
        <v>89</v>
      </c>
      <c r="H43" s="25">
        <f>B39</f>
        <v>100</v>
      </c>
      <c r="I43" s="26">
        <f t="shared" ref="I43:AJ43" si="23">H43-H41</f>
        <v>100</v>
      </c>
      <c r="J43" s="26">
        <f t="shared" si="23"/>
        <v>100</v>
      </c>
      <c r="K43" s="26">
        <f t="shared" si="23"/>
        <v>100</v>
      </c>
      <c r="L43" s="26">
        <f t="shared" si="23"/>
        <v>100</v>
      </c>
      <c r="M43" s="26">
        <f t="shared" si="23"/>
        <v>100</v>
      </c>
      <c r="N43" s="26">
        <f t="shared" si="23"/>
        <v>100</v>
      </c>
      <c r="O43" s="26">
        <f t="shared" si="23"/>
        <v>100</v>
      </c>
      <c r="P43" s="26">
        <f t="shared" si="23"/>
        <v>100</v>
      </c>
      <c r="Q43" s="26">
        <f t="shared" si="23"/>
        <v>100</v>
      </c>
      <c r="R43" s="26">
        <f t="shared" si="23"/>
        <v>100</v>
      </c>
      <c r="S43" s="26">
        <f t="shared" si="23"/>
        <v>100</v>
      </c>
      <c r="T43" s="26">
        <f t="shared" si="23"/>
        <v>100</v>
      </c>
      <c r="U43" s="26">
        <f t="shared" si="23"/>
        <v>100</v>
      </c>
      <c r="V43" s="26">
        <f t="shared" si="23"/>
        <v>100</v>
      </c>
      <c r="W43" s="26">
        <f t="shared" si="23"/>
        <v>100</v>
      </c>
      <c r="X43" s="26">
        <f t="shared" si="23"/>
        <v>100</v>
      </c>
      <c r="Y43" s="26">
        <f t="shared" si="23"/>
        <v>100</v>
      </c>
      <c r="Z43" s="26">
        <f t="shared" si="23"/>
        <v>100</v>
      </c>
      <c r="AA43" s="26">
        <f t="shared" si="23"/>
        <v>100</v>
      </c>
      <c r="AB43" s="26">
        <f t="shared" si="23"/>
        <v>90</v>
      </c>
      <c r="AC43" s="26">
        <f t="shared" si="23"/>
        <v>80</v>
      </c>
      <c r="AD43" s="26">
        <f t="shared" si="23"/>
        <v>70</v>
      </c>
      <c r="AE43" s="26">
        <f t="shared" si="23"/>
        <v>60</v>
      </c>
      <c r="AF43" s="26">
        <f t="shared" si="23"/>
        <v>50</v>
      </c>
      <c r="AG43" s="26">
        <f t="shared" si="23"/>
        <v>40</v>
      </c>
      <c r="AH43" s="26">
        <f t="shared" si="23"/>
        <v>30</v>
      </c>
      <c r="AI43" s="26">
        <f t="shared" si="23"/>
        <v>20</v>
      </c>
      <c r="AJ43" s="26">
        <f t="shared" si="23"/>
        <v>10</v>
      </c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7"/>
    </row>
    <row r="44" spans="1:48" ht="24" customHeight="1" x14ac:dyDescent="0.15">
      <c r="A44" s="44" t="s">
        <v>11</v>
      </c>
      <c r="B44" s="91">
        <f>'Monitor Bonos'!M18</f>
        <v>30</v>
      </c>
      <c r="C44" s="48" t="s">
        <v>77</v>
      </c>
      <c r="D44" s="69">
        <f ca="1">XIRR(G42:AV42,G37:AV37)</f>
        <v>0.27033814787864685</v>
      </c>
      <c r="E44" s="31"/>
      <c r="F44" s="11" t="s">
        <v>102</v>
      </c>
      <c r="H44" s="52">
        <f>+H42/(1+$B$4)^(H38)</f>
        <v>0</v>
      </c>
      <c r="I44" s="53">
        <f ca="1">+I42/(1+$B$4)^(I38)</f>
        <v>0</v>
      </c>
      <c r="J44" s="53">
        <f ca="1">+J42/(1+$B$4)^(J38)</f>
        <v>0</v>
      </c>
      <c r="K44" s="53">
        <f ca="1">+K42/(1+$B$4)^(K38)</f>
        <v>0</v>
      </c>
      <c r="L44" s="54">
        <f ca="1">+L42/(1+$B$37)^(L38)</f>
        <v>0</v>
      </c>
      <c r="M44" s="54">
        <f ca="1">+M42/(1+$B$37)^(M38)</f>
        <v>0</v>
      </c>
      <c r="N44" s="54">
        <f t="shared" ref="N44:AJ44" ca="1" si="24">+N42/(1+$B$37)^(N38)</f>
        <v>1.8097260315237285</v>
      </c>
      <c r="O44" s="54">
        <f t="shared" ca="1" si="24"/>
        <v>1.919244974338836</v>
      </c>
      <c r="P44" s="54">
        <f t="shared" ca="1" si="24"/>
        <v>1.7907334045062384</v>
      </c>
      <c r="Q44" s="54">
        <f t="shared" ca="1" si="24"/>
        <v>1.6689086733381184</v>
      </c>
      <c r="R44" s="54">
        <f t="shared" ca="1" si="24"/>
        <v>1.557159482179338</v>
      </c>
      <c r="S44" s="54">
        <f t="shared" ca="1" si="24"/>
        <v>1.4512249333374942</v>
      </c>
      <c r="T44" s="54">
        <f t="shared" ca="1" si="24"/>
        <v>1.3540517236342069</v>
      </c>
      <c r="U44" s="54">
        <f t="shared" ca="1" si="24"/>
        <v>1.4531369556475568</v>
      </c>
      <c r="V44" s="54">
        <f t="shared" ca="1" si="24"/>
        <v>1.3553166550998461</v>
      </c>
      <c r="W44" s="54">
        <f t="shared" ca="1" si="24"/>
        <v>1.3295932652797007</v>
      </c>
      <c r="X44" s="54">
        <f t="shared" ca="1" si="24"/>
        <v>1.2405644440273194</v>
      </c>
      <c r="Y44" s="54">
        <f t="shared" ca="1" si="24"/>
        <v>1.156168056764957</v>
      </c>
      <c r="Z44" s="54">
        <f t="shared" ca="1" si="24"/>
        <v>1.0787516904585386</v>
      </c>
      <c r="AA44" s="54">
        <f t="shared" ca="1" si="24"/>
        <v>5.0268176381085095</v>
      </c>
      <c r="AB44" s="54">
        <f t="shared" ca="1" si="24"/>
        <v>4.5964202463015997</v>
      </c>
      <c r="AC44" s="54">
        <f t="shared" ca="1" si="24"/>
        <v>4.1962999413775393</v>
      </c>
      <c r="AD44" s="54">
        <f t="shared" ca="1" si="24"/>
        <v>3.8322812212296782</v>
      </c>
      <c r="AE44" s="54">
        <f t="shared" ca="1" si="24"/>
        <v>3.4955778717872552</v>
      </c>
      <c r="AF44" s="54">
        <f t="shared" ca="1" si="24"/>
        <v>3.1906134126796584</v>
      </c>
      <c r="AG44" s="54">
        <f t="shared" ca="1" si="24"/>
        <v>2.9074749784241827</v>
      </c>
      <c r="AH44" s="54">
        <f t="shared" ca="1" si="24"/>
        <v>2.6511377148835811</v>
      </c>
      <c r="AI44" s="54">
        <f t="shared" ca="1" si="24"/>
        <v>2.4133191520516935</v>
      </c>
      <c r="AJ44" s="54">
        <f t="shared" ca="1" si="24"/>
        <v>2.1981121599641424</v>
      </c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5"/>
    </row>
    <row r="45" spans="1:48" ht="24" customHeight="1" x14ac:dyDescent="0.15">
      <c r="C45" s="41" t="s">
        <v>83</v>
      </c>
      <c r="D45" s="39">
        <f ca="1">SUM(H47:AV47)/B44</f>
        <v>11.383647225918038</v>
      </c>
      <c r="F45" s="11" t="s">
        <v>103</v>
      </c>
      <c r="H45" s="56">
        <f t="shared" ref="H45:AJ45" ca="1" si="25">+H42/(1+$D$11)^(H38)</f>
        <v>0</v>
      </c>
      <c r="I45" s="57">
        <f t="shared" ca="1" si="25"/>
        <v>0</v>
      </c>
      <c r="J45" s="57">
        <f t="shared" ca="1" si="25"/>
        <v>0</v>
      </c>
      <c r="K45" s="57">
        <f t="shared" ca="1" si="25"/>
        <v>0</v>
      </c>
      <c r="L45" s="57">
        <f t="shared" ca="1" si="25"/>
        <v>0</v>
      </c>
      <c r="M45" s="57">
        <f t="shared" ca="1" si="25"/>
        <v>0</v>
      </c>
      <c r="N45" s="57">
        <f t="shared" ca="1" si="25"/>
        <v>1.8080498458329861</v>
      </c>
      <c r="O45" s="57">
        <f t="shared" ca="1" si="25"/>
        <v>1.837452021398954</v>
      </c>
      <c r="P45" s="57">
        <f t="shared" ca="1" si="25"/>
        <v>1.6440173114746794</v>
      </c>
      <c r="Q45" s="57">
        <f t="shared" ca="1" si="25"/>
        <v>1.4682366236353297</v>
      </c>
      <c r="R45" s="57">
        <f t="shared" ca="1" si="25"/>
        <v>1.3136704515200623</v>
      </c>
      <c r="S45" s="57">
        <f t="shared" ca="1" si="25"/>
        <v>1.1732109235390018</v>
      </c>
      <c r="T45" s="57">
        <f t="shared" ca="1" si="25"/>
        <v>1.0497030920245902</v>
      </c>
      <c r="U45" s="57">
        <f t="shared" ca="1" si="25"/>
        <v>1.0795078374815099</v>
      </c>
      <c r="V45" s="57">
        <f t="shared" ca="1" si="25"/>
        <v>0.96527103461450481</v>
      </c>
      <c r="W45" s="57">
        <f t="shared" ca="1" si="25"/>
        <v>0.90743460185414593</v>
      </c>
      <c r="X45" s="57">
        <f t="shared" ca="1" si="25"/>
        <v>0.81190593120550181</v>
      </c>
      <c r="Y45" s="57">
        <f t="shared" ca="1" si="25"/>
        <v>0.72509578507624128</v>
      </c>
      <c r="Z45" s="57">
        <f t="shared" ca="1" si="25"/>
        <v>0.64876253053675659</v>
      </c>
      <c r="AA45" s="57">
        <f t="shared" ca="1" si="25"/>
        <v>2.8969795534633902</v>
      </c>
      <c r="AB45" s="57">
        <f t="shared" ca="1" si="25"/>
        <v>2.5401647454123926</v>
      </c>
      <c r="AC45" s="57">
        <f t="shared" ca="1" si="25"/>
        <v>2.2222694098298756</v>
      </c>
      <c r="AD45" s="57">
        <f t="shared" ca="1" si="25"/>
        <v>1.9457041410279741</v>
      </c>
      <c r="AE45" s="57">
        <f t="shared" ca="1" si="25"/>
        <v>1.7006950337010309</v>
      </c>
      <c r="AF45" s="57">
        <f t="shared" ca="1" si="25"/>
        <v>1.4885776844330174</v>
      </c>
      <c r="AG45" s="57">
        <f t="shared" ca="1" si="25"/>
        <v>1.2998742282615039</v>
      </c>
      <c r="AH45" s="57">
        <f t="shared" ca="1" si="25"/>
        <v>1.1365995793471231</v>
      </c>
      <c r="AI45" s="57">
        <f t="shared" ca="1" si="25"/>
        <v>0.99146638047882463</v>
      </c>
      <c r="AJ45" s="57">
        <f t="shared" ca="1" si="25"/>
        <v>0.86597017999264492</v>
      </c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8"/>
    </row>
    <row r="46" spans="1:48" ht="24" customHeight="1" x14ac:dyDescent="0.15">
      <c r="C46" s="41" t="s">
        <v>85</v>
      </c>
      <c r="D46" s="39">
        <f ca="1">+D45/(1+D44/2)</f>
        <v>10.028151301210054</v>
      </c>
      <c r="F46" s="60" t="s">
        <v>104</v>
      </c>
      <c r="N46" s="1"/>
      <c r="O46" s="1"/>
      <c r="AC46" s="4"/>
    </row>
    <row r="47" spans="1:48" ht="24" customHeight="1" x14ac:dyDescent="0.15">
      <c r="C47" s="41" t="s">
        <v>13</v>
      </c>
      <c r="D47" s="39">
        <f ca="1">SUM(H50:AV50)/B44</f>
        <v>32.115892761627983</v>
      </c>
      <c r="F47" s="59" t="s">
        <v>105</v>
      </c>
      <c r="H47">
        <f t="shared" ref="H47:AJ47" si="26">H44*H38</f>
        <v>0</v>
      </c>
      <c r="I47">
        <f t="shared" ca="1" si="26"/>
        <v>0</v>
      </c>
      <c r="J47">
        <f t="shared" ca="1" si="26"/>
        <v>0</v>
      </c>
      <c r="K47">
        <f t="shared" ca="1" si="26"/>
        <v>0</v>
      </c>
      <c r="L47">
        <f t="shared" ca="1" si="26"/>
        <v>0</v>
      </c>
      <c r="M47">
        <f t="shared" ca="1" si="26"/>
        <v>0</v>
      </c>
      <c r="N47">
        <f t="shared" ca="1" si="26"/>
        <v>1.9832614044095656E-2</v>
      </c>
      <c r="O47">
        <f t="shared" ca="1" si="26"/>
        <v>0.98854261691972922</v>
      </c>
      <c r="P47">
        <f t="shared" ca="1" si="26"/>
        <v>1.8103578801720601</v>
      </c>
      <c r="Q47">
        <f t="shared" ca="1" si="26"/>
        <v>2.5285109489204918</v>
      </c>
      <c r="R47">
        <f t="shared" ca="1" si="26"/>
        <v>3.1313837258072166</v>
      </c>
      <c r="S47">
        <f t="shared" ca="1" si="26"/>
        <v>3.6499301063118348</v>
      </c>
      <c r="T47">
        <f t="shared" ca="1" si="26"/>
        <v>4.0769940939013516</v>
      </c>
      <c r="U47">
        <f t="shared" ca="1" si="26"/>
        <v>5.1078759290296318</v>
      </c>
      <c r="V47">
        <f t="shared" ca="1" si="26"/>
        <v>5.4398326019760939</v>
      </c>
      <c r="W47">
        <f t="shared" ca="1" si="26"/>
        <v>6.0068473820444561</v>
      </c>
      <c r="X47">
        <f t="shared" ca="1" si="26"/>
        <v>6.2198162536164228</v>
      </c>
      <c r="Y47">
        <f t="shared" ca="1" si="26"/>
        <v>6.3795136063688318</v>
      </c>
      <c r="Z47">
        <f t="shared" ca="1" si="26"/>
        <v>6.4872875631684712</v>
      </c>
      <c r="AA47">
        <f t="shared" ca="1" si="26"/>
        <v>32.763833317972995</v>
      </c>
      <c r="AB47">
        <f t="shared" ca="1" si="26"/>
        <v>32.237906385019436</v>
      </c>
      <c r="AC47">
        <f t="shared" ca="1" si="26"/>
        <v>31.546978189424571</v>
      </c>
      <c r="AD47">
        <f t="shared" ca="1" si="26"/>
        <v>30.721246173474078</v>
      </c>
      <c r="AE47">
        <f t="shared" ca="1" si="26"/>
        <v>29.784238852762638</v>
      </c>
      <c r="AF47">
        <f t="shared" ca="1" si="26"/>
        <v>28.767969153777415</v>
      </c>
      <c r="AG47">
        <f t="shared" ca="1" si="26"/>
        <v>27.680754931572697</v>
      </c>
      <c r="AH47">
        <f t="shared" ca="1" si="26"/>
        <v>26.5549574948339</v>
      </c>
      <c r="AI47">
        <f t="shared" ca="1" si="26"/>
        <v>25.389439846242471</v>
      </c>
      <c r="AJ47">
        <f t="shared" ca="1" si="26"/>
        <v>24.215367110180321</v>
      </c>
    </row>
    <row r="48" spans="1:48" ht="24" customHeight="1" x14ac:dyDescent="0.15">
      <c r="F48" s="2" t="s">
        <v>106</v>
      </c>
      <c r="H48">
        <f t="shared" ref="H48:AJ48" si="27">H38*(H38+1)</f>
        <v>0</v>
      </c>
      <c r="I48">
        <f t="shared" ca="1" si="27"/>
        <v>3.7008369300056296</v>
      </c>
      <c r="J48">
        <f t="shared" ca="1" si="27"/>
        <v>1.9754100206417713</v>
      </c>
      <c r="K48">
        <f t="shared" ca="1" si="27"/>
        <v>0.72549446425220487</v>
      </c>
      <c r="L48">
        <f t="shared" ca="1" si="27"/>
        <v>-8.1516231938449663E-3</v>
      </c>
      <c r="M48">
        <f t="shared" ca="1" si="27"/>
        <v>-0.24984800150121975</v>
      </c>
      <c r="N48">
        <f t="shared" ca="1" si="27"/>
        <v>1.1079001688872209E-2</v>
      </c>
      <c r="O48">
        <f t="shared" ca="1" si="27"/>
        <v>0.7803640457872022</v>
      </c>
      <c r="P48">
        <f t="shared" ca="1" si="27"/>
        <v>2.0329968099080502</v>
      </c>
      <c r="Q48">
        <f t="shared" ca="1" si="27"/>
        <v>3.8105010320885726</v>
      </c>
      <c r="R48">
        <f t="shared" ca="1" si="27"/>
        <v>6.0549146181272278</v>
      </c>
      <c r="S48">
        <f t="shared" ca="1" si="27"/>
        <v>8.8406380183899422</v>
      </c>
      <c r="T48">
        <f t="shared" ca="1" si="27"/>
        <v>12.076832426346407</v>
      </c>
      <c r="U48">
        <f t="shared" ca="1" si="27"/>
        <v>15.870775004691312</v>
      </c>
      <c r="V48">
        <f t="shared" ca="1" si="27"/>
        <v>20.123475323700504</v>
      </c>
      <c r="W48">
        <f t="shared" ca="1" si="27"/>
        <v>24.928399324451117</v>
      </c>
      <c r="X48">
        <f t="shared" ca="1" si="27"/>
        <v>30.150872583974476</v>
      </c>
      <c r="Y48">
        <f t="shared" ca="1" si="27"/>
        <v>35.964015762807286</v>
      </c>
      <c r="Z48">
        <f t="shared" ca="1" si="27"/>
        <v>42.178269844248447</v>
      </c>
      <c r="AA48">
        <f t="shared" ca="1" si="27"/>
        <v>48.99963220116345</v>
      </c>
      <c r="AB48">
        <f t="shared" ca="1" si="27"/>
        <v>56.205667104522419</v>
      </c>
      <c r="AC48">
        <f t="shared" ca="1" si="27"/>
        <v>64.035248639519608</v>
      </c>
      <c r="AD48">
        <f t="shared" ca="1" si="27"/>
        <v>72.279722274347918</v>
      </c>
      <c r="AE48">
        <f t="shared" ca="1" si="27"/>
        <v>81.120285231750785</v>
      </c>
      <c r="AF48">
        <f t="shared" ca="1" si="27"/>
        <v>90.31259898667669</v>
      </c>
      <c r="AG48">
        <f t="shared" ca="1" si="27"/>
        <v>100.16138112216174</v>
      </c>
      <c r="AH48">
        <f t="shared" ca="1" si="27"/>
        <v>110.34547569900545</v>
      </c>
      <c r="AI48">
        <f t="shared" ca="1" si="27"/>
        <v>121.2024770125727</v>
      </c>
      <c r="AJ48">
        <f t="shared" ca="1" si="27"/>
        <v>132.37835241133422</v>
      </c>
    </row>
    <row r="49" spans="1:249" ht="24" customHeight="1" x14ac:dyDescent="0.2">
      <c r="A49" s="62"/>
      <c r="F49" s="42" t="s">
        <v>107</v>
      </c>
      <c r="H49" s="7">
        <f>(H42/(1+$B$4)^(H38+2))*H48</f>
        <v>0</v>
      </c>
      <c r="I49" s="7">
        <f t="shared" ref="I49:AJ49" ca="1" si="28">(I42/(1+$B$4)^(I38+2))*I48</f>
        <v>0</v>
      </c>
      <c r="J49" s="7">
        <f t="shared" ca="1" si="28"/>
        <v>0</v>
      </c>
      <c r="K49" s="7">
        <f t="shared" ca="1" si="28"/>
        <v>0</v>
      </c>
      <c r="L49" s="7">
        <f t="shared" ca="1" si="28"/>
        <v>0</v>
      </c>
      <c r="M49" s="7">
        <f t="shared" ca="1" si="28"/>
        <v>0</v>
      </c>
      <c r="N49" s="7">
        <f t="shared" ca="1" si="28"/>
        <v>1.3917089239438865E-2</v>
      </c>
      <c r="O49" s="7">
        <f t="shared" ca="1" si="28"/>
        <v>1.0175246797259132</v>
      </c>
      <c r="P49" s="7">
        <f t="shared" ca="1" si="28"/>
        <v>2.4216935025695991</v>
      </c>
      <c r="Q49" s="7">
        <f t="shared" ca="1" si="28"/>
        <v>4.1404594680336357</v>
      </c>
      <c r="R49" s="7">
        <f t="shared" ca="1" si="28"/>
        <v>6.0104813896205718</v>
      </c>
      <c r="S49" s="7">
        <f t="shared" ca="1" si="28"/>
        <v>8.0051378804809445</v>
      </c>
      <c r="T49" s="7">
        <f t="shared" ca="1" si="28"/>
        <v>9.9901734268897808</v>
      </c>
      <c r="U49" s="7">
        <f t="shared" ca="1" si="28"/>
        <v>13.790237743096508</v>
      </c>
      <c r="V49" s="7">
        <f t="shared" ca="1" si="28"/>
        <v>15.965938372131715</v>
      </c>
      <c r="W49" s="7">
        <f t="shared" ca="1" si="28"/>
        <v>18.990929665256164</v>
      </c>
      <c r="X49" s="7">
        <f t="shared" ca="1" si="28"/>
        <v>20.98391397331244</v>
      </c>
      <c r="Y49" s="7">
        <f t="shared" ca="1" si="28"/>
        <v>22.831727144554485</v>
      </c>
      <c r="Z49" s="7">
        <f t="shared" ca="1" si="28"/>
        <v>24.462121936101937</v>
      </c>
      <c r="AA49" s="7">
        <f t="shared" ca="1" si="28"/>
        <v>129.61407498480943</v>
      </c>
      <c r="AB49" s="7">
        <f t="shared" ca="1" si="28"/>
        <v>133.1068195327187</v>
      </c>
      <c r="AC49" s="7">
        <f t="shared" ca="1" si="28"/>
        <v>135.50909092148723</v>
      </c>
      <c r="AD49" s="7">
        <f t="shared" ca="1" si="28"/>
        <v>136.75407357239752</v>
      </c>
      <c r="AE49" s="7">
        <f t="shared" ca="1" si="28"/>
        <v>137.02418069556884</v>
      </c>
      <c r="AF49" s="7">
        <f t="shared" ca="1" si="28"/>
        <v>136.33443003138191</v>
      </c>
      <c r="AG49" s="7">
        <f t="shared" ca="1" si="28"/>
        <v>134.85953195817211</v>
      </c>
      <c r="AH49" s="7">
        <f t="shared" ca="1" si="28"/>
        <v>132.64364065698831</v>
      </c>
      <c r="AI49" s="7">
        <f t="shared" ca="1" si="28"/>
        <v>129.81001710885528</v>
      </c>
      <c r="AJ49" s="7">
        <f t="shared" ca="1" si="28"/>
        <v>126.439575407441</v>
      </c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</row>
    <row r="50" spans="1:249" ht="24" customHeight="1" x14ac:dyDescent="0.2">
      <c r="A50" s="62"/>
      <c r="F50" s="42" t="s">
        <v>108</v>
      </c>
      <c r="H50">
        <f ca="1">(H42/(1+$D$11)^(H38+2))*H48</f>
        <v>0</v>
      </c>
      <c r="I50">
        <f t="shared" ref="I50:AJ50" ca="1" si="29">(I42/(1+$D$11)^(I38+2))*I48</f>
        <v>0</v>
      </c>
      <c r="J50">
        <f t="shared" ca="1" si="29"/>
        <v>0</v>
      </c>
      <c r="K50">
        <f t="shared" ca="1" si="29"/>
        <v>0</v>
      </c>
      <c r="L50">
        <f t="shared" ca="1" si="29"/>
        <v>0</v>
      </c>
      <c r="M50">
        <f t="shared" ca="1" si="29"/>
        <v>0</v>
      </c>
      <c r="N50">
        <f t="shared" ca="1" si="29"/>
        <v>1.2790016890283524E-2</v>
      </c>
      <c r="O50">
        <f t="shared" ca="1" si="29"/>
        <v>0.91553162285463541</v>
      </c>
      <c r="P50">
        <f t="shared" ca="1" si="29"/>
        <v>2.1340430374366082</v>
      </c>
      <c r="Q50">
        <f t="shared" ca="1" si="29"/>
        <v>3.5722202382300758</v>
      </c>
      <c r="R50">
        <f t="shared" ca="1" si="29"/>
        <v>5.078723215862226</v>
      </c>
      <c r="S50">
        <f t="shared" ca="1" si="29"/>
        <v>6.6224669067010185</v>
      </c>
      <c r="T50">
        <f t="shared" ca="1" si="29"/>
        <v>8.0943057808916983</v>
      </c>
      <c r="U50">
        <f t="shared" ca="1" si="29"/>
        <v>10.939161264221248</v>
      </c>
      <c r="V50">
        <f t="shared" ca="1" si="29"/>
        <v>12.402588935488019</v>
      </c>
      <c r="W50">
        <f t="shared" ca="1" si="29"/>
        <v>14.443412628701095</v>
      </c>
      <c r="X50">
        <f t="shared" ca="1" si="29"/>
        <v>15.630241547190412</v>
      </c>
      <c r="Y50">
        <f t="shared" ca="1" si="29"/>
        <v>16.650360850901269</v>
      </c>
      <c r="Z50">
        <f t="shared" ca="1" si="29"/>
        <v>17.471677722659706</v>
      </c>
      <c r="AA50">
        <f t="shared" ca="1" si="29"/>
        <v>90.63550112317759</v>
      </c>
      <c r="AB50">
        <f t="shared" ca="1" si="29"/>
        <v>91.159530794520791</v>
      </c>
      <c r="AC50">
        <f t="shared" ca="1" si="29"/>
        <v>90.860662356698001</v>
      </c>
      <c r="AD50">
        <f t="shared" ca="1" si="29"/>
        <v>89.795250949313584</v>
      </c>
      <c r="AE50">
        <f t="shared" ca="1" si="29"/>
        <v>88.087848494717974</v>
      </c>
      <c r="AF50">
        <f t="shared" ca="1" si="29"/>
        <v>85.838068097666323</v>
      </c>
      <c r="AG50">
        <f t="shared" ca="1" si="29"/>
        <v>83.130755586822517</v>
      </c>
      <c r="AH50">
        <f t="shared" ca="1" si="29"/>
        <v>80.079640048592694</v>
      </c>
      <c r="AI50">
        <f t="shared" ca="1" si="29"/>
        <v>76.727240325484203</v>
      </c>
      <c r="AJ50">
        <f t="shared" ca="1" si="29"/>
        <v>73.194761303817472</v>
      </c>
    </row>
    <row r="51" spans="1:249" ht="24" customHeight="1" x14ac:dyDescent="0.15"/>
    <row r="52" spans="1:249" ht="24" customHeight="1" x14ac:dyDescent="0.15"/>
    <row r="53" spans="1:249" ht="24" customHeight="1" x14ac:dyDescent="0.25">
      <c r="A53" s="36" t="s">
        <v>75</v>
      </c>
      <c r="C53" s="36" t="s">
        <v>76</v>
      </c>
      <c r="F53" s="241" t="s">
        <v>21</v>
      </c>
      <c r="G53" s="34" t="s">
        <v>100</v>
      </c>
    </row>
    <row r="54" spans="1:249" ht="24" customHeight="1" x14ac:dyDescent="0.15">
      <c r="A54" s="44" t="s">
        <v>77</v>
      </c>
      <c r="B54" s="45">
        <f>'Monitor Bonos'!C17</f>
        <v>0.2</v>
      </c>
      <c r="C54" s="46" t="s">
        <v>11</v>
      </c>
      <c r="D54" s="70">
        <f ca="1">SUM(H61:Z61)</f>
        <v>61.933702825738592</v>
      </c>
      <c r="E54" s="37"/>
      <c r="F54" s="8" t="s">
        <v>101</v>
      </c>
      <c r="G54" s="28">
        <f ca="1">B55</f>
        <v>45478</v>
      </c>
      <c r="H54" s="28">
        <v>44386</v>
      </c>
      <c r="I54" s="29">
        <v>44570</v>
      </c>
      <c r="J54" s="29">
        <v>44751</v>
      </c>
      <c r="K54" s="29">
        <v>44935</v>
      </c>
      <c r="L54" s="29">
        <v>45116</v>
      </c>
      <c r="M54" s="29">
        <v>45300</v>
      </c>
      <c r="N54" s="29">
        <v>45482</v>
      </c>
      <c r="O54" s="29">
        <v>45666</v>
      </c>
      <c r="P54" s="29">
        <v>45847</v>
      </c>
      <c r="Q54" s="29">
        <v>46031</v>
      </c>
      <c r="R54" s="29">
        <v>46212</v>
      </c>
      <c r="S54" s="29">
        <v>46396</v>
      </c>
      <c r="T54" s="29">
        <v>46577</v>
      </c>
      <c r="U54" s="29">
        <v>46761</v>
      </c>
      <c r="V54" s="29">
        <v>46943</v>
      </c>
      <c r="W54" s="29">
        <v>47127</v>
      </c>
      <c r="X54" s="29">
        <v>47308</v>
      </c>
      <c r="Y54" s="29">
        <v>47492</v>
      </c>
      <c r="Z54" s="29">
        <v>47673</v>
      </c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30"/>
    </row>
    <row r="55" spans="1:249" ht="24" customHeight="1" x14ac:dyDescent="0.15">
      <c r="A55" s="43" t="s">
        <v>79</v>
      </c>
      <c r="B55" s="38">
        <f ca="1">'Monitor Bonos'!$C$7</f>
        <v>45478</v>
      </c>
      <c r="C55" s="41" t="s">
        <v>80</v>
      </c>
      <c r="D55" s="40">
        <f ca="1">+B59*((B55-B58)/(B57-B58))</f>
        <v>0.75</v>
      </c>
      <c r="E55" s="37"/>
      <c r="F55" s="9" t="s">
        <v>81</v>
      </c>
      <c r="H55" s="16">
        <v>0</v>
      </c>
      <c r="I55" s="17">
        <f ca="1">+(I54-$B$55)/365</f>
        <v>-2.4876712328767123</v>
      </c>
      <c r="J55" s="17">
        <f t="shared" ref="J55:Z55" ca="1" si="30">+(J54-$B$55)/365</f>
        <v>-1.9917808219178081</v>
      </c>
      <c r="K55" s="17">
        <f t="shared" ca="1" si="30"/>
        <v>-1.4876712328767123</v>
      </c>
      <c r="L55" s="17">
        <f t="shared" ca="1" si="30"/>
        <v>-0.99178082191780825</v>
      </c>
      <c r="M55" s="17">
        <f t="shared" ca="1" si="30"/>
        <v>-0.48767123287671232</v>
      </c>
      <c r="N55" s="17">
        <f t="shared" ca="1" si="30"/>
        <v>1.0958904109589041E-2</v>
      </c>
      <c r="O55" s="17">
        <f t="shared" ca="1" si="30"/>
        <v>0.51506849315068493</v>
      </c>
      <c r="P55" s="17">
        <f t="shared" ca="1" si="30"/>
        <v>1.010958904109589</v>
      </c>
      <c r="Q55" s="17">
        <f t="shared" ca="1" si="30"/>
        <v>1.515068493150685</v>
      </c>
      <c r="R55" s="17">
        <f t="shared" ca="1" si="30"/>
        <v>2.010958904109589</v>
      </c>
      <c r="S55" s="17">
        <f t="shared" ca="1" si="30"/>
        <v>2.515068493150685</v>
      </c>
      <c r="T55" s="17">
        <f t="shared" ca="1" si="30"/>
        <v>3.010958904109589</v>
      </c>
      <c r="U55" s="17">
        <f t="shared" ca="1" si="30"/>
        <v>3.515068493150685</v>
      </c>
      <c r="V55" s="17">
        <f t="shared" ca="1" si="30"/>
        <v>4.0136986301369859</v>
      </c>
      <c r="W55" s="17">
        <f t="shared" ca="1" si="30"/>
        <v>4.5178082191780824</v>
      </c>
      <c r="X55" s="17">
        <f t="shared" ca="1" si="30"/>
        <v>5.0136986301369859</v>
      </c>
      <c r="Y55" s="17">
        <f t="shared" ca="1" si="30"/>
        <v>5.5178082191780824</v>
      </c>
      <c r="Z55" s="17">
        <f t="shared" ca="1" si="30"/>
        <v>6.0136986301369859</v>
      </c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8"/>
    </row>
    <row r="56" spans="1:249" ht="24" customHeight="1" x14ac:dyDescent="0.15">
      <c r="A56" s="50" t="s">
        <v>82</v>
      </c>
      <c r="B56" s="51">
        <v>100</v>
      </c>
      <c r="C56" s="41" t="s">
        <v>83</v>
      </c>
      <c r="D56" s="39">
        <f ca="1">SUM(H64:AV64)/D54</f>
        <v>2.5298523005949392</v>
      </c>
      <c r="E56" s="37"/>
      <c r="F56" s="10" t="s">
        <v>87</v>
      </c>
      <c r="H56" s="14"/>
      <c r="I56" s="13"/>
      <c r="J56" s="13"/>
      <c r="K56" s="13"/>
      <c r="L56" s="65">
        <v>5.0000000000000001E-3</v>
      </c>
      <c r="M56" s="66">
        <v>7.4999999999999997E-3</v>
      </c>
      <c r="N56" s="66">
        <v>7.4999999999999997E-3</v>
      </c>
      <c r="O56" s="66">
        <v>7.4999999999999997E-3</v>
      </c>
      <c r="P56" s="66">
        <v>7.4999999999999997E-3</v>
      </c>
      <c r="Q56" s="66">
        <v>7.4999999999999997E-3</v>
      </c>
      <c r="R56" s="66">
        <v>7.4999999999999997E-3</v>
      </c>
      <c r="S56" s="66">
        <v>7.4999999999999997E-3</v>
      </c>
      <c r="T56" s="66">
        <v>7.4999999999999997E-3</v>
      </c>
      <c r="U56" s="66">
        <v>1.7500000000000002E-2</v>
      </c>
      <c r="V56" s="66">
        <v>1.7500000000000002E-2</v>
      </c>
      <c r="W56" s="66">
        <v>1.7500000000000002E-2</v>
      </c>
      <c r="X56" s="66">
        <v>1.7500000000000002E-2</v>
      </c>
      <c r="Y56" s="66">
        <v>1.7500000000000002E-2</v>
      </c>
      <c r="Z56" s="66">
        <v>1.7500000000000002E-2</v>
      </c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8"/>
    </row>
    <row r="57" spans="1:249" ht="24" customHeight="1" x14ac:dyDescent="0.15">
      <c r="A57" s="50" t="s">
        <v>84</v>
      </c>
      <c r="B57" s="38">
        <f>L54</f>
        <v>45116</v>
      </c>
      <c r="C57" s="41" t="s">
        <v>85</v>
      </c>
      <c r="D57" s="39">
        <f ca="1">+D56/(1+B54/2)</f>
        <v>2.299865727813581</v>
      </c>
      <c r="E57" s="37"/>
      <c r="F57" s="10" t="s">
        <v>29</v>
      </c>
      <c r="H57" s="19"/>
      <c r="I57" s="20"/>
      <c r="J57" s="20"/>
      <c r="K57" s="20"/>
      <c r="L57" s="21">
        <f>L56/2*L60</f>
        <v>0.25</v>
      </c>
      <c r="M57" s="21">
        <f t="shared" ref="M57:Z57" si="31">M56/2*M60</f>
        <v>0.375</v>
      </c>
      <c r="N57" s="21">
        <f t="shared" si="31"/>
        <v>0.375</v>
      </c>
      <c r="O57" s="21">
        <f t="shared" si="31"/>
        <v>0.36</v>
      </c>
      <c r="P57" s="21">
        <f t="shared" si="31"/>
        <v>0.32999999999999996</v>
      </c>
      <c r="Q57" s="21">
        <f t="shared" si="31"/>
        <v>0.3</v>
      </c>
      <c r="R57" s="21">
        <f t="shared" si="31"/>
        <v>0.27</v>
      </c>
      <c r="S57" s="21">
        <f t="shared" si="31"/>
        <v>0.24</v>
      </c>
      <c r="T57" s="21">
        <f t="shared" si="31"/>
        <v>0.21</v>
      </c>
      <c r="U57" s="21">
        <f t="shared" si="31"/>
        <v>0.42000000000000004</v>
      </c>
      <c r="V57" s="21">
        <f t="shared" si="31"/>
        <v>0.35000000000000003</v>
      </c>
      <c r="W57" s="21">
        <f t="shared" si="31"/>
        <v>0.28000000000000003</v>
      </c>
      <c r="X57" s="21">
        <f t="shared" si="31"/>
        <v>0.21000000000000002</v>
      </c>
      <c r="Y57" s="21">
        <f t="shared" si="31"/>
        <v>0.14000000000000001</v>
      </c>
      <c r="Z57" s="21">
        <f t="shared" si="31"/>
        <v>7.0000000000000007E-2</v>
      </c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2"/>
    </row>
    <row r="58" spans="1:249" ht="24" customHeight="1" x14ac:dyDescent="0.15">
      <c r="A58" s="50" t="s">
        <v>86</v>
      </c>
      <c r="B58" s="38">
        <f>K54</f>
        <v>44935</v>
      </c>
      <c r="C58" s="41" t="s">
        <v>13</v>
      </c>
      <c r="D58" s="39">
        <f ca="1">SUM(H66:AV66)/D54</f>
        <v>8.3409454523409821</v>
      </c>
      <c r="E58" s="37"/>
      <c r="F58" s="10" t="s">
        <v>28</v>
      </c>
      <c r="H58" s="19">
        <v>0</v>
      </c>
      <c r="I58" s="23">
        <v>0</v>
      </c>
      <c r="J58" s="23">
        <v>0</v>
      </c>
      <c r="K58" s="23">
        <v>0</v>
      </c>
      <c r="L58" s="23">
        <v>0</v>
      </c>
      <c r="M58" s="23">
        <v>0</v>
      </c>
      <c r="N58" s="23">
        <v>4</v>
      </c>
      <c r="O58" s="23">
        <v>8</v>
      </c>
      <c r="P58" s="23">
        <v>8</v>
      </c>
      <c r="Q58" s="23">
        <v>8</v>
      </c>
      <c r="R58" s="23">
        <v>8</v>
      </c>
      <c r="S58" s="23">
        <v>8</v>
      </c>
      <c r="T58" s="23">
        <v>8</v>
      </c>
      <c r="U58" s="23">
        <v>8</v>
      </c>
      <c r="V58" s="23">
        <v>8</v>
      </c>
      <c r="W58" s="23">
        <v>8</v>
      </c>
      <c r="X58" s="23">
        <v>8</v>
      </c>
      <c r="Y58" s="23">
        <v>8</v>
      </c>
      <c r="Z58" s="23">
        <v>8</v>
      </c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</row>
    <row r="59" spans="1:249" ht="24" customHeight="1" x14ac:dyDescent="0.2">
      <c r="A59" s="50" t="s">
        <v>88</v>
      </c>
      <c r="B59" s="61">
        <f>L57</f>
        <v>0.25</v>
      </c>
      <c r="E59" s="37"/>
      <c r="F59" s="11" t="s">
        <v>92</v>
      </c>
      <c r="G59">
        <f>-B61</f>
        <v>-30</v>
      </c>
      <c r="H59" s="19">
        <f t="shared" ref="H59:Z59" si="32">IF(H55&lt;0,0,H58+H57)</f>
        <v>0</v>
      </c>
      <c r="I59" s="23">
        <f t="shared" ca="1" si="32"/>
        <v>0</v>
      </c>
      <c r="J59" s="23">
        <f t="shared" ca="1" si="32"/>
        <v>0</v>
      </c>
      <c r="K59" s="23">
        <f t="shared" ca="1" si="32"/>
        <v>0</v>
      </c>
      <c r="L59" s="23">
        <f t="shared" ca="1" si="32"/>
        <v>0</v>
      </c>
      <c r="M59" s="23">
        <f t="shared" ca="1" si="32"/>
        <v>0</v>
      </c>
      <c r="N59" s="23">
        <f t="shared" ca="1" si="32"/>
        <v>4.375</v>
      </c>
      <c r="O59" s="23">
        <f t="shared" ca="1" si="32"/>
        <v>8.36</v>
      </c>
      <c r="P59" s="23">
        <f t="shared" ca="1" si="32"/>
        <v>8.33</v>
      </c>
      <c r="Q59" s="23">
        <f t="shared" ca="1" si="32"/>
        <v>8.3000000000000007</v>
      </c>
      <c r="R59" s="23">
        <f t="shared" ca="1" si="32"/>
        <v>8.27</v>
      </c>
      <c r="S59" s="23">
        <f t="shared" ca="1" si="32"/>
        <v>8.24</v>
      </c>
      <c r="T59" s="23">
        <f t="shared" ca="1" si="32"/>
        <v>8.2100000000000009</v>
      </c>
      <c r="U59" s="23">
        <f t="shared" ca="1" si="32"/>
        <v>8.42</v>
      </c>
      <c r="V59" s="23">
        <f t="shared" ca="1" si="32"/>
        <v>8.35</v>
      </c>
      <c r="W59" s="23">
        <f t="shared" ca="1" si="32"/>
        <v>8.2799999999999994</v>
      </c>
      <c r="X59" s="23">
        <f t="shared" ca="1" si="32"/>
        <v>8.2100000000000009</v>
      </c>
      <c r="Y59" s="23">
        <f t="shared" ca="1" si="32"/>
        <v>8.14</v>
      </c>
      <c r="Z59" s="23">
        <f t="shared" ca="1" si="32"/>
        <v>8.07</v>
      </c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4"/>
      <c r="AX59" s="242"/>
      <c r="AY59" s="242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42"/>
      <c r="BU59" s="242"/>
      <c r="BV59" s="242"/>
      <c r="BW59" s="242"/>
      <c r="BX59" s="242"/>
      <c r="BY59" s="242"/>
      <c r="BZ59" s="242" t="s">
        <v>110</v>
      </c>
      <c r="CA59" s="242" t="s">
        <v>110</v>
      </c>
      <c r="CB59" s="242" t="s">
        <v>110</v>
      </c>
      <c r="CC59" s="242" t="s">
        <v>110</v>
      </c>
      <c r="CD59" s="242" t="s">
        <v>110</v>
      </c>
      <c r="CE59" s="242" t="s">
        <v>110</v>
      </c>
      <c r="CF59" s="242" t="s">
        <v>110</v>
      </c>
      <c r="CG59" s="242" t="s">
        <v>110</v>
      </c>
      <c r="CH59" s="242" t="s">
        <v>110</v>
      </c>
      <c r="CI59" s="242" t="s">
        <v>110</v>
      </c>
      <c r="CJ59" s="242" t="s">
        <v>110</v>
      </c>
      <c r="CK59" s="242" t="s">
        <v>110</v>
      </c>
      <c r="CL59" s="242" t="s">
        <v>110</v>
      </c>
      <c r="CM59" s="242" t="s">
        <v>110</v>
      </c>
      <c r="CN59" s="242" t="s">
        <v>110</v>
      </c>
      <c r="CO59" s="242" t="s">
        <v>110</v>
      </c>
      <c r="CP59" s="242" t="s">
        <v>110</v>
      </c>
      <c r="CQ59" s="242" t="s">
        <v>110</v>
      </c>
      <c r="CR59" s="242" t="s">
        <v>110</v>
      </c>
      <c r="CS59" s="242" t="s">
        <v>110</v>
      </c>
      <c r="CT59" s="242" t="s">
        <v>110</v>
      </c>
      <c r="CU59" s="242" t="s">
        <v>110</v>
      </c>
      <c r="CV59" s="242" t="s">
        <v>110</v>
      </c>
      <c r="CW59" s="242" t="s">
        <v>110</v>
      </c>
      <c r="CX59" s="242" t="s">
        <v>110</v>
      </c>
      <c r="CY59" s="242" t="s">
        <v>110</v>
      </c>
      <c r="CZ59" s="242" t="s">
        <v>110</v>
      </c>
      <c r="DA59" s="242" t="s">
        <v>110</v>
      </c>
      <c r="DB59" s="242" t="s">
        <v>110</v>
      </c>
      <c r="DC59" s="242" t="s">
        <v>110</v>
      </c>
      <c r="DD59" s="242" t="s">
        <v>110</v>
      </c>
      <c r="DE59" s="242" t="s">
        <v>110</v>
      </c>
      <c r="DF59" s="242" t="s">
        <v>110</v>
      </c>
      <c r="DG59" s="242" t="s">
        <v>110</v>
      </c>
      <c r="DH59" s="242" t="s">
        <v>110</v>
      </c>
      <c r="DI59" s="242" t="s">
        <v>110</v>
      </c>
      <c r="DJ59" s="242" t="s">
        <v>110</v>
      </c>
      <c r="DK59" s="242" t="s">
        <v>110</v>
      </c>
      <c r="DL59" s="242" t="s">
        <v>110</v>
      </c>
      <c r="DM59" s="242" t="s">
        <v>110</v>
      </c>
      <c r="DN59" s="242" t="s">
        <v>110</v>
      </c>
      <c r="DO59" s="242" t="s">
        <v>110</v>
      </c>
      <c r="DP59" s="242" t="s">
        <v>110</v>
      </c>
      <c r="DQ59" s="242" t="s">
        <v>110</v>
      </c>
      <c r="DR59" s="242" t="s">
        <v>110</v>
      </c>
      <c r="DS59" s="242" t="s">
        <v>110</v>
      </c>
      <c r="DT59" s="242" t="s">
        <v>110</v>
      </c>
      <c r="DU59" s="242" t="s">
        <v>110</v>
      </c>
      <c r="DV59" s="242" t="s">
        <v>110</v>
      </c>
      <c r="DW59" s="242" t="s">
        <v>110</v>
      </c>
      <c r="DX59" s="242" t="s">
        <v>110</v>
      </c>
      <c r="DY59" s="242" t="s">
        <v>110</v>
      </c>
      <c r="DZ59" s="242" t="s">
        <v>110</v>
      </c>
      <c r="EA59" s="242" t="s">
        <v>110</v>
      </c>
      <c r="EB59" s="242" t="s">
        <v>110</v>
      </c>
      <c r="EC59" s="242" t="s">
        <v>110</v>
      </c>
      <c r="ED59" s="242" t="s">
        <v>110</v>
      </c>
      <c r="EE59" s="242" t="s">
        <v>110</v>
      </c>
      <c r="EF59" s="242" t="s">
        <v>110</v>
      </c>
      <c r="EG59" s="242" t="s">
        <v>110</v>
      </c>
      <c r="EH59" s="242" t="s">
        <v>110</v>
      </c>
      <c r="EI59" s="242" t="s">
        <v>110</v>
      </c>
      <c r="EJ59" s="242" t="s">
        <v>110</v>
      </c>
      <c r="EK59" s="242" t="s">
        <v>110</v>
      </c>
      <c r="EL59" s="242" t="s">
        <v>110</v>
      </c>
      <c r="EM59" s="242" t="s">
        <v>110</v>
      </c>
      <c r="EN59" s="242" t="s">
        <v>110</v>
      </c>
      <c r="EO59" s="242" t="s">
        <v>110</v>
      </c>
      <c r="EP59" s="242" t="s">
        <v>110</v>
      </c>
      <c r="EQ59" s="242" t="s">
        <v>110</v>
      </c>
      <c r="ER59" s="242" t="s">
        <v>110</v>
      </c>
      <c r="ES59" s="242" t="s">
        <v>110</v>
      </c>
      <c r="ET59" s="242" t="s">
        <v>110</v>
      </c>
      <c r="EU59" s="242" t="s">
        <v>110</v>
      </c>
      <c r="EV59" s="242" t="s">
        <v>110</v>
      </c>
      <c r="EW59" s="242" t="s">
        <v>110</v>
      </c>
      <c r="EX59" s="242" t="s">
        <v>110</v>
      </c>
      <c r="EY59" s="242" t="s">
        <v>110</v>
      </c>
      <c r="EZ59" s="242" t="s">
        <v>110</v>
      </c>
      <c r="FA59" s="242" t="s">
        <v>110</v>
      </c>
      <c r="FB59" s="242" t="s">
        <v>110</v>
      </c>
      <c r="FC59" s="242" t="s">
        <v>110</v>
      </c>
      <c r="FD59" s="242" t="s">
        <v>110</v>
      </c>
      <c r="FE59" s="242" t="s">
        <v>110</v>
      </c>
      <c r="FF59" s="242" t="s">
        <v>110</v>
      </c>
      <c r="FG59" s="242" t="s">
        <v>110</v>
      </c>
      <c r="FH59" s="242" t="s">
        <v>110</v>
      </c>
      <c r="FI59" s="242" t="s">
        <v>110</v>
      </c>
      <c r="FJ59" s="242" t="s">
        <v>110</v>
      </c>
      <c r="FK59" s="242" t="s">
        <v>110</v>
      </c>
      <c r="FL59" s="242" t="s">
        <v>110</v>
      </c>
      <c r="FM59" s="242" t="s">
        <v>110</v>
      </c>
      <c r="FN59" s="242" t="s">
        <v>110</v>
      </c>
      <c r="FO59" s="242" t="s">
        <v>110</v>
      </c>
      <c r="FP59" s="242" t="s">
        <v>110</v>
      </c>
      <c r="FQ59" s="242" t="s">
        <v>110</v>
      </c>
      <c r="FR59" s="242" t="s">
        <v>110</v>
      </c>
      <c r="FS59" s="242" t="s">
        <v>110</v>
      </c>
      <c r="FT59" s="242" t="s">
        <v>110</v>
      </c>
      <c r="FU59" s="242" t="s">
        <v>110</v>
      </c>
      <c r="FV59" s="242" t="s">
        <v>110</v>
      </c>
      <c r="FW59" s="242" t="s">
        <v>110</v>
      </c>
      <c r="FX59" s="242" t="s">
        <v>110</v>
      </c>
      <c r="FY59" s="242" t="s">
        <v>110</v>
      </c>
      <c r="FZ59" s="242" t="s">
        <v>110</v>
      </c>
      <c r="GA59" s="242" t="s">
        <v>110</v>
      </c>
      <c r="GB59" s="242" t="s">
        <v>110</v>
      </c>
      <c r="GC59" s="242" t="s">
        <v>110</v>
      </c>
      <c r="GD59" s="242" t="s">
        <v>110</v>
      </c>
      <c r="GE59" s="242" t="s">
        <v>110</v>
      </c>
      <c r="GF59" s="242" t="s">
        <v>110</v>
      </c>
      <c r="GG59" s="242" t="s">
        <v>110</v>
      </c>
      <c r="GH59" s="242" t="s">
        <v>110</v>
      </c>
      <c r="GI59" s="242" t="s">
        <v>110</v>
      </c>
      <c r="GJ59" s="242" t="s">
        <v>110</v>
      </c>
      <c r="GK59" s="242" t="s">
        <v>110</v>
      </c>
      <c r="GL59" s="242" t="s">
        <v>110</v>
      </c>
      <c r="GM59" s="242" t="s">
        <v>110</v>
      </c>
      <c r="GN59" s="242" t="s">
        <v>110</v>
      </c>
      <c r="GO59" s="242" t="s">
        <v>110</v>
      </c>
      <c r="GP59" s="242" t="s">
        <v>110</v>
      </c>
      <c r="GQ59" s="242" t="s">
        <v>110</v>
      </c>
      <c r="GR59" s="242" t="s">
        <v>110</v>
      </c>
      <c r="GS59" s="242" t="s">
        <v>110</v>
      </c>
      <c r="GT59" s="242" t="s">
        <v>110</v>
      </c>
      <c r="GU59" s="242" t="s">
        <v>110</v>
      </c>
      <c r="GV59" s="242" t="s">
        <v>110</v>
      </c>
      <c r="GW59" s="242" t="s">
        <v>110</v>
      </c>
      <c r="GX59" s="242" t="s">
        <v>110</v>
      </c>
      <c r="GY59" s="242" t="s">
        <v>110</v>
      </c>
      <c r="GZ59" s="242" t="s">
        <v>110</v>
      </c>
      <c r="HA59" s="242" t="s">
        <v>110</v>
      </c>
      <c r="HB59" s="242" t="s">
        <v>110</v>
      </c>
      <c r="HC59" s="242" t="s">
        <v>110</v>
      </c>
      <c r="HD59" s="242" t="s">
        <v>110</v>
      </c>
      <c r="HE59" s="242" t="s">
        <v>110</v>
      </c>
      <c r="HF59" s="242" t="s">
        <v>110</v>
      </c>
      <c r="HG59" s="242" t="s">
        <v>110</v>
      </c>
      <c r="HH59" s="242" t="s">
        <v>110</v>
      </c>
      <c r="HI59" s="242" t="s">
        <v>110</v>
      </c>
      <c r="HJ59" s="242" t="s">
        <v>110</v>
      </c>
      <c r="HK59" s="242" t="s">
        <v>110</v>
      </c>
      <c r="HL59" s="242" t="s">
        <v>110</v>
      </c>
      <c r="HM59" s="242" t="s">
        <v>110</v>
      </c>
      <c r="HN59" s="242" t="s">
        <v>110</v>
      </c>
      <c r="HO59" s="242" t="s">
        <v>110</v>
      </c>
      <c r="HP59" s="242" t="s">
        <v>110</v>
      </c>
      <c r="HQ59" s="242" t="s">
        <v>110</v>
      </c>
      <c r="HR59" s="242" t="s">
        <v>110</v>
      </c>
      <c r="HS59" s="242" t="s">
        <v>110</v>
      </c>
      <c r="HT59" s="242" t="s">
        <v>110</v>
      </c>
      <c r="HU59" s="242" t="s">
        <v>110</v>
      </c>
      <c r="HV59" s="242" t="s">
        <v>110</v>
      </c>
      <c r="HW59" s="242" t="s">
        <v>110</v>
      </c>
      <c r="HX59" s="242" t="s">
        <v>110</v>
      </c>
      <c r="HY59" s="242" t="s">
        <v>110</v>
      </c>
      <c r="HZ59" s="242" t="s">
        <v>110</v>
      </c>
      <c r="IA59" s="242" t="s">
        <v>110</v>
      </c>
      <c r="IB59" s="242" t="s">
        <v>110</v>
      </c>
      <c r="IC59" s="242" t="s">
        <v>110</v>
      </c>
      <c r="ID59" s="242" t="s">
        <v>110</v>
      </c>
      <c r="IE59" s="242" t="s">
        <v>110</v>
      </c>
      <c r="IF59" s="242" t="s">
        <v>110</v>
      </c>
      <c r="IG59" s="242" t="s">
        <v>110</v>
      </c>
      <c r="IH59" s="242" t="s">
        <v>110</v>
      </c>
      <c r="II59" s="242" t="s">
        <v>110</v>
      </c>
      <c r="IJ59" s="242" t="s">
        <v>110</v>
      </c>
    </row>
    <row r="60" spans="1:249" ht="24" customHeight="1" x14ac:dyDescent="0.2">
      <c r="F60" s="12" t="s">
        <v>89</v>
      </c>
      <c r="H60" s="25">
        <f>B56</f>
        <v>100</v>
      </c>
      <c r="I60" s="26">
        <f t="shared" ref="I60:Z60" si="33">H60-H58</f>
        <v>100</v>
      </c>
      <c r="J60" s="26">
        <f t="shared" si="33"/>
        <v>100</v>
      </c>
      <c r="K60" s="26">
        <f t="shared" si="33"/>
        <v>100</v>
      </c>
      <c r="L60" s="26">
        <f t="shared" si="33"/>
        <v>100</v>
      </c>
      <c r="M60" s="26">
        <f t="shared" si="33"/>
        <v>100</v>
      </c>
      <c r="N60" s="26">
        <f t="shared" si="33"/>
        <v>100</v>
      </c>
      <c r="O60" s="26">
        <f t="shared" si="33"/>
        <v>96</v>
      </c>
      <c r="P60" s="26">
        <f t="shared" si="33"/>
        <v>88</v>
      </c>
      <c r="Q60" s="26">
        <f t="shared" si="33"/>
        <v>80</v>
      </c>
      <c r="R60" s="26">
        <f t="shared" si="33"/>
        <v>72</v>
      </c>
      <c r="S60" s="26">
        <f t="shared" si="33"/>
        <v>64</v>
      </c>
      <c r="T60" s="26">
        <f t="shared" si="33"/>
        <v>56</v>
      </c>
      <c r="U60" s="26">
        <f t="shared" si="33"/>
        <v>48</v>
      </c>
      <c r="V60" s="26">
        <f t="shared" si="33"/>
        <v>40</v>
      </c>
      <c r="W60" s="26">
        <f t="shared" si="33"/>
        <v>32</v>
      </c>
      <c r="X60" s="26">
        <f t="shared" si="33"/>
        <v>24</v>
      </c>
      <c r="Y60" s="26">
        <f t="shared" si="33"/>
        <v>16</v>
      </c>
      <c r="Z60" s="26">
        <f t="shared" si="33"/>
        <v>8</v>
      </c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7"/>
      <c r="AX60" s="242"/>
      <c r="AY60" s="242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42"/>
      <c r="BU60" s="242"/>
      <c r="BV60" s="242"/>
      <c r="BW60" s="242"/>
      <c r="BX60" s="242"/>
      <c r="BY60" s="242"/>
      <c r="BZ60" s="242"/>
      <c r="CA60" s="242"/>
      <c r="CB60" s="242"/>
      <c r="CC60" s="242"/>
      <c r="CD60" s="242"/>
      <c r="CE60" s="242" t="s">
        <v>39</v>
      </c>
      <c r="CF60" s="242" t="s">
        <v>39</v>
      </c>
      <c r="CG60" s="242" t="s">
        <v>39</v>
      </c>
      <c r="CH60" s="242" t="s">
        <v>39</v>
      </c>
      <c r="CI60" s="242" t="s">
        <v>39</v>
      </c>
      <c r="CJ60" s="242" t="s">
        <v>39</v>
      </c>
      <c r="CK60" s="242" t="s">
        <v>39</v>
      </c>
      <c r="CL60" s="242" t="s">
        <v>39</v>
      </c>
      <c r="CM60" s="242" t="s">
        <v>39</v>
      </c>
      <c r="CN60" s="242" t="s">
        <v>39</v>
      </c>
      <c r="CO60" s="242" t="s">
        <v>39</v>
      </c>
      <c r="CP60" s="242" t="s">
        <v>39</v>
      </c>
      <c r="CQ60" s="242" t="s">
        <v>39</v>
      </c>
      <c r="CR60" s="242" t="s">
        <v>39</v>
      </c>
      <c r="CS60" s="242" t="s">
        <v>39</v>
      </c>
      <c r="CT60" s="242" t="s">
        <v>39</v>
      </c>
      <c r="CU60" s="242" t="s">
        <v>39</v>
      </c>
      <c r="CV60" s="242" t="s">
        <v>39</v>
      </c>
      <c r="CW60" s="242" t="s">
        <v>39</v>
      </c>
      <c r="CX60" s="242" t="s">
        <v>39</v>
      </c>
      <c r="CY60" s="242" t="s">
        <v>39</v>
      </c>
      <c r="CZ60" s="242" t="s">
        <v>39</v>
      </c>
      <c r="DA60" s="242" t="s">
        <v>39</v>
      </c>
      <c r="DB60" s="242" t="s">
        <v>39</v>
      </c>
      <c r="DC60" s="242" t="s">
        <v>39</v>
      </c>
      <c r="DD60" s="242" t="s">
        <v>39</v>
      </c>
      <c r="DE60" s="242" t="s">
        <v>39</v>
      </c>
      <c r="DF60" s="242" t="s">
        <v>39</v>
      </c>
      <c r="DG60" s="242" t="s">
        <v>39</v>
      </c>
      <c r="DH60" s="242" t="s">
        <v>39</v>
      </c>
      <c r="DI60" s="242" t="s">
        <v>39</v>
      </c>
      <c r="DJ60" s="242" t="s">
        <v>39</v>
      </c>
      <c r="DK60" s="242" t="s">
        <v>39</v>
      </c>
      <c r="DL60" s="242" t="s">
        <v>39</v>
      </c>
      <c r="DM60" s="242" t="s">
        <v>39</v>
      </c>
      <c r="DN60" s="242" t="s">
        <v>39</v>
      </c>
      <c r="DO60" s="242" t="s">
        <v>39</v>
      </c>
      <c r="DP60" s="242" t="s">
        <v>39</v>
      </c>
      <c r="DQ60" s="242" t="s">
        <v>39</v>
      </c>
      <c r="DR60" s="242" t="s">
        <v>39</v>
      </c>
      <c r="DS60" s="242" t="s">
        <v>39</v>
      </c>
      <c r="DT60" s="242" t="s">
        <v>39</v>
      </c>
      <c r="DU60" s="242" t="s">
        <v>39</v>
      </c>
      <c r="DV60" s="242" t="s">
        <v>39</v>
      </c>
      <c r="DW60" s="242" t="s">
        <v>39</v>
      </c>
      <c r="DX60" s="242" t="s">
        <v>39</v>
      </c>
      <c r="DY60" s="242" t="s">
        <v>39</v>
      </c>
      <c r="DZ60" s="242" t="s">
        <v>39</v>
      </c>
      <c r="EA60" s="242" t="s">
        <v>39</v>
      </c>
      <c r="EB60" s="242" t="s">
        <v>39</v>
      </c>
      <c r="EC60" s="242" t="s">
        <v>39</v>
      </c>
      <c r="ED60" s="242" t="s">
        <v>39</v>
      </c>
      <c r="EE60" s="242" t="s">
        <v>39</v>
      </c>
      <c r="EF60" s="242" t="s">
        <v>39</v>
      </c>
      <c r="EG60" s="242" t="s">
        <v>39</v>
      </c>
      <c r="EH60" s="242" t="s">
        <v>39</v>
      </c>
      <c r="EI60" s="242" t="s">
        <v>39</v>
      </c>
      <c r="EJ60" s="242" t="s">
        <v>39</v>
      </c>
      <c r="EK60" s="242" t="s">
        <v>39</v>
      </c>
      <c r="EL60" s="242" t="s">
        <v>39</v>
      </c>
      <c r="EM60" s="242" t="s">
        <v>39</v>
      </c>
      <c r="EN60" s="242" t="s">
        <v>39</v>
      </c>
      <c r="EO60" s="242" t="s">
        <v>39</v>
      </c>
      <c r="EP60" s="242" t="s">
        <v>39</v>
      </c>
      <c r="EQ60" s="242" t="s">
        <v>39</v>
      </c>
      <c r="ER60" s="242" t="s">
        <v>39</v>
      </c>
      <c r="ES60" s="242" t="s">
        <v>39</v>
      </c>
      <c r="ET60" s="242" t="s">
        <v>39</v>
      </c>
      <c r="EU60" s="242" t="s">
        <v>39</v>
      </c>
      <c r="EV60" s="242" t="s">
        <v>39</v>
      </c>
      <c r="EW60" s="242" t="s">
        <v>39</v>
      </c>
      <c r="EX60" s="242" t="s">
        <v>39</v>
      </c>
      <c r="EY60" s="242" t="s">
        <v>39</v>
      </c>
      <c r="EZ60" s="242" t="s">
        <v>39</v>
      </c>
      <c r="FA60" s="242" t="s">
        <v>39</v>
      </c>
      <c r="FB60" s="242" t="s">
        <v>39</v>
      </c>
      <c r="FC60" s="242" t="s">
        <v>39</v>
      </c>
      <c r="FD60" s="242" t="s">
        <v>39</v>
      </c>
      <c r="FE60" s="242" t="s">
        <v>39</v>
      </c>
      <c r="FF60" s="242" t="s">
        <v>39</v>
      </c>
      <c r="FG60" s="242" t="s">
        <v>39</v>
      </c>
      <c r="FH60" s="242" t="s">
        <v>39</v>
      </c>
      <c r="FI60" s="242" t="s">
        <v>39</v>
      </c>
      <c r="FJ60" s="242" t="s">
        <v>39</v>
      </c>
      <c r="FK60" s="242" t="s">
        <v>39</v>
      </c>
      <c r="FL60" s="242" t="s">
        <v>39</v>
      </c>
      <c r="FM60" s="242" t="s">
        <v>39</v>
      </c>
      <c r="FN60" s="242" t="s">
        <v>39</v>
      </c>
      <c r="FO60" s="242" t="s">
        <v>39</v>
      </c>
      <c r="FP60" s="242" t="s">
        <v>39</v>
      </c>
      <c r="FQ60" s="242" t="s">
        <v>39</v>
      </c>
      <c r="FR60" s="242" t="s">
        <v>39</v>
      </c>
      <c r="FS60" s="242" t="s">
        <v>39</v>
      </c>
      <c r="FT60" s="242" t="s">
        <v>39</v>
      </c>
      <c r="FU60" s="242" t="s">
        <v>39</v>
      </c>
      <c r="FV60" s="242" t="s">
        <v>39</v>
      </c>
      <c r="FW60" s="242" t="s">
        <v>39</v>
      </c>
      <c r="FX60" s="242" t="s">
        <v>39</v>
      </c>
      <c r="FY60" s="242" t="s">
        <v>39</v>
      </c>
      <c r="FZ60" s="242" t="s">
        <v>39</v>
      </c>
      <c r="GA60" s="242" t="s">
        <v>39</v>
      </c>
      <c r="GB60" s="242" t="s">
        <v>39</v>
      </c>
      <c r="GC60" s="242" t="s">
        <v>39</v>
      </c>
      <c r="GD60" s="242" t="s">
        <v>39</v>
      </c>
      <c r="GE60" s="242" t="s">
        <v>39</v>
      </c>
      <c r="GF60" s="242" t="s">
        <v>39</v>
      </c>
      <c r="GG60" s="242" t="s">
        <v>39</v>
      </c>
      <c r="GH60" s="242" t="s">
        <v>39</v>
      </c>
      <c r="GI60" s="242" t="s">
        <v>39</v>
      </c>
      <c r="GJ60" s="242" t="s">
        <v>39</v>
      </c>
      <c r="GK60" s="242" t="s">
        <v>39</v>
      </c>
      <c r="GL60" s="242" t="s">
        <v>39</v>
      </c>
      <c r="GM60" s="242" t="s">
        <v>39</v>
      </c>
      <c r="GN60" s="242" t="s">
        <v>39</v>
      </c>
      <c r="GO60" s="242" t="s">
        <v>39</v>
      </c>
      <c r="GP60" s="242" t="s">
        <v>39</v>
      </c>
      <c r="GQ60" s="242" t="s">
        <v>39</v>
      </c>
      <c r="GR60" s="242" t="s">
        <v>39</v>
      </c>
      <c r="GS60" s="242" t="s">
        <v>39</v>
      </c>
      <c r="GT60" s="242" t="s">
        <v>39</v>
      </c>
      <c r="GU60" s="242" t="s">
        <v>39</v>
      </c>
      <c r="GV60" s="242" t="s">
        <v>39</v>
      </c>
      <c r="GW60" s="242" t="s">
        <v>39</v>
      </c>
      <c r="GX60" s="242" t="s">
        <v>39</v>
      </c>
      <c r="GY60" s="242" t="s">
        <v>39</v>
      </c>
      <c r="GZ60" s="242" t="s">
        <v>39</v>
      </c>
      <c r="HA60" s="242" t="s">
        <v>39</v>
      </c>
      <c r="HB60" s="242" t="s">
        <v>39</v>
      </c>
      <c r="HC60" s="242" t="s">
        <v>39</v>
      </c>
      <c r="HD60" s="242" t="s">
        <v>39</v>
      </c>
      <c r="HE60" s="242" t="s">
        <v>39</v>
      </c>
      <c r="HF60" s="242" t="s">
        <v>39</v>
      </c>
      <c r="HG60" s="242" t="s">
        <v>39</v>
      </c>
      <c r="HH60" s="242" t="s">
        <v>39</v>
      </c>
      <c r="HI60" s="242" t="s">
        <v>39</v>
      </c>
      <c r="HJ60" s="242" t="s">
        <v>39</v>
      </c>
      <c r="HK60" s="242" t="s">
        <v>39</v>
      </c>
      <c r="HL60" s="242" t="s">
        <v>39</v>
      </c>
      <c r="HM60" s="242" t="s">
        <v>39</v>
      </c>
      <c r="HN60" s="242" t="s">
        <v>39</v>
      </c>
      <c r="HO60" s="242" t="s">
        <v>39</v>
      </c>
      <c r="HP60" s="242" t="s">
        <v>39</v>
      </c>
      <c r="HQ60" s="242" t="s">
        <v>39</v>
      </c>
      <c r="HR60" s="242" t="s">
        <v>39</v>
      </c>
      <c r="HS60" s="242" t="s">
        <v>39</v>
      </c>
      <c r="HT60" s="242" t="s">
        <v>39</v>
      </c>
      <c r="HU60" s="242" t="s">
        <v>39</v>
      </c>
      <c r="HV60" s="242" t="s">
        <v>39</v>
      </c>
      <c r="HW60" s="242" t="s">
        <v>39</v>
      </c>
      <c r="HX60" s="242" t="s">
        <v>39</v>
      </c>
      <c r="HY60" s="242" t="s">
        <v>39</v>
      </c>
      <c r="HZ60" s="242" t="s">
        <v>39</v>
      </c>
      <c r="IA60" s="242" t="s">
        <v>39</v>
      </c>
      <c r="IB60" s="242" t="s">
        <v>39</v>
      </c>
      <c r="IC60" s="242" t="s">
        <v>39</v>
      </c>
      <c r="ID60" s="242" t="s">
        <v>39</v>
      </c>
      <c r="IE60" s="242" t="s">
        <v>39</v>
      </c>
      <c r="IF60" s="242" t="s">
        <v>39</v>
      </c>
      <c r="IG60" s="242" t="s">
        <v>39</v>
      </c>
      <c r="IH60" s="242" t="s">
        <v>39</v>
      </c>
      <c r="II60" s="242" t="s">
        <v>39</v>
      </c>
      <c r="IJ60" s="242" t="s">
        <v>39</v>
      </c>
      <c r="IK60" s="242" t="s">
        <v>39</v>
      </c>
      <c r="IL60" s="242" t="s">
        <v>39</v>
      </c>
      <c r="IM60" s="242" t="s">
        <v>39</v>
      </c>
      <c r="IN60" s="242" t="s">
        <v>39</v>
      </c>
      <c r="IO60" s="242" t="s">
        <v>39</v>
      </c>
    </row>
    <row r="61" spans="1:249" ht="24" customHeight="1" x14ac:dyDescent="0.15">
      <c r="A61" s="44" t="s">
        <v>11</v>
      </c>
      <c r="B61" s="71">
        <f>'Monitor Bonos'!M17</f>
        <v>30</v>
      </c>
      <c r="C61" s="48" t="s">
        <v>77</v>
      </c>
      <c r="D61" s="49">
        <f ca="1">XIRR(G59:AV59,G54:AV54)</f>
        <v>0.71272310018539464</v>
      </c>
      <c r="E61" s="31"/>
      <c r="F61" s="11" t="s">
        <v>102</v>
      </c>
      <c r="H61" s="52">
        <f>+H59/(1+$B$21)^(H55)</f>
        <v>0</v>
      </c>
      <c r="I61" s="53">
        <f ca="1">+I59/(1+$B$21)^(I55)</f>
        <v>0</v>
      </c>
      <c r="J61" s="53">
        <f ca="1">+J59/(1+$B$21)^(J55)</f>
        <v>0</v>
      </c>
      <c r="K61" s="53">
        <f ca="1">+K59/(1+$B$21)^(K55)</f>
        <v>0</v>
      </c>
      <c r="L61" s="75">
        <f ca="1">+L59/(1+$B$54)^(L55)</f>
        <v>0</v>
      </c>
      <c r="M61" s="75">
        <f t="shared" ref="M61:Z61" ca="1" si="34">+M59/(1+$B$54)^(M55)</f>
        <v>0</v>
      </c>
      <c r="N61" s="75">
        <f t="shared" ca="1" si="34"/>
        <v>4.3662672825802176</v>
      </c>
      <c r="O61" s="75">
        <f t="shared" ca="1" si="34"/>
        <v>7.6106633598592808</v>
      </c>
      <c r="P61" s="75">
        <f t="shared" ca="1" si="34"/>
        <v>6.9278107550272807</v>
      </c>
      <c r="Q61" s="75">
        <f t="shared" ca="1" si="34"/>
        <v>6.2967011450191421</v>
      </c>
      <c r="R61" s="75">
        <f t="shared" ca="1" si="34"/>
        <v>5.7315921312600642</v>
      </c>
      <c r="S61" s="75">
        <f t="shared" ca="1" si="34"/>
        <v>5.2093190195740693</v>
      </c>
      <c r="T61" s="75">
        <f t="shared" ca="1" si="34"/>
        <v>4.741673861108942</v>
      </c>
      <c r="U61" s="75">
        <f t="shared" ca="1" si="34"/>
        <v>4.4359290194997634</v>
      </c>
      <c r="V61" s="75">
        <f t="shared" ca="1" si="34"/>
        <v>4.0167686304250791</v>
      </c>
      <c r="W61" s="75">
        <f t="shared" ca="1" si="34"/>
        <v>3.6333283920509873</v>
      </c>
      <c r="X61" s="75">
        <f t="shared" ca="1" si="34"/>
        <v>3.2911846762265373</v>
      </c>
      <c r="Y61" s="75">
        <f t="shared" ca="1" si="34"/>
        <v>2.9765794194137518</v>
      </c>
      <c r="Z61" s="75">
        <f t="shared" ca="1" si="34"/>
        <v>2.6958851336934795</v>
      </c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5"/>
    </row>
    <row r="62" spans="1:249" ht="24" customHeight="1" x14ac:dyDescent="0.15">
      <c r="C62" s="41" t="s">
        <v>83</v>
      </c>
      <c r="D62" s="39">
        <f ca="1">SUM(H64:AV64)/B61</f>
        <v>5.2227706859352692</v>
      </c>
      <c r="F62" s="11" t="s">
        <v>103</v>
      </c>
      <c r="H62" s="56">
        <f t="shared" ref="H62:Z62" ca="1" si="35">+H59/(1+$D$28)^(H55)</f>
        <v>0</v>
      </c>
      <c r="I62" s="57">
        <f t="shared" ca="1" si="35"/>
        <v>0</v>
      </c>
      <c r="J62" s="57">
        <f t="shared" ca="1" si="35"/>
        <v>0</v>
      </c>
      <c r="K62" s="57">
        <f t="shared" ca="1" si="35"/>
        <v>0</v>
      </c>
      <c r="L62" s="57">
        <f t="shared" ca="1" si="35"/>
        <v>0</v>
      </c>
      <c r="M62" s="57">
        <f t="shared" ca="1" si="35"/>
        <v>0</v>
      </c>
      <c r="N62" s="57">
        <f t="shared" ca="1" si="35"/>
        <v>4.3613674230893125</v>
      </c>
      <c r="O62" s="57">
        <f t="shared" ca="1" si="35"/>
        <v>7.2194368479027862</v>
      </c>
      <c r="P62" s="57">
        <f t="shared" ca="1" si="35"/>
        <v>6.2461298517138353</v>
      </c>
      <c r="Q62" s="57">
        <f t="shared" ca="1" si="35"/>
        <v>5.3913375772539522</v>
      </c>
      <c r="R62" s="57">
        <f t="shared" ca="1" si="35"/>
        <v>4.6643690608284842</v>
      </c>
      <c r="S62" s="57">
        <f t="shared" ca="1" si="35"/>
        <v>4.0259375556044565</v>
      </c>
      <c r="T62" s="57">
        <f t="shared" ca="1" si="35"/>
        <v>3.48298771603555</v>
      </c>
      <c r="U62" s="57">
        <f t="shared" ca="1" si="35"/>
        <v>3.0943775637872832</v>
      </c>
      <c r="V62" s="57">
        <f t="shared" ca="1" si="35"/>
        <v>2.662427588452823</v>
      </c>
      <c r="W62" s="57">
        <f t="shared" ca="1" si="35"/>
        <v>2.2870417488019754</v>
      </c>
      <c r="X62" s="57">
        <f t="shared" ca="1" si="35"/>
        <v>1.9690460619497907</v>
      </c>
      <c r="Y62" s="57">
        <f t="shared" ca="1" si="35"/>
        <v>1.6911788934595482</v>
      </c>
      <c r="Z62" s="57">
        <f t="shared" ca="1" si="35"/>
        <v>1.4558198697540923</v>
      </c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8"/>
    </row>
    <row r="63" spans="1:249" ht="24" customHeight="1" x14ac:dyDescent="0.15">
      <c r="C63" s="41" t="s">
        <v>85</v>
      </c>
      <c r="D63" s="39">
        <f ca="1">+D62/(1+D61/2)</f>
        <v>3.8505741227907349</v>
      </c>
      <c r="F63" s="60" t="s">
        <v>104</v>
      </c>
      <c r="N63" s="1"/>
      <c r="O63" s="1"/>
      <c r="AC63" s="4"/>
    </row>
    <row r="64" spans="1:249" ht="24" customHeight="1" x14ac:dyDescent="0.15">
      <c r="C64" s="41" t="s">
        <v>13</v>
      </c>
      <c r="D64" s="39">
        <f ca="1">SUM(H67:AV67)/B61</f>
        <v>2.1251473591094663</v>
      </c>
      <c r="F64" s="59" t="s">
        <v>105</v>
      </c>
      <c r="H64">
        <f t="shared" ref="H64:Z64" si="36">H61*H55</f>
        <v>0</v>
      </c>
      <c r="I64">
        <f t="shared" ca="1" si="36"/>
        <v>0</v>
      </c>
      <c r="J64">
        <f t="shared" ca="1" si="36"/>
        <v>0</v>
      </c>
      <c r="K64">
        <f t="shared" ca="1" si="36"/>
        <v>0</v>
      </c>
      <c r="L64">
        <f t="shared" ca="1" si="36"/>
        <v>0</v>
      </c>
      <c r="M64">
        <f t="shared" ca="1" si="36"/>
        <v>0</v>
      </c>
      <c r="N64">
        <f t="shared" ca="1" si="36"/>
        <v>4.7849504466632518E-2</v>
      </c>
      <c r="O64">
        <f t="shared" ca="1" si="36"/>
        <v>3.9200129086398485</v>
      </c>
      <c r="P64">
        <f t="shared" ca="1" si="36"/>
        <v>7.003731968781004</v>
      </c>
      <c r="Q64">
        <f t="shared" ca="1" si="36"/>
        <v>9.5399335156043445</v>
      </c>
      <c r="R64">
        <f t="shared" ca="1" si="36"/>
        <v>11.525996231081882</v>
      </c>
      <c r="S64">
        <f t="shared" ca="1" si="36"/>
        <v>13.101794136901358</v>
      </c>
      <c r="T64">
        <f t="shared" ca="1" si="36"/>
        <v>14.276985132489663</v>
      </c>
      <c r="U64">
        <f t="shared" ca="1" si="36"/>
        <v>15.592594334296429</v>
      </c>
      <c r="V64">
        <f t="shared" ca="1" si="36"/>
        <v>16.122098749514358</v>
      </c>
      <c r="W64">
        <f t="shared" ca="1" si="36"/>
        <v>16.414680872581037</v>
      </c>
      <c r="X64">
        <f t="shared" ca="1" si="36"/>
        <v>16.501008102724828</v>
      </c>
      <c r="Y64">
        <f t="shared" ca="1" si="36"/>
        <v>16.424194385477524</v>
      </c>
      <c r="Z64">
        <f t="shared" ca="1" si="36"/>
        <v>16.212240735499144</v>
      </c>
    </row>
    <row r="65" spans="1:48" ht="24" customHeight="1" x14ac:dyDescent="0.15">
      <c r="F65" s="2" t="s">
        <v>106</v>
      </c>
      <c r="H65">
        <f t="shared" ref="H65:Z65" si="37">H55*(H55+1)</f>
        <v>0</v>
      </c>
      <c r="I65">
        <f t="shared" ca="1" si="37"/>
        <v>3.7008369300056296</v>
      </c>
      <c r="J65">
        <f t="shared" ca="1" si="37"/>
        <v>1.9754100206417713</v>
      </c>
      <c r="K65">
        <f t="shared" ca="1" si="37"/>
        <v>0.72549446425220487</v>
      </c>
      <c r="L65">
        <f t="shared" ca="1" si="37"/>
        <v>-8.1516231938449663E-3</v>
      </c>
      <c r="M65">
        <f t="shared" ca="1" si="37"/>
        <v>-0.24984800150121975</v>
      </c>
      <c r="N65">
        <f t="shared" ca="1" si="37"/>
        <v>1.1079001688872209E-2</v>
      </c>
      <c r="O65">
        <f t="shared" ca="1" si="37"/>
        <v>0.7803640457872022</v>
      </c>
      <c r="P65">
        <f t="shared" ca="1" si="37"/>
        <v>2.0329968099080502</v>
      </c>
      <c r="Q65">
        <f t="shared" ca="1" si="37"/>
        <v>3.8105010320885726</v>
      </c>
      <c r="R65">
        <f t="shared" ca="1" si="37"/>
        <v>6.0549146181272278</v>
      </c>
      <c r="S65">
        <f t="shared" ca="1" si="37"/>
        <v>8.8406380183899422</v>
      </c>
      <c r="T65">
        <f t="shared" ca="1" si="37"/>
        <v>12.076832426346407</v>
      </c>
      <c r="U65">
        <f t="shared" ca="1" si="37"/>
        <v>15.870775004691312</v>
      </c>
      <c r="V65">
        <f t="shared" ca="1" si="37"/>
        <v>20.123475323700504</v>
      </c>
      <c r="W65">
        <f t="shared" ca="1" si="37"/>
        <v>24.928399324451117</v>
      </c>
      <c r="X65">
        <f t="shared" ca="1" si="37"/>
        <v>30.150872583974476</v>
      </c>
      <c r="Y65">
        <f t="shared" ca="1" si="37"/>
        <v>35.964015762807286</v>
      </c>
      <c r="Z65">
        <f t="shared" ca="1" si="37"/>
        <v>42.178269844248447</v>
      </c>
    </row>
    <row r="66" spans="1:48" ht="24" customHeight="1" x14ac:dyDescent="0.2">
      <c r="A66" s="6"/>
      <c r="F66" s="42" t="s">
        <v>107</v>
      </c>
      <c r="H66" s="77">
        <f>(H59/(1+$B$54)^(H55+2))*H65</f>
        <v>0</v>
      </c>
      <c r="I66" s="77">
        <f t="shared" ref="I66:Z66" ca="1" si="38">(I59/(1+$B$54)^(I55+2))*I65</f>
        <v>0</v>
      </c>
      <c r="J66" s="77">
        <f t="shared" ca="1" si="38"/>
        <v>0</v>
      </c>
      <c r="K66" s="77">
        <f t="shared" ca="1" si="38"/>
        <v>0</v>
      </c>
      <c r="L66" s="77">
        <f t="shared" ca="1" si="38"/>
        <v>0</v>
      </c>
      <c r="M66" s="77">
        <f t="shared" ca="1" si="38"/>
        <v>0</v>
      </c>
      <c r="N66" s="77">
        <f t="shared" ca="1" si="38"/>
        <v>3.3592974026231744E-2</v>
      </c>
      <c r="O66" s="77">
        <f t="shared" ca="1" si="38"/>
        <v>4.1243667018223675</v>
      </c>
      <c r="P66" s="77">
        <f t="shared" ca="1" si="38"/>
        <v>9.7807063643174601</v>
      </c>
      <c r="Q66" s="77">
        <f t="shared" ca="1" si="38"/>
        <v>16.66221264711718</v>
      </c>
      <c r="R66" s="77">
        <f t="shared" ca="1" si="38"/>
        <v>24.100209014381637</v>
      </c>
      <c r="S66" s="77">
        <f t="shared" ca="1" si="38"/>
        <v>31.981738732200235</v>
      </c>
      <c r="T66" s="77">
        <f t="shared" ca="1" si="38"/>
        <v>39.766944889583087</v>
      </c>
      <c r="U66" s="77">
        <f t="shared" ca="1" si="38"/>
        <v>48.890021809209514</v>
      </c>
      <c r="V66" s="77">
        <f t="shared" ca="1" si="38"/>
        <v>56.132878066231498</v>
      </c>
      <c r="W66" s="77">
        <f t="shared" ca="1" si="38"/>
        <v>62.897959051328407</v>
      </c>
      <c r="X66" s="77">
        <f t="shared" ca="1" si="38"/>
        <v>68.911173488358074</v>
      </c>
      <c r="Y66" s="77">
        <f t="shared" ca="1" si="38"/>
        <v>74.3401035826694</v>
      </c>
      <c r="Z66" s="77">
        <f t="shared" ca="1" si="38"/>
        <v>78.963729609737058</v>
      </c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</row>
    <row r="67" spans="1:48" ht="24" customHeight="1" x14ac:dyDescent="0.15">
      <c r="F67" s="42" t="s">
        <v>108</v>
      </c>
      <c r="H67">
        <f ca="1">(H59/(1+$D$61)^(H55+2))*H65</f>
        <v>0</v>
      </c>
      <c r="I67">
        <f t="shared" ref="I67:Z67" ca="1" si="39">(I59/(1+$D$61)^(I55+2))*I65</f>
        <v>0</v>
      </c>
      <c r="J67">
        <f t="shared" ca="1" si="39"/>
        <v>0</v>
      </c>
      <c r="K67">
        <f t="shared" ca="1" si="39"/>
        <v>0</v>
      </c>
      <c r="L67">
        <f t="shared" ca="1" si="39"/>
        <v>0</v>
      </c>
      <c r="M67">
        <f t="shared" ca="1" si="39"/>
        <v>0</v>
      </c>
      <c r="N67">
        <f t="shared" ca="1" si="39"/>
        <v>1.642643881122163E-2</v>
      </c>
      <c r="O67">
        <f t="shared" ca="1" si="39"/>
        <v>1.6856380560412572</v>
      </c>
      <c r="P67">
        <f t="shared" ca="1" si="39"/>
        <v>3.3508831036369049</v>
      </c>
      <c r="Q67">
        <f t="shared" ca="1" si="39"/>
        <v>4.7712680862738646</v>
      </c>
      <c r="R67">
        <f t="shared" ca="1" si="39"/>
        <v>5.7850079054856911</v>
      </c>
      <c r="S67">
        <f t="shared" ca="1" si="39"/>
        <v>6.4164868468864826</v>
      </c>
      <c r="T67">
        <f t="shared" ca="1" si="39"/>
        <v>6.6880493014247593</v>
      </c>
      <c r="U67">
        <f t="shared" ca="1" si="39"/>
        <v>6.8724178795193946</v>
      </c>
      <c r="V67">
        <f t="shared" ca="1" si="39"/>
        <v>6.607928505114109</v>
      </c>
      <c r="W67">
        <f t="shared" ca="1" si="39"/>
        <v>6.1886606389462164</v>
      </c>
      <c r="X67">
        <f t="shared" ca="1" si="39"/>
        <v>5.6837080487902796</v>
      </c>
      <c r="Y67">
        <f t="shared" ca="1" si="39"/>
        <v>5.1248052665252279</v>
      </c>
      <c r="Z67">
        <f t="shared" ca="1" si="39"/>
        <v>4.5631406958285794</v>
      </c>
    </row>
    <row r="68" spans="1:48" ht="24" customHeight="1" x14ac:dyDescent="0.15"/>
    <row r="69" spans="1:48" ht="24" customHeight="1" x14ac:dyDescent="0.25">
      <c r="A69" s="36" t="s">
        <v>75</v>
      </c>
      <c r="C69" s="36" t="s">
        <v>76</v>
      </c>
      <c r="F69" s="241" t="s">
        <v>20</v>
      </c>
      <c r="G69" s="34" t="s">
        <v>100</v>
      </c>
    </row>
    <row r="70" spans="1:48" ht="24" customHeight="1" x14ac:dyDescent="0.15">
      <c r="A70" s="44" t="s">
        <v>77</v>
      </c>
      <c r="B70" s="45">
        <f>'Monitor Bonos'!C16</f>
        <v>0.2</v>
      </c>
      <c r="C70" s="46" t="s">
        <v>11</v>
      </c>
      <c r="D70" s="70">
        <f ca="1">SUM(H77:AP77)</f>
        <v>64.960421138689938</v>
      </c>
      <c r="E70" s="37"/>
      <c r="F70" s="8" t="s">
        <v>101</v>
      </c>
      <c r="G70" s="28">
        <f ca="1">B71</f>
        <v>45478</v>
      </c>
      <c r="H70" s="28">
        <v>44386</v>
      </c>
      <c r="I70" s="29">
        <v>44570</v>
      </c>
      <c r="J70" s="29">
        <v>44751</v>
      </c>
      <c r="K70" s="29">
        <v>44935</v>
      </c>
      <c r="L70" s="29">
        <v>45116</v>
      </c>
      <c r="M70" s="29">
        <v>45300</v>
      </c>
      <c r="N70" s="29">
        <v>45482</v>
      </c>
      <c r="O70" s="29">
        <v>45666</v>
      </c>
      <c r="P70" s="29">
        <v>45847</v>
      </c>
      <c r="Q70" s="29">
        <v>46031</v>
      </c>
      <c r="R70" s="29">
        <v>46212</v>
      </c>
      <c r="S70" s="29">
        <v>46396</v>
      </c>
      <c r="T70" s="29">
        <v>46577</v>
      </c>
      <c r="U70" s="29">
        <v>46761</v>
      </c>
      <c r="V70" s="29">
        <v>46943</v>
      </c>
      <c r="W70" s="29">
        <v>47127</v>
      </c>
      <c r="X70" s="29">
        <v>47308</v>
      </c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</row>
    <row r="71" spans="1:48" ht="24" customHeight="1" x14ac:dyDescent="0.15">
      <c r="A71" s="43" t="s">
        <v>79</v>
      </c>
      <c r="B71" s="38">
        <f ca="1">'Monitor Bonos'!$C$7</f>
        <v>45478</v>
      </c>
      <c r="C71" s="41" t="s">
        <v>80</v>
      </c>
      <c r="D71" s="40">
        <f ca="1">+B75*((B71-B74)/(B73-B74))</f>
        <v>1.5</v>
      </c>
      <c r="E71" s="37"/>
      <c r="F71" s="9" t="s">
        <v>81</v>
      </c>
      <c r="H71" s="16">
        <v>0</v>
      </c>
      <c r="I71" s="17">
        <f t="shared" ref="I71:X71" ca="1" si="40">+(I70-$B$71)/365</f>
        <v>-2.4876712328767123</v>
      </c>
      <c r="J71" s="17">
        <f t="shared" ca="1" si="40"/>
        <v>-1.9917808219178081</v>
      </c>
      <c r="K71" s="17">
        <f t="shared" ca="1" si="40"/>
        <v>-1.4876712328767123</v>
      </c>
      <c r="L71" s="17">
        <f t="shared" ca="1" si="40"/>
        <v>-0.99178082191780825</v>
      </c>
      <c r="M71" s="17">
        <f t="shared" ca="1" si="40"/>
        <v>-0.48767123287671232</v>
      </c>
      <c r="N71" s="17">
        <f t="shared" ca="1" si="40"/>
        <v>1.0958904109589041E-2</v>
      </c>
      <c r="O71" s="17">
        <f t="shared" ca="1" si="40"/>
        <v>0.51506849315068493</v>
      </c>
      <c r="P71" s="17">
        <f t="shared" ca="1" si="40"/>
        <v>1.010958904109589</v>
      </c>
      <c r="Q71" s="17">
        <f t="shared" ca="1" si="40"/>
        <v>1.515068493150685</v>
      </c>
      <c r="R71" s="17">
        <f t="shared" ca="1" si="40"/>
        <v>2.010958904109589</v>
      </c>
      <c r="S71" s="17">
        <f t="shared" ca="1" si="40"/>
        <v>2.515068493150685</v>
      </c>
      <c r="T71" s="17">
        <f t="shared" ca="1" si="40"/>
        <v>3.010958904109589</v>
      </c>
      <c r="U71" s="17">
        <f t="shared" ca="1" si="40"/>
        <v>3.515068493150685</v>
      </c>
      <c r="V71" s="17">
        <f t="shared" ca="1" si="40"/>
        <v>4.0136986301369859</v>
      </c>
      <c r="W71" s="17">
        <f t="shared" ca="1" si="40"/>
        <v>4.5178082191780824</v>
      </c>
      <c r="X71" s="17">
        <f t="shared" ca="1" si="40"/>
        <v>5.0136986301369859</v>
      </c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</row>
    <row r="72" spans="1:48" ht="24" customHeight="1" x14ac:dyDescent="0.15">
      <c r="A72" s="50" t="s">
        <v>82</v>
      </c>
      <c r="B72" s="51">
        <v>100</v>
      </c>
      <c r="C72" s="41" t="s">
        <v>83</v>
      </c>
      <c r="D72" s="39">
        <f ca="1">SUM(H80:AP80)/D70</f>
        <v>2.3553379269374806</v>
      </c>
      <c r="E72" s="37"/>
      <c r="F72" s="10" t="s">
        <v>87</v>
      </c>
      <c r="H72" s="14"/>
      <c r="I72" s="13"/>
      <c r="J72" s="13"/>
      <c r="K72" s="13"/>
      <c r="L72" s="74">
        <v>0.01</v>
      </c>
      <c r="M72" s="74">
        <v>0.01</v>
      </c>
      <c r="N72" s="74">
        <v>0.01</v>
      </c>
      <c r="O72" s="74">
        <v>0.01</v>
      </c>
      <c r="P72" s="74">
        <v>0.01</v>
      </c>
      <c r="Q72" s="74">
        <v>0.01</v>
      </c>
      <c r="R72" s="74">
        <v>0.01</v>
      </c>
      <c r="S72" s="74">
        <v>0.01</v>
      </c>
      <c r="T72" s="74">
        <v>0.01</v>
      </c>
      <c r="U72" s="74">
        <v>0.01</v>
      </c>
      <c r="V72" s="74">
        <v>0.01</v>
      </c>
      <c r="W72" s="74">
        <v>0.01</v>
      </c>
      <c r="X72" s="74">
        <v>0.01</v>
      </c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</row>
    <row r="73" spans="1:48" ht="24" customHeight="1" x14ac:dyDescent="0.15">
      <c r="A73" s="50" t="s">
        <v>84</v>
      </c>
      <c r="B73" s="38">
        <f>L70</f>
        <v>45116</v>
      </c>
      <c r="C73" s="41" t="s">
        <v>85</v>
      </c>
      <c r="D73" s="39">
        <f ca="1">+D72/(1+B70/2)</f>
        <v>2.1412162972158915</v>
      </c>
      <c r="E73" s="37"/>
      <c r="F73" s="10" t="s">
        <v>29</v>
      </c>
      <c r="H73" s="19"/>
      <c r="I73" s="20"/>
      <c r="J73" s="20"/>
      <c r="K73" s="20"/>
      <c r="L73" s="21">
        <f t="shared" ref="L73:X73" si="41">L72/2*L76</f>
        <v>0.5</v>
      </c>
      <c r="M73" s="21">
        <f t="shared" si="41"/>
        <v>0.5</v>
      </c>
      <c r="N73" s="21">
        <f t="shared" si="41"/>
        <v>0.5</v>
      </c>
      <c r="O73" s="21">
        <f t="shared" si="41"/>
        <v>0.5</v>
      </c>
      <c r="P73" s="21">
        <f t="shared" si="41"/>
        <v>0.45</v>
      </c>
      <c r="Q73" s="21">
        <f t="shared" si="41"/>
        <v>0.4</v>
      </c>
      <c r="R73" s="21">
        <f t="shared" si="41"/>
        <v>0.35000000000000003</v>
      </c>
      <c r="S73" s="21">
        <f t="shared" si="41"/>
        <v>0.3</v>
      </c>
      <c r="T73" s="21">
        <f t="shared" si="41"/>
        <v>0.25</v>
      </c>
      <c r="U73" s="21">
        <f t="shared" si="41"/>
        <v>0.2</v>
      </c>
      <c r="V73" s="21">
        <f t="shared" si="41"/>
        <v>0.15</v>
      </c>
      <c r="W73" s="21">
        <f t="shared" si="41"/>
        <v>0.1</v>
      </c>
      <c r="X73" s="21">
        <f t="shared" si="41"/>
        <v>0.05</v>
      </c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</row>
    <row r="74" spans="1:48" ht="24" customHeight="1" x14ac:dyDescent="0.15">
      <c r="A74" s="50" t="s">
        <v>86</v>
      </c>
      <c r="B74" s="38">
        <f>K70</f>
        <v>44935</v>
      </c>
      <c r="C74" s="41" t="s">
        <v>13</v>
      </c>
      <c r="D74" s="39">
        <f ca="1">SUM(H82:AP82)/D70</f>
        <v>6.8758227124507849</v>
      </c>
      <c r="E74" s="37"/>
      <c r="F74" s="10" t="s">
        <v>28</v>
      </c>
      <c r="H74" s="19">
        <v>0</v>
      </c>
      <c r="I74" s="23">
        <v>0</v>
      </c>
      <c r="J74" s="23">
        <v>0</v>
      </c>
      <c r="K74" s="23">
        <v>0</v>
      </c>
      <c r="L74" s="23">
        <v>0</v>
      </c>
      <c r="M74" s="23">
        <v>0</v>
      </c>
      <c r="N74" s="23">
        <v>0</v>
      </c>
      <c r="O74" s="23">
        <v>10</v>
      </c>
      <c r="P74" s="23">
        <v>10</v>
      </c>
      <c r="Q74" s="23">
        <v>10</v>
      </c>
      <c r="R74" s="23">
        <v>10</v>
      </c>
      <c r="S74" s="23">
        <v>10</v>
      </c>
      <c r="T74" s="23">
        <v>10</v>
      </c>
      <c r="U74" s="23">
        <v>10</v>
      </c>
      <c r="V74" s="23">
        <v>10</v>
      </c>
      <c r="W74" s="23">
        <v>10</v>
      </c>
      <c r="X74" s="23">
        <v>10</v>
      </c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</row>
    <row r="75" spans="1:48" ht="24" customHeight="1" x14ac:dyDescent="0.15">
      <c r="A75" s="50" t="s">
        <v>88</v>
      </c>
      <c r="B75" s="61">
        <f>L73</f>
        <v>0.5</v>
      </c>
      <c r="E75" s="37"/>
      <c r="F75" s="11" t="s">
        <v>92</v>
      </c>
      <c r="G75">
        <f>-B77</f>
        <v>-30</v>
      </c>
      <c r="H75" s="19">
        <f t="shared" ref="H75:X75" si="42">IF(H71&lt;0,0,H74+H73)</f>
        <v>0</v>
      </c>
      <c r="I75" s="23">
        <f t="shared" ca="1" si="42"/>
        <v>0</v>
      </c>
      <c r="J75" s="23">
        <f t="shared" ca="1" si="42"/>
        <v>0</v>
      </c>
      <c r="K75" s="23">
        <f t="shared" ca="1" si="42"/>
        <v>0</v>
      </c>
      <c r="L75" s="23">
        <f t="shared" ca="1" si="42"/>
        <v>0</v>
      </c>
      <c r="M75" s="23">
        <f t="shared" ca="1" si="42"/>
        <v>0</v>
      </c>
      <c r="N75" s="23">
        <f t="shared" ca="1" si="42"/>
        <v>0.5</v>
      </c>
      <c r="O75" s="23">
        <f t="shared" ca="1" si="42"/>
        <v>10.5</v>
      </c>
      <c r="P75" s="23">
        <f t="shared" ca="1" si="42"/>
        <v>10.45</v>
      </c>
      <c r="Q75" s="23">
        <f t="shared" ca="1" si="42"/>
        <v>10.4</v>
      </c>
      <c r="R75" s="23">
        <f t="shared" ca="1" si="42"/>
        <v>10.35</v>
      </c>
      <c r="S75" s="23">
        <f t="shared" ca="1" si="42"/>
        <v>10.3</v>
      </c>
      <c r="T75" s="23">
        <f t="shared" ca="1" si="42"/>
        <v>10.25</v>
      </c>
      <c r="U75" s="23">
        <f t="shared" ca="1" si="42"/>
        <v>10.199999999999999</v>
      </c>
      <c r="V75" s="23">
        <f t="shared" ca="1" si="42"/>
        <v>10.15</v>
      </c>
      <c r="W75" s="23">
        <f t="shared" ca="1" si="42"/>
        <v>10.1</v>
      </c>
      <c r="X75" s="23">
        <f t="shared" ca="1" si="42"/>
        <v>10.050000000000001</v>
      </c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</row>
    <row r="76" spans="1:48" ht="24" customHeight="1" x14ac:dyDescent="0.15">
      <c r="F76" s="12" t="s">
        <v>89</v>
      </c>
      <c r="H76" s="25">
        <f>B72</f>
        <v>100</v>
      </c>
      <c r="I76" s="26">
        <f t="shared" ref="I76:X76" si="43">H76-H74</f>
        <v>100</v>
      </c>
      <c r="J76" s="26">
        <f t="shared" si="43"/>
        <v>100</v>
      </c>
      <c r="K76" s="26">
        <f t="shared" si="43"/>
        <v>100</v>
      </c>
      <c r="L76" s="26">
        <f t="shared" si="43"/>
        <v>100</v>
      </c>
      <c r="M76" s="26">
        <f t="shared" si="43"/>
        <v>100</v>
      </c>
      <c r="N76" s="26">
        <f t="shared" si="43"/>
        <v>100</v>
      </c>
      <c r="O76" s="26">
        <f t="shared" si="43"/>
        <v>100</v>
      </c>
      <c r="P76" s="26">
        <f t="shared" si="43"/>
        <v>90</v>
      </c>
      <c r="Q76" s="26">
        <f t="shared" si="43"/>
        <v>80</v>
      </c>
      <c r="R76" s="26">
        <f t="shared" si="43"/>
        <v>70</v>
      </c>
      <c r="S76" s="26">
        <f t="shared" si="43"/>
        <v>60</v>
      </c>
      <c r="T76" s="26">
        <f t="shared" si="43"/>
        <v>50</v>
      </c>
      <c r="U76" s="26">
        <f t="shared" si="43"/>
        <v>40</v>
      </c>
      <c r="V76" s="26">
        <f t="shared" si="43"/>
        <v>30</v>
      </c>
      <c r="W76" s="26">
        <f t="shared" si="43"/>
        <v>20</v>
      </c>
      <c r="X76" s="26">
        <f t="shared" si="43"/>
        <v>10</v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</row>
    <row r="77" spans="1:48" ht="24" customHeight="1" x14ac:dyDescent="0.15">
      <c r="A77" s="44" t="s">
        <v>11</v>
      </c>
      <c r="B77" s="71">
        <f>'Monitor Bonos'!M16</f>
        <v>30</v>
      </c>
      <c r="C77" s="48" t="s">
        <v>77</v>
      </c>
      <c r="D77" s="69">
        <f ca="1">XIRR(G75:AP75,G70:AP70)</f>
        <v>0.76556354761123657</v>
      </c>
      <c r="E77" s="31"/>
      <c r="F77" s="11" t="s">
        <v>102</v>
      </c>
      <c r="H77" s="52">
        <f t="shared" ref="H77:X77" si="44">+H75/(1+$B$70)^(H71)</f>
        <v>0</v>
      </c>
      <c r="I77" s="53">
        <f t="shared" ca="1" si="44"/>
        <v>0</v>
      </c>
      <c r="J77" s="53">
        <f t="shared" ca="1" si="44"/>
        <v>0</v>
      </c>
      <c r="K77" s="53">
        <f t="shared" ca="1" si="44"/>
        <v>0</v>
      </c>
      <c r="L77" s="54">
        <f t="shared" ca="1" si="44"/>
        <v>0</v>
      </c>
      <c r="M77" s="54">
        <f t="shared" ca="1" si="44"/>
        <v>0</v>
      </c>
      <c r="N77" s="54">
        <f t="shared" ca="1" si="44"/>
        <v>0.49900197515202488</v>
      </c>
      <c r="O77" s="54">
        <f t="shared" ca="1" si="44"/>
        <v>9.5588475213543607</v>
      </c>
      <c r="P77" s="54">
        <f t="shared" ca="1" si="44"/>
        <v>8.6909510672311008</v>
      </c>
      <c r="Q77" s="54">
        <f t="shared" ca="1" si="44"/>
        <v>7.8898423985782022</v>
      </c>
      <c r="R77" s="54">
        <f t="shared" ca="1" si="44"/>
        <v>7.1731533928103586</v>
      </c>
      <c r="S77" s="54">
        <f t="shared" ca="1" si="44"/>
        <v>6.5116487744675871</v>
      </c>
      <c r="T77" s="54">
        <f t="shared" ca="1" si="44"/>
        <v>5.9198729691067786</v>
      </c>
      <c r="U77" s="54">
        <f t="shared" ca="1" si="44"/>
        <v>5.3736907362111141</v>
      </c>
      <c r="V77" s="54">
        <f t="shared" ca="1" si="44"/>
        <v>4.882658874109528</v>
      </c>
      <c r="W77" s="54">
        <f t="shared" ca="1" si="44"/>
        <v>4.4319585458592963</v>
      </c>
      <c r="X77" s="54">
        <f t="shared" ca="1" si="44"/>
        <v>4.0287948838095859</v>
      </c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</row>
    <row r="78" spans="1:48" ht="24" customHeight="1" x14ac:dyDescent="0.15">
      <c r="C78" s="41" t="s">
        <v>83</v>
      </c>
      <c r="D78" s="39">
        <f ca="1">SUM(H80:AP80)/B77</f>
        <v>5.1001247885929217</v>
      </c>
      <c r="F78" s="11" t="s">
        <v>103</v>
      </c>
      <c r="H78" s="56">
        <f t="shared" ref="H78:X78" ca="1" si="45">+H75/(1+$D$77)^(H71)</f>
        <v>0</v>
      </c>
      <c r="I78" s="57">
        <f t="shared" ca="1" si="45"/>
        <v>0</v>
      </c>
      <c r="J78" s="57">
        <f t="shared" ca="1" si="45"/>
        <v>0</v>
      </c>
      <c r="K78" s="57">
        <f t="shared" ca="1" si="45"/>
        <v>0</v>
      </c>
      <c r="L78" s="57">
        <f t="shared" ca="1" si="45"/>
        <v>0</v>
      </c>
      <c r="M78" s="57">
        <f t="shared" ca="1" si="45"/>
        <v>0</v>
      </c>
      <c r="N78" s="57">
        <f t="shared" ca="1" si="45"/>
        <v>0.49689477878283456</v>
      </c>
      <c r="O78" s="57">
        <f t="shared" ca="1" si="45"/>
        <v>7.8347918360920517</v>
      </c>
      <c r="P78" s="57">
        <f t="shared" ca="1" si="45"/>
        <v>5.8820317686168941</v>
      </c>
      <c r="Q78" s="57">
        <f t="shared" ca="1" si="45"/>
        <v>4.3952962109382785</v>
      </c>
      <c r="R78" s="57">
        <f t="shared" ca="1" si="45"/>
        <v>3.2996514858688406</v>
      </c>
      <c r="S78" s="57">
        <f t="shared" ca="1" si="45"/>
        <v>2.4655208549480476</v>
      </c>
      <c r="T78" s="57">
        <f t="shared" ca="1" si="45"/>
        <v>1.8508372579425592</v>
      </c>
      <c r="U78" s="57">
        <f t="shared" ca="1" si="45"/>
        <v>1.3828920304637815</v>
      </c>
      <c r="V78" s="57">
        <f t="shared" ca="1" si="45"/>
        <v>1.0364555080151583</v>
      </c>
      <c r="W78" s="57">
        <f t="shared" ca="1" si="45"/>
        <v>0.77437215727071362</v>
      </c>
      <c r="X78" s="57">
        <f t="shared" ca="1" si="45"/>
        <v>0.58125584043022438</v>
      </c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</row>
    <row r="79" spans="1:48" ht="24" customHeight="1" x14ac:dyDescent="0.15">
      <c r="C79" s="41" t="s">
        <v>85</v>
      </c>
      <c r="D79" s="39">
        <f ca="1">+D78/(1+D77/2)</f>
        <v>3.6883077902861201</v>
      </c>
      <c r="F79" s="60" t="s">
        <v>104</v>
      </c>
      <c r="N79" s="1"/>
      <c r="O79" s="1"/>
      <c r="AC79" s="4"/>
    </row>
    <row r="80" spans="1:48" ht="24" customHeight="1" x14ac:dyDescent="0.15">
      <c r="C80" s="41" t="s">
        <v>13</v>
      </c>
      <c r="D80" s="39">
        <f ca="1">SUM(H83:AP83)/B77</f>
        <v>1.9096957722527981</v>
      </c>
      <c r="F80" s="59" t="s">
        <v>105</v>
      </c>
      <c r="H80">
        <f t="shared" ref="H80:X80" si="46">H77*H71</f>
        <v>0</v>
      </c>
      <c r="I80">
        <f t="shared" ca="1" si="46"/>
        <v>0</v>
      </c>
      <c r="J80">
        <f t="shared" ca="1" si="46"/>
        <v>0</v>
      </c>
      <c r="K80">
        <f t="shared" ca="1" si="46"/>
        <v>0</v>
      </c>
      <c r="L80">
        <f t="shared" ca="1" si="46"/>
        <v>0</v>
      </c>
      <c r="M80">
        <f t="shared" ca="1" si="46"/>
        <v>0</v>
      </c>
      <c r="N80">
        <f t="shared" ca="1" si="46"/>
        <v>5.468514796186574E-3</v>
      </c>
      <c r="O80">
        <f t="shared" ca="1" si="46"/>
        <v>4.9234611890811504</v>
      </c>
      <c r="P80">
        <f t="shared" ca="1" si="46"/>
        <v>8.786194366598016</v>
      </c>
      <c r="Q80">
        <f t="shared" ca="1" si="46"/>
        <v>11.953651634010264</v>
      </c>
      <c r="R80">
        <f t="shared" ca="1" si="46"/>
        <v>14.4249166858159</v>
      </c>
      <c r="S80">
        <f t="shared" ca="1" si="46"/>
        <v>16.377242671126698</v>
      </c>
      <c r="T80">
        <f t="shared" ca="1" si="46"/>
        <v>17.824494227529726</v>
      </c>
      <c r="U80">
        <f t="shared" ca="1" si="46"/>
        <v>18.888890998791396</v>
      </c>
      <c r="V80">
        <f t="shared" ca="1" si="46"/>
        <v>19.597521234439611</v>
      </c>
      <c r="W80">
        <f t="shared" ca="1" si="46"/>
        <v>20.022738745539669</v>
      </c>
      <c r="X80">
        <f t="shared" ca="1" si="46"/>
        <v>20.199163390059017</v>
      </c>
    </row>
    <row r="81" spans="1:42" ht="24" customHeight="1" x14ac:dyDescent="0.15">
      <c r="F81" s="2" t="s">
        <v>106</v>
      </c>
      <c r="H81">
        <f t="shared" ref="H81:X81" si="47">H71*(H71+1)</f>
        <v>0</v>
      </c>
      <c r="I81">
        <f t="shared" ca="1" si="47"/>
        <v>3.7008369300056296</v>
      </c>
      <c r="J81">
        <f t="shared" ca="1" si="47"/>
        <v>1.9754100206417713</v>
      </c>
      <c r="K81">
        <f t="shared" ca="1" si="47"/>
        <v>0.72549446425220487</v>
      </c>
      <c r="L81">
        <f t="shared" ca="1" si="47"/>
        <v>-8.1516231938449663E-3</v>
      </c>
      <c r="M81">
        <f t="shared" ca="1" si="47"/>
        <v>-0.24984800150121975</v>
      </c>
      <c r="N81">
        <f t="shared" ca="1" si="47"/>
        <v>1.1079001688872209E-2</v>
      </c>
      <c r="O81">
        <f t="shared" ca="1" si="47"/>
        <v>0.7803640457872022</v>
      </c>
      <c r="P81">
        <f t="shared" ca="1" si="47"/>
        <v>2.0329968099080502</v>
      </c>
      <c r="Q81">
        <f t="shared" ca="1" si="47"/>
        <v>3.8105010320885726</v>
      </c>
      <c r="R81">
        <f t="shared" ca="1" si="47"/>
        <v>6.0549146181272278</v>
      </c>
      <c r="S81">
        <f t="shared" ca="1" si="47"/>
        <v>8.8406380183899422</v>
      </c>
      <c r="T81">
        <f t="shared" ca="1" si="47"/>
        <v>12.076832426346407</v>
      </c>
      <c r="U81">
        <f t="shared" ca="1" si="47"/>
        <v>15.870775004691312</v>
      </c>
      <c r="V81">
        <f t="shared" ca="1" si="47"/>
        <v>20.123475323700504</v>
      </c>
      <c r="W81">
        <f t="shared" ca="1" si="47"/>
        <v>24.928399324451117</v>
      </c>
      <c r="X81">
        <f t="shared" ca="1" si="47"/>
        <v>30.150872583974476</v>
      </c>
    </row>
    <row r="82" spans="1:42" ht="24" customHeight="1" x14ac:dyDescent="0.2">
      <c r="A82" s="6"/>
      <c r="F82" s="42" t="s">
        <v>107</v>
      </c>
      <c r="H82" s="7">
        <f>(H75/(1+$B$70)^(H71+2))*H81</f>
        <v>0</v>
      </c>
      <c r="I82" s="7">
        <f t="shared" ref="I82:X82" ca="1" si="48">(I75/(1+$B$70)^(I71+2))*I81</f>
        <v>0</v>
      </c>
      <c r="J82" s="7">
        <f t="shared" ca="1" si="48"/>
        <v>0</v>
      </c>
      <c r="K82" s="7">
        <f t="shared" ca="1" si="48"/>
        <v>0</v>
      </c>
      <c r="L82" s="7">
        <f t="shared" ca="1" si="48"/>
        <v>0</v>
      </c>
      <c r="M82" s="7">
        <f t="shared" ca="1" si="48"/>
        <v>0</v>
      </c>
      <c r="N82" s="7">
        <f t="shared" ca="1" si="48"/>
        <v>3.8391970315693421E-3</v>
      </c>
      <c r="O82" s="7">
        <f t="shared" ca="1" si="48"/>
        <v>5.1801256422410118</v>
      </c>
      <c r="P82" s="7">
        <f t="shared" ca="1" si="48"/>
        <v>12.269913746352636</v>
      </c>
      <c r="Q82" s="7">
        <f t="shared" ca="1" si="48"/>
        <v>20.877953196387789</v>
      </c>
      <c r="R82" s="7">
        <f t="shared" ca="1" si="48"/>
        <v>30.161688427914143</v>
      </c>
      <c r="S82" s="7">
        <f t="shared" ca="1" si="48"/>
        <v>39.977173415250292</v>
      </c>
      <c r="T82" s="7">
        <f t="shared" ca="1" si="48"/>
        <v>49.648134606361339</v>
      </c>
      <c r="U82" s="7">
        <f t="shared" ca="1" si="48"/>
        <v>59.225442096667109</v>
      </c>
      <c r="V82" s="7">
        <f t="shared" ca="1" si="48"/>
        <v>68.233378727215538</v>
      </c>
      <c r="W82" s="7">
        <f t="shared" ca="1" si="48"/>
        <v>76.723355847634892</v>
      </c>
      <c r="X82" s="7">
        <f t="shared" ca="1" si="48"/>
        <v>84.355334172716027</v>
      </c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</row>
    <row r="83" spans="1:42" ht="24" customHeight="1" x14ac:dyDescent="0.15">
      <c r="F83" s="42" t="s">
        <v>108</v>
      </c>
      <c r="H83">
        <f ca="1">(H75/(1+$D$77)^(H71+2))*H81</f>
        <v>0</v>
      </c>
      <c r="I83">
        <f t="shared" ref="I83:X83" ca="1" si="49">(I75/(1+$D$77)^(I71+2))*I81</f>
        <v>0</v>
      </c>
      <c r="J83">
        <f t="shared" ca="1" si="49"/>
        <v>0</v>
      </c>
      <c r="K83">
        <f t="shared" ca="1" si="49"/>
        <v>0</v>
      </c>
      <c r="L83">
        <f t="shared" ca="1" si="49"/>
        <v>0</v>
      </c>
      <c r="M83">
        <f t="shared" ca="1" si="49"/>
        <v>0</v>
      </c>
      <c r="N83">
        <f t="shared" ca="1" si="49"/>
        <v>1.7660311296922983E-3</v>
      </c>
      <c r="O83">
        <f t="shared" ca="1" si="49"/>
        <v>1.9613631269970671</v>
      </c>
      <c r="P83">
        <f t="shared" ca="1" si="49"/>
        <v>3.8361656799060624</v>
      </c>
      <c r="Q83">
        <f t="shared" ca="1" si="49"/>
        <v>5.372835264434582</v>
      </c>
      <c r="R83">
        <f t="shared" ca="1" si="49"/>
        <v>6.4092821058749792</v>
      </c>
      <c r="S83">
        <f t="shared" ca="1" si="49"/>
        <v>6.9923890132945532</v>
      </c>
      <c r="T83">
        <f t="shared" ca="1" si="49"/>
        <v>7.1705846370348887</v>
      </c>
      <c r="U83">
        <f t="shared" ca="1" si="49"/>
        <v>7.0407626042298226</v>
      </c>
      <c r="V83">
        <f t="shared" ca="1" si="49"/>
        <v>6.6909370203918552</v>
      </c>
      <c r="W83">
        <f t="shared" ca="1" si="49"/>
        <v>6.1926625489394098</v>
      </c>
      <c r="X83">
        <f t="shared" ca="1" si="49"/>
        <v>5.6221251353510295</v>
      </c>
    </row>
    <row r="84" spans="1:42" ht="24" customHeight="1" x14ac:dyDescent="0.15">
      <c r="A84" s="5"/>
      <c r="H84" s="1"/>
      <c r="I84" s="1"/>
      <c r="J84" s="1"/>
      <c r="K84" s="1"/>
      <c r="X84" s="3"/>
    </row>
    <row r="85" spans="1:42" ht="24" customHeight="1" x14ac:dyDescent="0.15">
      <c r="A85" s="5"/>
      <c r="H85" s="1"/>
      <c r="I85" s="1"/>
      <c r="J85" s="1"/>
      <c r="K85" s="1"/>
      <c r="X85" s="3"/>
    </row>
    <row r="86" spans="1:42" ht="24" customHeight="1" x14ac:dyDescent="0.15">
      <c r="A86" s="5"/>
      <c r="H86" s="1"/>
      <c r="I86" s="1"/>
      <c r="J86" s="1"/>
      <c r="K86" s="1"/>
      <c r="X86" s="3"/>
    </row>
    <row r="87" spans="1:42" ht="24" customHeight="1" x14ac:dyDescent="0.15">
      <c r="A87" s="5"/>
      <c r="H87" s="1"/>
      <c r="I87" s="1"/>
      <c r="J87" s="1"/>
      <c r="K87" s="1"/>
      <c r="X87" s="3"/>
    </row>
    <row r="88" spans="1:42" ht="24" customHeight="1" x14ac:dyDescent="0.15">
      <c r="A88" s="5"/>
      <c r="H88" s="1"/>
      <c r="I88" s="1"/>
      <c r="J88" s="1"/>
      <c r="K88" s="1"/>
      <c r="X88" s="3"/>
    </row>
    <row r="89" spans="1:42" ht="24" customHeight="1" x14ac:dyDescent="0.15">
      <c r="A89" s="5"/>
      <c r="H89" s="1"/>
      <c r="I89" s="1"/>
      <c r="J89" s="1"/>
      <c r="K89" s="1"/>
      <c r="X89" s="3"/>
    </row>
    <row r="90" spans="1:42" ht="24" customHeight="1" x14ac:dyDescent="0.15">
      <c r="A90" s="5"/>
      <c r="H90" s="1"/>
      <c r="I90" s="1"/>
      <c r="J90" s="1"/>
      <c r="K90" s="1"/>
      <c r="X90" s="3"/>
    </row>
    <row r="91" spans="1:42" ht="24" customHeight="1" x14ac:dyDescent="0.15">
      <c r="A91" s="5"/>
      <c r="H91" s="1"/>
      <c r="I91" s="1"/>
      <c r="J91" s="1"/>
      <c r="K91" s="1"/>
      <c r="X91" s="3"/>
    </row>
    <row r="92" spans="1:42" ht="24" customHeight="1" x14ac:dyDescent="0.15">
      <c r="A92" s="5"/>
      <c r="H92" s="1"/>
      <c r="I92" s="1"/>
      <c r="J92" s="1"/>
      <c r="K92" s="1"/>
      <c r="X92" s="3"/>
    </row>
    <row r="93" spans="1:42" ht="24" customHeight="1" x14ac:dyDescent="0.15">
      <c r="A93" s="5"/>
      <c r="H93" s="1"/>
      <c r="I93" s="1"/>
      <c r="J93" s="1"/>
      <c r="K93" s="1"/>
      <c r="X93" s="3"/>
    </row>
    <row r="94" spans="1:42" ht="24" customHeight="1" x14ac:dyDescent="0.15">
      <c r="A94" s="5"/>
      <c r="H94" s="1"/>
      <c r="I94" s="1"/>
      <c r="J94" s="1"/>
      <c r="K94" s="1"/>
      <c r="X94" s="3"/>
    </row>
    <row r="95" spans="1:42" ht="24" customHeight="1" x14ac:dyDescent="0.15">
      <c r="A95" s="5"/>
      <c r="H95" s="1"/>
      <c r="I95" s="1"/>
      <c r="J95" s="1"/>
      <c r="K95" s="1"/>
      <c r="X95" s="3"/>
    </row>
    <row r="96" spans="1:42" ht="24" customHeight="1" x14ac:dyDescent="0.15">
      <c r="A96" s="5"/>
      <c r="H96" s="1"/>
      <c r="I96" s="1"/>
      <c r="J96" s="1"/>
      <c r="K96" s="1"/>
      <c r="X96" s="3"/>
    </row>
    <row r="97" spans="1:24" ht="24" customHeight="1" x14ac:dyDescent="0.15">
      <c r="A97" s="5"/>
      <c r="H97" s="1"/>
      <c r="I97" s="1"/>
      <c r="J97" s="1"/>
      <c r="K97" s="1"/>
      <c r="X97" s="3"/>
    </row>
    <row r="98" spans="1:24" ht="24" customHeight="1" x14ac:dyDescent="0.15">
      <c r="A98" s="5"/>
      <c r="H98" s="1"/>
      <c r="I98" s="1"/>
      <c r="J98" s="1"/>
      <c r="K98" s="1"/>
      <c r="X98" s="3"/>
    </row>
    <row r="99" spans="1:24" ht="24" customHeight="1" x14ac:dyDescent="0.15">
      <c r="A99" s="5"/>
      <c r="H99" s="1"/>
      <c r="I99" s="1"/>
      <c r="J99" s="1"/>
      <c r="K99" s="1"/>
    </row>
    <row r="100" spans="1:24" ht="24" customHeight="1" x14ac:dyDescent="0.15">
      <c r="A100" s="5"/>
      <c r="H100" s="1"/>
      <c r="I100" s="1"/>
      <c r="J100" s="1"/>
      <c r="K100" s="1"/>
    </row>
    <row r="101" spans="1:24" ht="24" customHeight="1" x14ac:dyDescent="0.15">
      <c r="A101" s="5"/>
      <c r="H101" s="1"/>
      <c r="I101" s="1"/>
      <c r="J101" s="1"/>
      <c r="K101" s="1"/>
    </row>
    <row r="102" spans="1:24" ht="24" customHeight="1" x14ac:dyDescent="0.15">
      <c r="A102" s="5"/>
      <c r="H102" s="1"/>
      <c r="I102" s="1"/>
      <c r="J102" s="1"/>
      <c r="K102" s="1"/>
    </row>
    <row r="103" spans="1:24" ht="24" customHeight="1" x14ac:dyDescent="0.15">
      <c r="A103" s="5"/>
      <c r="H103" s="1"/>
      <c r="I103" s="1"/>
      <c r="J103" s="1"/>
      <c r="K103" s="1"/>
    </row>
    <row r="104" spans="1:24" ht="24" customHeight="1" x14ac:dyDescent="0.15">
      <c r="A104" s="5"/>
      <c r="H104" s="1"/>
      <c r="I104" s="1"/>
      <c r="J104" s="1"/>
      <c r="K104" s="1"/>
    </row>
    <row r="105" spans="1:24" ht="24" customHeight="1" x14ac:dyDescent="0.15">
      <c r="A105" s="5"/>
      <c r="H105" s="1"/>
      <c r="I105" s="1"/>
      <c r="J105" s="1"/>
      <c r="K105" s="1"/>
    </row>
    <row r="106" spans="1:24" ht="24" customHeight="1" x14ac:dyDescent="0.15">
      <c r="A106" s="5"/>
      <c r="H106" s="1"/>
      <c r="I106" s="1"/>
      <c r="J106" s="1"/>
      <c r="K106" s="1"/>
    </row>
    <row r="107" spans="1:24" ht="24" customHeight="1" x14ac:dyDescent="0.15">
      <c r="A107" s="5"/>
      <c r="H107" s="1"/>
      <c r="I107" s="1"/>
      <c r="J107" s="1"/>
      <c r="K107" s="1"/>
    </row>
    <row r="108" spans="1:24" ht="24" customHeight="1" x14ac:dyDescent="0.15">
      <c r="A108" s="5"/>
      <c r="H108" s="1"/>
      <c r="I108" s="1"/>
      <c r="J108" s="1"/>
      <c r="K108" s="1"/>
    </row>
    <row r="109" spans="1:24" ht="24" customHeight="1" x14ac:dyDescent="0.15">
      <c r="A109" s="5"/>
      <c r="H109" s="1"/>
      <c r="I109" s="1"/>
      <c r="J109" s="1"/>
      <c r="K109" s="1"/>
    </row>
    <row r="110" spans="1:24" ht="24" customHeight="1" x14ac:dyDescent="0.15">
      <c r="A110" s="5"/>
      <c r="H110" s="1"/>
      <c r="I110" s="1"/>
      <c r="J110" s="1"/>
      <c r="K110" s="1"/>
    </row>
    <row r="111" spans="1:24" ht="24" customHeight="1" x14ac:dyDescent="0.15">
      <c r="A111" s="5"/>
      <c r="H111" s="1"/>
      <c r="I111" s="1"/>
      <c r="J111" s="1"/>
      <c r="K111" s="1"/>
    </row>
    <row r="112" spans="1:24" ht="24" customHeight="1" x14ac:dyDescent="0.15">
      <c r="A112" s="5"/>
      <c r="H112" s="1"/>
      <c r="I112" s="1"/>
      <c r="J112" s="1"/>
      <c r="K112" s="1"/>
    </row>
    <row r="113" spans="1:11" ht="24" customHeight="1" x14ac:dyDescent="0.15">
      <c r="A113" s="5"/>
      <c r="H113" s="1"/>
      <c r="I113" s="1"/>
      <c r="J113" s="1"/>
      <c r="K113" s="1"/>
    </row>
    <row r="114" spans="1:11" ht="24" customHeight="1" x14ac:dyDescent="0.15">
      <c r="A114" s="5"/>
      <c r="H114" s="1"/>
      <c r="I114" s="1"/>
      <c r="J114" s="1"/>
      <c r="K114" s="1"/>
    </row>
    <row r="115" spans="1:11" ht="24" customHeight="1" x14ac:dyDescent="0.15">
      <c r="A115" s="5"/>
      <c r="H115" s="1"/>
      <c r="I115" s="1"/>
      <c r="J115" s="1"/>
      <c r="K115" s="1"/>
    </row>
    <row r="116" spans="1:11" ht="24" customHeight="1" x14ac:dyDescent="0.15">
      <c r="A116" s="5"/>
      <c r="H116" s="1"/>
      <c r="I116" s="1"/>
      <c r="J116" s="1"/>
      <c r="K116" s="1"/>
    </row>
    <row r="117" spans="1:11" ht="24" customHeight="1" x14ac:dyDescent="0.15">
      <c r="A117" s="5"/>
      <c r="H117" s="1"/>
      <c r="I117" s="1"/>
      <c r="J117" s="1"/>
      <c r="K117" s="1"/>
    </row>
    <row r="118" spans="1:11" ht="24" customHeight="1" x14ac:dyDescent="0.15">
      <c r="A118" s="5"/>
      <c r="H118" s="1"/>
      <c r="I118" s="1"/>
      <c r="J118" s="1"/>
      <c r="K118" s="1"/>
    </row>
    <row r="119" spans="1:11" ht="24" customHeight="1" x14ac:dyDescent="0.15">
      <c r="A119" s="5"/>
      <c r="H119" s="1"/>
      <c r="I119" s="1"/>
      <c r="J119" s="1"/>
      <c r="K119" s="1"/>
    </row>
    <row r="120" spans="1:11" ht="24" customHeight="1" x14ac:dyDescent="0.15">
      <c r="A120" s="5"/>
      <c r="H120" s="1"/>
      <c r="I120" s="1"/>
      <c r="J120" s="1"/>
      <c r="K120" s="1"/>
    </row>
    <row r="121" spans="1:11" ht="24" customHeight="1" x14ac:dyDescent="0.15">
      <c r="A121" s="5"/>
      <c r="H121" s="1"/>
      <c r="I121" s="1"/>
      <c r="J121" s="1"/>
      <c r="K121" s="1"/>
    </row>
    <row r="122" spans="1:11" ht="24" customHeight="1" x14ac:dyDescent="0.15">
      <c r="A122" s="5"/>
      <c r="H122" s="1"/>
      <c r="I122" s="1"/>
      <c r="J122" s="1"/>
      <c r="K122" s="1"/>
    </row>
    <row r="123" spans="1:11" ht="24" customHeight="1" x14ac:dyDescent="0.15">
      <c r="A123" s="5"/>
      <c r="H123" s="1"/>
      <c r="I123" s="1"/>
      <c r="J123" s="1"/>
      <c r="K123" s="1"/>
    </row>
    <row r="124" spans="1:11" ht="24" customHeight="1" x14ac:dyDescent="0.15">
      <c r="A124" s="5"/>
      <c r="H124" s="1"/>
      <c r="I124" s="1"/>
      <c r="J124" s="1"/>
      <c r="K124" s="1"/>
    </row>
    <row r="125" spans="1:11" ht="24" customHeight="1" x14ac:dyDescent="0.15">
      <c r="A125" s="5"/>
      <c r="H125" s="1"/>
      <c r="I125" s="1"/>
      <c r="J125" s="1"/>
      <c r="K125" s="1"/>
    </row>
    <row r="126" spans="1:11" ht="24" customHeight="1" x14ac:dyDescent="0.15">
      <c r="A126" s="5"/>
      <c r="H126" s="1"/>
      <c r="I126" s="1"/>
      <c r="J126" s="1"/>
      <c r="K126" s="1"/>
    </row>
    <row r="127" spans="1:11" ht="24" customHeight="1" x14ac:dyDescent="0.15">
      <c r="A127" s="5"/>
      <c r="H127" s="1"/>
      <c r="I127" s="1"/>
      <c r="J127" s="1"/>
      <c r="K127" s="1"/>
    </row>
    <row r="128" spans="1:11" ht="24" customHeight="1" x14ac:dyDescent="0.15">
      <c r="A128" s="5"/>
      <c r="H128" s="1"/>
      <c r="I128" s="1"/>
      <c r="J128" s="1"/>
      <c r="K128" s="1"/>
    </row>
    <row r="129" spans="1:11" ht="24" customHeight="1" x14ac:dyDescent="0.15">
      <c r="A129" s="5"/>
      <c r="H129" s="1"/>
      <c r="I129" s="1"/>
      <c r="J129" s="1"/>
      <c r="K129" s="1"/>
    </row>
    <row r="130" spans="1:11" ht="24" customHeight="1" x14ac:dyDescent="0.15">
      <c r="A130" s="5"/>
      <c r="H130" s="1"/>
      <c r="I130" s="1"/>
      <c r="J130" s="1"/>
      <c r="K130" s="1"/>
    </row>
    <row r="131" spans="1:11" ht="24" customHeight="1" x14ac:dyDescent="0.15">
      <c r="A131" s="5"/>
      <c r="H131" s="1"/>
      <c r="I131" s="1"/>
      <c r="J131" s="1"/>
      <c r="K131" s="1"/>
    </row>
    <row r="132" spans="1:11" ht="24" customHeight="1" x14ac:dyDescent="0.15">
      <c r="A132" s="5"/>
      <c r="H132" s="1"/>
      <c r="I132" s="1"/>
      <c r="J132" s="1"/>
      <c r="K132" s="1"/>
    </row>
    <row r="133" spans="1:11" ht="24" customHeight="1" x14ac:dyDescent="0.15">
      <c r="A133" s="5"/>
      <c r="H133" s="1"/>
      <c r="I133" s="1"/>
      <c r="J133" s="1"/>
      <c r="K133" s="1"/>
    </row>
    <row r="134" spans="1:11" ht="24" customHeight="1" x14ac:dyDescent="0.15">
      <c r="A134" s="5"/>
      <c r="H134" s="1"/>
      <c r="I134" s="1"/>
      <c r="J134" s="1"/>
      <c r="K134" s="1"/>
    </row>
    <row r="135" spans="1:11" ht="24" customHeight="1" x14ac:dyDescent="0.15">
      <c r="A135" s="5"/>
      <c r="H135" s="1"/>
      <c r="I135" s="1"/>
      <c r="J135" s="1"/>
      <c r="K135" s="1"/>
    </row>
    <row r="136" spans="1:11" ht="24" customHeight="1" x14ac:dyDescent="0.15">
      <c r="A136" s="5"/>
      <c r="H136" s="1"/>
      <c r="I136" s="1"/>
      <c r="J136" s="1"/>
      <c r="K136" s="1"/>
    </row>
    <row r="137" spans="1:11" ht="24" customHeight="1" x14ac:dyDescent="0.15">
      <c r="A137" s="5"/>
      <c r="H137" s="1"/>
      <c r="I137" s="1"/>
      <c r="J137" s="1"/>
      <c r="K137" s="1"/>
    </row>
    <row r="138" spans="1:11" ht="24" customHeight="1" x14ac:dyDescent="0.15">
      <c r="A138" s="5"/>
      <c r="H138" s="1"/>
      <c r="I138" s="1"/>
      <c r="J138" s="1"/>
      <c r="K138" s="1"/>
    </row>
    <row r="139" spans="1:11" ht="24" customHeight="1" x14ac:dyDescent="0.15">
      <c r="A139" s="5"/>
      <c r="H139" s="1"/>
      <c r="I139" s="1"/>
      <c r="J139" s="1"/>
      <c r="K139" s="1"/>
    </row>
    <row r="140" spans="1:11" ht="24" customHeight="1" x14ac:dyDescent="0.15">
      <c r="A140" s="5"/>
      <c r="H140" s="1"/>
      <c r="I140" s="1"/>
      <c r="J140" s="1"/>
      <c r="K140" s="1"/>
    </row>
    <row r="141" spans="1:11" ht="24" customHeight="1" x14ac:dyDescent="0.15">
      <c r="A141" s="5"/>
      <c r="H141" s="1"/>
      <c r="I141" s="1"/>
      <c r="J141" s="1"/>
      <c r="K141" s="1"/>
    </row>
    <row r="142" spans="1:11" ht="24" customHeight="1" x14ac:dyDescent="0.15">
      <c r="A142" s="5"/>
      <c r="H142" s="1"/>
      <c r="I142" s="1"/>
      <c r="J142" s="1"/>
      <c r="K142" s="1"/>
    </row>
    <row r="143" spans="1:11" ht="24" customHeight="1" x14ac:dyDescent="0.15">
      <c r="A143" s="5"/>
      <c r="H143" s="1"/>
      <c r="I143" s="1"/>
      <c r="J143" s="1"/>
      <c r="K143" s="1"/>
    </row>
    <row r="144" spans="1:11" ht="24" customHeight="1" x14ac:dyDescent="0.15">
      <c r="A144" s="5"/>
      <c r="H144" s="1"/>
      <c r="I144" s="1"/>
      <c r="J144" s="1"/>
      <c r="K144" s="1"/>
    </row>
    <row r="145" spans="1:11" ht="24" customHeight="1" x14ac:dyDescent="0.15">
      <c r="A145" s="5"/>
      <c r="H145" s="1"/>
      <c r="I145" s="1"/>
      <c r="J145" s="1"/>
      <c r="K145" s="1"/>
    </row>
    <row r="146" spans="1:11" ht="24" customHeight="1" x14ac:dyDescent="0.15">
      <c r="A146" s="5"/>
      <c r="H146" s="1"/>
      <c r="I146" s="1"/>
      <c r="J146" s="1"/>
      <c r="K146" s="1"/>
    </row>
    <row r="147" spans="1:11" ht="24" customHeight="1" x14ac:dyDescent="0.15">
      <c r="A147" s="5"/>
      <c r="H147" s="1"/>
      <c r="I147" s="1"/>
      <c r="J147" s="1"/>
      <c r="K147" s="1"/>
    </row>
    <row r="148" spans="1:11" ht="24" customHeight="1" x14ac:dyDescent="0.15">
      <c r="A148" s="5"/>
      <c r="H148" s="1"/>
      <c r="I148" s="1"/>
      <c r="J148" s="1"/>
      <c r="K148" s="1"/>
    </row>
    <row r="149" spans="1:11" ht="24" customHeight="1" x14ac:dyDescent="0.15">
      <c r="A149" s="5"/>
      <c r="H149" s="1"/>
      <c r="I149" s="1"/>
      <c r="J149" s="1"/>
      <c r="K149" s="1"/>
    </row>
    <row r="150" spans="1:11" ht="24" customHeight="1" x14ac:dyDescent="0.15">
      <c r="A150" s="5"/>
      <c r="H150" s="1"/>
      <c r="I150" s="1"/>
      <c r="J150" s="1"/>
      <c r="K150" s="1"/>
    </row>
    <row r="151" spans="1:11" ht="24" customHeight="1" x14ac:dyDescent="0.15">
      <c r="A151" s="5"/>
      <c r="H151" s="1"/>
      <c r="I151" s="1"/>
      <c r="J151" s="1"/>
      <c r="K151" s="1"/>
    </row>
    <row r="152" spans="1:11" ht="24" customHeight="1" x14ac:dyDescent="0.15">
      <c r="A152" s="5"/>
      <c r="H152" s="1"/>
      <c r="I152" s="1"/>
      <c r="J152" s="1"/>
      <c r="K152" s="1"/>
    </row>
    <row r="153" spans="1:11" ht="24" customHeight="1" x14ac:dyDescent="0.15">
      <c r="A153" s="5"/>
      <c r="H153" s="1"/>
      <c r="I153" s="1"/>
      <c r="J153" s="1"/>
      <c r="K153" s="1"/>
    </row>
    <row r="154" spans="1:11" ht="24" customHeight="1" x14ac:dyDescent="0.15">
      <c r="A154" s="5"/>
      <c r="H154" s="1"/>
      <c r="I154" s="1"/>
      <c r="J154" s="1"/>
      <c r="K154" s="1"/>
    </row>
    <row r="155" spans="1:11" ht="24" customHeight="1" x14ac:dyDescent="0.15">
      <c r="A155" s="5"/>
      <c r="H155" s="1"/>
      <c r="I155" s="1"/>
      <c r="J155" s="1"/>
      <c r="K155" s="1"/>
    </row>
    <row r="156" spans="1:11" ht="24" customHeight="1" x14ac:dyDescent="0.15">
      <c r="A156" s="5"/>
      <c r="H156" s="1"/>
      <c r="I156" s="1"/>
      <c r="J156" s="1"/>
      <c r="K156" s="1"/>
    </row>
    <row r="157" spans="1:11" ht="24" customHeight="1" x14ac:dyDescent="0.15">
      <c r="A157" s="5"/>
      <c r="H157" s="1"/>
      <c r="I157" s="1"/>
      <c r="J157" s="1"/>
      <c r="K157" s="1"/>
    </row>
    <row r="158" spans="1:11" ht="24" customHeight="1" x14ac:dyDescent="0.15">
      <c r="A158" s="5"/>
      <c r="H158" s="1"/>
      <c r="I158" s="1"/>
      <c r="J158" s="1"/>
      <c r="K158" s="1"/>
    </row>
    <row r="159" spans="1:11" ht="24" customHeight="1" x14ac:dyDescent="0.15">
      <c r="A159" s="5"/>
      <c r="H159" s="1"/>
      <c r="I159" s="1"/>
      <c r="J159" s="1"/>
      <c r="K159" s="1"/>
    </row>
    <row r="160" spans="1:11" ht="24" customHeight="1" x14ac:dyDescent="0.15">
      <c r="A160" s="5"/>
      <c r="H160" s="1"/>
      <c r="I160" s="1"/>
      <c r="J160" s="1"/>
      <c r="K160" s="1"/>
    </row>
    <row r="161" spans="1:11" ht="24" customHeight="1" x14ac:dyDescent="0.15">
      <c r="A161" s="5"/>
      <c r="H161" s="1"/>
      <c r="I161" s="1"/>
      <c r="J161" s="1"/>
      <c r="K161" s="1"/>
    </row>
    <row r="162" spans="1:11" ht="24" customHeight="1" x14ac:dyDescent="0.15">
      <c r="A162" s="5"/>
      <c r="H162" s="1"/>
      <c r="I162" s="1"/>
      <c r="J162" s="1"/>
      <c r="K162" s="1"/>
    </row>
    <row r="163" spans="1:11" ht="24" customHeight="1" x14ac:dyDescent="0.15">
      <c r="A163" s="5"/>
      <c r="H163" s="1"/>
      <c r="I163" s="1"/>
      <c r="J163" s="1"/>
      <c r="K163" s="1"/>
    </row>
    <row r="164" spans="1:11" ht="24" customHeight="1" x14ac:dyDescent="0.15">
      <c r="A164" s="5"/>
      <c r="H164" s="1"/>
      <c r="I164" s="1"/>
      <c r="J164" s="1"/>
      <c r="K164" s="1"/>
    </row>
    <row r="165" spans="1:11" ht="24" customHeight="1" x14ac:dyDescent="0.15">
      <c r="A165" s="5"/>
      <c r="H165" s="1"/>
      <c r="I165" s="1"/>
      <c r="J165" s="1"/>
      <c r="K165" s="1"/>
    </row>
    <row r="166" spans="1:11" ht="24" customHeight="1" x14ac:dyDescent="0.15">
      <c r="A166" s="5"/>
      <c r="H166" s="1"/>
      <c r="I166" s="1"/>
      <c r="J166" s="1"/>
      <c r="K166" s="1"/>
    </row>
    <row r="167" spans="1:11" ht="24" customHeight="1" x14ac:dyDescent="0.15">
      <c r="A167" s="5"/>
      <c r="H167" s="1"/>
      <c r="I167" s="1"/>
      <c r="J167" s="1"/>
      <c r="K167" s="1"/>
    </row>
    <row r="168" spans="1:11" ht="24" customHeight="1" x14ac:dyDescent="0.15">
      <c r="A168" s="5"/>
      <c r="H168" s="1"/>
      <c r="I168" s="1"/>
      <c r="J168" s="1"/>
      <c r="K168" s="1"/>
    </row>
    <row r="169" spans="1:11" ht="24" customHeight="1" x14ac:dyDescent="0.15">
      <c r="A169" s="5"/>
      <c r="H169" s="1"/>
      <c r="I169" s="1"/>
      <c r="J169" s="1"/>
      <c r="K169" s="1"/>
    </row>
    <row r="170" spans="1:11" ht="24" customHeight="1" x14ac:dyDescent="0.15">
      <c r="A170" s="5"/>
      <c r="H170" s="1"/>
      <c r="I170" s="1"/>
      <c r="J170" s="1"/>
      <c r="K170" s="1"/>
    </row>
    <row r="171" spans="1:11" ht="24" customHeight="1" x14ac:dyDescent="0.15">
      <c r="A171" s="5"/>
      <c r="H171" s="1"/>
      <c r="I171" s="1"/>
      <c r="J171" s="1"/>
      <c r="K171" s="1"/>
    </row>
    <row r="172" spans="1:11" ht="24" customHeight="1" x14ac:dyDescent="0.15">
      <c r="A172" s="5"/>
      <c r="H172" s="1"/>
      <c r="I172" s="1"/>
      <c r="J172" s="1"/>
      <c r="K172" s="1"/>
    </row>
    <row r="173" spans="1:11" ht="24" customHeight="1" x14ac:dyDescent="0.15">
      <c r="A173" s="5"/>
      <c r="H173" s="1"/>
      <c r="I173" s="1"/>
      <c r="J173" s="1"/>
      <c r="K173" s="1"/>
    </row>
    <row r="174" spans="1:11" ht="24" customHeight="1" x14ac:dyDescent="0.15">
      <c r="A174" s="5"/>
      <c r="H174" s="1"/>
      <c r="I174" s="1"/>
      <c r="J174" s="1"/>
      <c r="K174" s="1"/>
    </row>
    <row r="175" spans="1:11" ht="24" customHeight="1" x14ac:dyDescent="0.15">
      <c r="A175" s="5"/>
      <c r="H175" s="1"/>
      <c r="I175" s="1"/>
      <c r="J175" s="1"/>
      <c r="K175" s="1"/>
    </row>
    <row r="176" spans="1:11" ht="24" customHeight="1" x14ac:dyDescent="0.15">
      <c r="A176" s="5"/>
      <c r="H176" s="1"/>
      <c r="I176" s="1"/>
      <c r="J176" s="1"/>
      <c r="K176" s="1"/>
    </row>
    <row r="177" spans="1:11" ht="24" customHeight="1" x14ac:dyDescent="0.15">
      <c r="A177" s="5"/>
      <c r="H177" s="1"/>
      <c r="I177" s="1"/>
      <c r="J177" s="1"/>
      <c r="K177" s="1"/>
    </row>
    <row r="178" spans="1:11" ht="24" customHeight="1" x14ac:dyDescent="0.15">
      <c r="A178" s="5"/>
      <c r="H178" s="1"/>
      <c r="I178" s="1"/>
      <c r="J178" s="1"/>
      <c r="K178" s="1"/>
    </row>
    <row r="179" spans="1:11" ht="24" customHeight="1" x14ac:dyDescent="0.15">
      <c r="A179" s="5"/>
      <c r="H179" s="1"/>
      <c r="I179" s="1"/>
      <c r="J179" s="1"/>
      <c r="K179" s="1"/>
    </row>
    <row r="180" spans="1:11" ht="24" customHeight="1" x14ac:dyDescent="0.15">
      <c r="A180" s="5"/>
      <c r="H180" s="1"/>
      <c r="I180" s="1"/>
      <c r="J180" s="1"/>
      <c r="K180" s="1"/>
    </row>
    <row r="181" spans="1:11" ht="24" customHeight="1" x14ac:dyDescent="0.15">
      <c r="A181" s="5"/>
      <c r="H181" s="1"/>
      <c r="I181" s="1"/>
      <c r="J181" s="1"/>
      <c r="K181" s="1"/>
    </row>
    <row r="182" spans="1:11" ht="24" customHeight="1" x14ac:dyDescent="0.15">
      <c r="A182" s="5"/>
      <c r="H182" s="1"/>
      <c r="I182" s="1"/>
      <c r="J182" s="1"/>
      <c r="K182" s="1"/>
    </row>
    <row r="183" spans="1:11" ht="24" customHeight="1" x14ac:dyDescent="0.15">
      <c r="A183" s="5"/>
      <c r="H183" s="1"/>
      <c r="I183" s="1"/>
      <c r="J183" s="1"/>
      <c r="K183" s="1"/>
    </row>
    <row r="184" spans="1:11" ht="24" customHeight="1" x14ac:dyDescent="0.15">
      <c r="A184" s="5"/>
      <c r="H184" s="1"/>
      <c r="I184" s="1"/>
      <c r="J184" s="1"/>
      <c r="K184" s="1"/>
    </row>
    <row r="185" spans="1:11" ht="24" customHeight="1" x14ac:dyDescent="0.15">
      <c r="A185" s="5"/>
      <c r="H185" s="1"/>
      <c r="I185" s="1"/>
      <c r="J185" s="1"/>
      <c r="K185" s="1"/>
    </row>
    <row r="186" spans="1:11" ht="24" customHeight="1" x14ac:dyDescent="0.15">
      <c r="A186" s="5"/>
      <c r="H186" s="1"/>
      <c r="I186" s="1"/>
      <c r="J186" s="1"/>
      <c r="K186" s="1"/>
    </row>
    <row r="187" spans="1:11" ht="24" customHeight="1" x14ac:dyDescent="0.15">
      <c r="A187" s="5"/>
      <c r="H187" s="1"/>
      <c r="I187" s="1"/>
      <c r="J187" s="1"/>
      <c r="K187" s="1"/>
    </row>
    <row r="188" spans="1:11" ht="24" customHeight="1" x14ac:dyDescent="0.15">
      <c r="A188" s="5"/>
      <c r="H188" s="1"/>
      <c r="I188" s="1"/>
      <c r="J188" s="1"/>
      <c r="K188" s="1"/>
    </row>
    <row r="189" spans="1:11" ht="24" customHeight="1" x14ac:dyDescent="0.15">
      <c r="A189" s="5"/>
      <c r="H189" s="1"/>
      <c r="I189" s="1"/>
      <c r="J189" s="1"/>
      <c r="K189" s="1"/>
    </row>
    <row r="190" spans="1:11" ht="24" customHeight="1" x14ac:dyDescent="0.15">
      <c r="A190" s="5"/>
      <c r="H190" s="1"/>
      <c r="I190" s="1"/>
      <c r="J190" s="1"/>
      <c r="K190" s="1"/>
    </row>
    <row r="191" spans="1:11" ht="24" customHeight="1" x14ac:dyDescent="0.15">
      <c r="A191" s="5"/>
      <c r="H191" s="1"/>
      <c r="I191" s="1"/>
      <c r="J191" s="1"/>
      <c r="K191" s="1"/>
    </row>
    <row r="192" spans="1:11" ht="24" customHeight="1" x14ac:dyDescent="0.15">
      <c r="A192" s="5"/>
      <c r="H192" s="1"/>
      <c r="I192" s="1"/>
      <c r="J192" s="1"/>
      <c r="K192" s="1"/>
    </row>
    <row r="193" spans="1:11" ht="24" customHeight="1" x14ac:dyDescent="0.15">
      <c r="A193" s="5"/>
      <c r="H193" s="1"/>
      <c r="I193" s="1"/>
      <c r="J193" s="1"/>
      <c r="K193" s="1"/>
    </row>
    <row r="194" spans="1:11" ht="24" customHeight="1" x14ac:dyDescent="0.15">
      <c r="A194" s="5"/>
      <c r="H194" s="1"/>
      <c r="I194" s="1"/>
      <c r="J194" s="1"/>
      <c r="K194" s="1"/>
    </row>
    <row r="195" spans="1:11" ht="24" customHeight="1" x14ac:dyDescent="0.15">
      <c r="A195" s="5"/>
      <c r="H195" s="1"/>
      <c r="I195" s="1"/>
      <c r="J195" s="1"/>
      <c r="K195" s="1"/>
    </row>
    <row r="196" spans="1:11" ht="24" customHeight="1" x14ac:dyDescent="0.15">
      <c r="A196" s="5"/>
      <c r="H196" s="1"/>
      <c r="I196" s="1"/>
      <c r="J196" s="1"/>
      <c r="K196" s="1"/>
    </row>
    <row r="197" spans="1:11" ht="24" customHeight="1" x14ac:dyDescent="0.15">
      <c r="A197" s="5"/>
      <c r="H197" s="1"/>
      <c r="I197" s="1"/>
      <c r="J197" s="1"/>
      <c r="K197" s="1"/>
    </row>
    <row r="198" spans="1:11" ht="24" customHeight="1" x14ac:dyDescent="0.15">
      <c r="A198" s="5"/>
      <c r="H198" s="1"/>
      <c r="I198" s="1"/>
      <c r="J198" s="1"/>
      <c r="K198" s="1"/>
    </row>
    <row r="199" spans="1:11" ht="24" customHeight="1" x14ac:dyDescent="0.15">
      <c r="A199" s="5"/>
      <c r="H199" s="1"/>
      <c r="I199" s="1"/>
      <c r="J199" s="1"/>
      <c r="K199" s="1"/>
    </row>
    <row r="200" spans="1:11" ht="24" customHeight="1" x14ac:dyDescent="0.15">
      <c r="A200" s="5"/>
      <c r="H200" s="1"/>
      <c r="I200" s="1"/>
      <c r="J200" s="1"/>
      <c r="K200" s="1"/>
    </row>
    <row r="201" spans="1:11" ht="24" customHeight="1" x14ac:dyDescent="0.15">
      <c r="A201" s="5"/>
      <c r="H201" s="1"/>
      <c r="I201" s="1"/>
      <c r="J201" s="1"/>
      <c r="K201" s="1"/>
    </row>
    <row r="202" spans="1:11" ht="24" customHeight="1" x14ac:dyDescent="0.15">
      <c r="A202" s="5"/>
      <c r="H202" s="1"/>
      <c r="I202" s="1"/>
      <c r="J202" s="1"/>
      <c r="K202" s="1"/>
    </row>
    <row r="203" spans="1:11" ht="24" customHeight="1" x14ac:dyDescent="0.15">
      <c r="A203" s="5"/>
      <c r="H203" s="1"/>
      <c r="I203" s="1"/>
      <c r="J203" s="1"/>
      <c r="K203" s="1"/>
    </row>
    <row r="204" spans="1:11" ht="24" customHeight="1" x14ac:dyDescent="0.15">
      <c r="A204" s="5"/>
      <c r="H204" s="1"/>
      <c r="I204" s="1"/>
      <c r="J204" s="1"/>
      <c r="K204" s="1"/>
    </row>
    <row r="205" spans="1:11" ht="24" customHeight="1" x14ac:dyDescent="0.15">
      <c r="A205" s="5"/>
      <c r="H205" s="1"/>
      <c r="I205" s="1"/>
      <c r="J205" s="1"/>
      <c r="K205" s="1"/>
    </row>
    <row r="206" spans="1:11" ht="24" customHeight="1" x14ac:dyDescent="0.15">
      <c r="A206" s="5"/>
      <c r="H206" s="1"/>
      <c r="I206" s="1"/>
      <c r="J206" s="1"/>
      <c r="K206" s="1"/>
    </row>
    <row r="207" spans="1:11" ht="24" customHeight="1" x14ac:dyDescent="0.15">
      <c r="A207" s="5"/>
      <c r="H207" s="1"/>
      <c r="I207" s="1"/>
      <c r="J207" s="1"/>
      <c r="K207" s="1"/>
    </row>
    <row r="208" spans="1:11" ht="24" customHeight="1" x14ac:dyDescent="0.15">
      <c r="A208" s="5"/>
      <c r="H208" s="1"/>
      <c r="I208" s="1"/>
      <c r="J208" s="1"/>
      <c r="K208" s="1"/>
    </row>
    <row r="209" spans="1:11" ht="24" customHeight="1" x14ac:dyDescent="0.15">
      <c r="A209" s="5"/>
      <c r="H209" s="1"/>
      <c r="I209" s="1"/>
      <c r="J209" s="1"/>
      <c r="K209" s="1"/>
    </row>
    <row r="210" spans="1:11" ht="24" customHeight="1" x14ac:dyDescent="0.15">
      <c r="A210" s="5"/>
      <c r="H210" s="1"/>
      <c r="I210" s="1"/>
      <c r="J210" s="1"/>
      <c r="K210" s="1"/>
    </row>
    <row r="211" spans="1:11" ht="24" customHeight="1" x14ac:dyDescent="0.15">
      <c r="A211" s="5"/>
      <c r="H211" s="1"/>
      <c r="I211" s="1"/>
      <c r="J211" s="1"/>
      <c r="K211" s="1"/>
    </row>
    <row r="212" spans="1:11" ht="24" customHeight="1" x14ac:dyDescent="0.15">
      <c r="A212" s="5"/>
      <c r="H212" s="1"/>
      <c r="I212" s="1"/>
      <c r="J212" s="1"/>
      <c r="K212" s="1"/>
    </row>
    <row r="213" spans="1:11" ht="24" customHeight="1" x14ac:dyDescent="0.15">
      <c r="A213" s="5"/>
      <c r="H213" s="1"/>
      <c r="I213" s="1"/>
      <c r="J213" s="1"/>
      <c r="K213" s="1"/>
    </row>
    <row r="214" spans="1:11" ht="24" customHeight="1" x14ac:dyDescent="0.15">
      <c r="A214" s="5"/>
      <c r="H214" s="1"/>
      <c r="I214" s="1"/>
      <c r="J214" s="1"/>
      <c r="K214" s="1"/>
    </row>
    <row r="215" spans="1:11" ht="24" customHeight="1" x14ac:dyDescent="0.15">
      <c r="A215" s="5"/>
      <c r="H215" s="1"/>
      <c r="I215" s="1"/>
      <c r="J215" s="1"/>
      <c r="K215" s="1"/>
    </row>
    <row r="216" spans="1:11" ht="24" customHeight="1" x14ac:dyDescent="0.15">
      <c r="A216" s="5"/>
      <c r="H216" s="1"/>
      <c r="I216" s="1"/>
      <c r="J216" s="1"/>
      <c r="K216" s="1"/>
    </row>
    <row r="217" spans="1:11" ht="24" customHeight="1" x14ac:dyDescent="0.15">
      <c r="A217" s="5"/>
      <c r="H217" s="1"/>
      <c r="I217" s="1"/>
      <c r="J217" s="1"/>
      <c r="K217" s="1"/>
    </row>
    <row r="218" spans="1:11" ht="24" customHeight="1" x14ac:dyDescent="0.15">
      <c r="A218" s="5"/>
      <c r="H218" s="1"/>
      <c r="I218" s="1"/>
      <c r="J218" s="1"/>
      <c r="K218" s="1"/>
    </row>
    <row r="219" spans="1:11" ht="24" customHeight="1" x14ac:dyDescent="0.15">
      <c r="A219" s="5"/>
      <c r="H219" s="1"/>
      <c r="I219" s="1"/>
      <c r="J219" s="1"/>
      <c r="K219" s="1"/>
    </row>
    <row r="220" spans="1:11" ht="24" customHeight="1" x14ac:dyDescent="0.15">
      <c r="A220" s="5"/>
      <c r="H220" s="1"/>
      <c r="I220" s="1"/>
      <c r="J220" s="1"/>
      <c r="K220" s="1"/>
    </row>
    <row r="221" spans="1:11" ht="24" customHeight="1" x14ac:dyDescent="0.15">
      <c r="A221" s="5"/>
      <c r="H221" s="1"/>
      <c r="I221" s="1"/>
      <c r="J221" s="1"/>
      <c r="K221" s="1"/>
    </row>
    <row r="222" spans="1:11" ht="24" customHeight="1" x14ac:dyDescent="0.15">
      <c r="A222" s="5"/>
      <c r="H222" s="1"/>
      <c r="I222" s="1"/>
      <c r="J222" s="1"/>
      <c r="K222" s="1"/>
    </row>
    <row r="223" spans="1:11" ht="24" customHeight="1" x14ac:dyDescent="0.15">
      <c r="A223" s="5"/>
      <c r="H223" s="1"/>
      <c r="I223" s="1"/>
      <c r="J223" s="1"/>
      <c r="K223" s="1"/>
    </row>
    <row r="224" spans="1:11" ht="24" customHeight="1" x14ac:dyDescent="0.15">
      <c r="A224" s="5"/>
      <c r="H224" s="1"/>
      <c r="I224" s="1"/>
      <c r="J224" s="1"/>
      <c r="K224" s="1"/>
    </row>
    <row r="225" spans="1:11" ht="24" customHeight="1" x14ac:dyDescent="0.15">
      <c r="A225" s="5"/>
      <c r="H225" s="1"/>
      <c r="I225" s="1"/>
      <c r="J225" s="1"/>
      <c r="K225" s="1"/>
    </row>
    <row r="226" spans="1:11" ht="24" customHeight="1" x14ac:dyDescent="0.15">
      <c r="A226" s="5"/>
      <c r="H226" s="1"/>
      <c r="I226" s="1"/>
      <c r="J226" s="1"/>
      <c r="K226" s="1"/>
    </row>
    <row r="227" spans="1:11" ht="12.75" customHeight="1" x14ac:dyDescent="0.15">
      <c r="A227" s="5"/>
      <c r="H227" s="1"/>
      <c r="I227" s="1"/>
      <c r="J227" s="1"/>
      <c r="K227" s="1"/>
    </row>
    <row r="228" spans="1:11" ht="12.75" customHeight="1" x14ac:dyDescent="0.15">
      <c r="A228" s="5"/>
      <c r="H228" s="1"/>
      <c r="I228" s="1"/>
      <c r="J228" s="1"/>
      <c r="K228" s="1"/>
    </row>
    <row r="229" spans="1:11" ht="12.75" customHeight="1" x14ac:dyDescent="0.15">
      <c r="A229" s="5"/>
      <c r="H229" s="1"/>
      <c r="I229" s="1"/>
      <c r="J229" s="1"/>
      <c r="K229" s="1"/>
    </row>
    <row r="230" spans="1:11" ht="12.75" customHeight="1" x14ac:dyDescent="0.15">
      <c r="A230" s="5"/>
      <c r="H230" s="1"/>
      <c r="I230" s="1"/>
      <c r="J230" s="1"/>
      <c r="K230" s="1"/>
    </row>
    <row r="231" spans="1:11" ht="12.75" customHeight="1" x14ac:dyDescent="0.15">
      <c r="A231" s="5"/>
      <c r="H231" s="1"/>
      <c r="I231" s="1"/>
      <c r="J231" s="1"/>
      <c r="K231" s="1"/>
    </row>
    <row r="232" spans="1:11" ht="12.75" customHeight="1" x14ac:dyDescent="0.15">
      <c r="A232" s="5"/>
      <c r="H232" s="1"/>
      <c r="I232" s="1"/>
      <c r="J232" s="1"/>
      <c r="K232" s="1"/>
    </row>
    <row r="233" spans="1:11" ht="12.75" customHeight="1" x14ac:dyDescent="0.15">
      <c r="A233" s="5"/>
      <c r="H233" s="1"/>
      <c r="I233" s="1"/>
      <c r="J233" s="1"/>
      <c r="K233" s="1"/>
    </row>
    <row r="234" spans="1:11" ht="12.75" customHeight="1" x14ac:dyDescent="0.15">
      <c r="A234" s="5"/>
      <c r="H234" s="1"/>
      <c r="I234" s="1"/>
      <c r="J234" s="1"/>
      <c r="K234" s="1"/>
    </row>
    <row r="235" spans="1:11" ht="12.75" customHeight="1" x14ac:dyDescent="0.15">
      <c r="A235" s="5"/>
      <c r="H235" s="1"/>
      <c r="I235" s="1"/>
      <c r="J235" s="1"/>
      <c r="K235" s="1"/>
    </row>
    <row r="236" spans="1:11" ht="12.75" customHeight="1" x14ac:dyDescent="0.15">
      <c r="A236" s="5"/>
      <c r="H236" s="1"/>
      <c r="I236" s="1"/>
      <c r="J236" s="1"/>
      <c r="K236" s="1"/>
    </row>
    <row r="237" spans="1:11" ht="12.75" customHeight="1" x14ac:dyDescent="0.15">
      <c r="A237" s="5"/>
      <c r="H237" s="1"/>
      <c r="I237" s="1"/>
      <c r="J237" s="1"/>
      <c r="K237" s="1"/>
    </row>
    <row r="238" spans="1:11" ht="12.75" customHeight="1" x14ac:dyDescent="0.15">
      <c r="A238" s="5"/>
      <c r="H238" s="1"/>
      <c r="I238" s="1"/>
      <c r="J238" s="1"/>
      <c r="K238" s="1"/>
    </row>
    <row r="239" spans="1:11" ht="12.75" customHeight="1" x14ac:dyDescent="0.15">
      <c r="A239" s="5"/>
      <c r="H239" s="1"/>
      <c r="I239" s="1"/>
      <c r="J239" s="1"/>
      <c r="K239" s="1"/>
    </row>
    <row r="240" spans="1:11" ht="12.75" customHeight="1" x14ac:dyDescent="0.15">
      <c r="A240" s="5"/>
      <c r="H240" s="1"/>
      <c r="I240" s="1"/>
      <c r="J240" s="1"/>
      <c r="K240" s="1"/>
    </row>
    <row r="241" spans="1:11" ht="12.75" customHeight="1" x14ac:dyDescent="0.15">
      <c r="A241" s="5"/>
      <c r="H241" s="1"/>
      <c r="I241" s="1"/>
      <c r="J241" s="1"/>
      <c r="K241" s="1"/>
    </row>
    <row r="242" spans="1:11" ht="12.75" customHeight="1" x14ac:dyDescent="0.15">
      <c r="A242" s="5"/>
      <c r="H242" s="1"/>
      <c r="I242" s="1"/>
      <c r="J242" s="1"/>
      <c r="K242" s="1"/>
    </row>
    <row r="243" spans="1:11" ht="12.75" customHeight="1" x14ac:dyDescent="0.15">
      <c r="A243" s="5"/>
      <c r="H243" s="1"/>
      <c r="I243" s="1"/>
      <c r="J243" s="1"/>
      <c r="K243" s="1"/>
    </row>
    <row r="244" spans="1:11" ht="12.75" customHeight="1" x14ac:dyDescent="0.15">
      <c r="A244" s="5"/>
      <c r="H244" s="1"/>
      <c r="I244" s="1"/>
      <c r="J244" s="1"/>
      <c r="K244" s="1"/>
    </row>
    <row r="245" spans="1:11" ht="12.75" customHeight="1" x14ac:dyDescent="0.15">
      <c r="A245" s="5"/>
      <c r="H245" s="1"/>
      <c r="I245" s="1"/>
      <c r="J245" s="1"/>
      <c r="K245" s="1"/>
    </row>
    <row r="246" spans="1:11" ht="12.75" customHeight="1" x14ac:dyDescent="0.15">
      <c r="A246" s="5"/>
      <c r="H246" s="1"/>
      <c r="I246" s="1"/>
      <c r="J246" s="1"/>
      <c r="K246" s="1"/>
    </row>
    <row r="247" spans="1:11" ht="12.75" customHeight="1" x14ac:dyDescent="0.15">
      <c r="A247" s="5"/>
      <c r="H247" s="1"/>
      <c r="I247" s="1"/>
      <c r="J247" s="1"/>
      <c r="K247" s="1"/>
    </row>
    <row r="248" spans="1:11" ht="12.75" customHeight="1" x14ac:dyDescent="0.15">
      <c r="A248" s="5"/>
      <c r="H248" s="1"/>
      <c r="I248" s="1"/>
      <c r="J248" s="1"/>
      <c r="K248" s="1"/>
    </row>
    <row r="249" spans="1:11" ht="12.75" customHeight="1" x14ac:dyDescent="0.15">
      <c r="A249" s="5"/>
      <c r="H249" s="1"/>
      <c r="I249" s="1"/>
      <c r="J249" s="1"/>
      <c r="K249" s="1"/>
    </row>
    <row r="250" spans="1:11" ht="12.75" customHeight="1" x14ac:dyDescent="0.15">
      <c r="A250" s="5"/>
      <c r="H250" s="1"/>
      <c r="I250" s="1"/>
      <c r="J250" s="1"/>
      <c r="K250" s="1"/>
    </row>
    <row r="251" spans="1:11" ht="12.75" customHeight="1" x14ac:dyDescent="0.15">
      <c r="A251" s="5"/>
      <c r="H251" s="1"/>
      <c r="I251" s="1"/>
      <c r="J251" s="1"/>
      <c r="K251" s="1"/>
    </row>
    <row r="252" spans="1:11" ht="12.75" customHeight="1" x14ac:dyDescent="0.15">
      <c r="A252" s="5"/>
      <c r="H252" s="1"/>
      <c r="I252" s="1"/>
      <c r="J252" s="1"/>
      <c r="K252" s="1"/>
    </row>
    <row r="253" spans="1:11" ht="12.75" customHeight="1" x14ac:dyDescent="0.15">
      <c r="A253" s="5"/>
      <c r="H253" s="1"/>
      <c r="I253" s="1"/>
      <c r="J253" s="1"/>
      <c r="K253" s="1"/>
    </row>
    <row r="254" spans="1:11" ht="12.75" customHeight="1" x14ac:dyDescent="0.15">
      <c r="A254" s="5"/>
      <c r="H254" s="1"/>
      <c r="I254" s="1"/>
      <c r="J254" s="1"/>
      <c r="K254" s="1"/>
    </row>
    <row r="255" spans="1:11" ht="12.75" customHeight="1" x14ac:dyDescent="0.15">
      <c r="A255" s="5"/>
      <c r="H255" s="1"/>
      <c r="I255" s="1"/>
      <c r="J255" s="1"/>
      <c r="K255" s="1"/>
    </row>
    <row r="256" spans="1:11" ht="12.75" customHeight="1" x14ac:dyDescent="0.15">
      <c r="A256" s="5"/>
      <c r="H256" s="1"/>
      <c r="I256" s="1"/>
      <c r="J256" s="1"/>
      <c r="K256" s="1"/>
    </row>
    <row r="257" spans="1:11" ht="12.75" customHeight="1" x14ac:dyDescent="0.15">
      <c r="A257" s="5"/>
      <c r="H257" s="1"/>
      <c r="I257" s="1"/>
      <c r="J257" s="1"/>
      <c r="K257" s="1"/>
    </row>
    <row r="258" spans="1:11" ht="12.75" customHeight="1" x14ac:dyDescent="0.15">
      <c r="A258" s="5"/>
      <c r="H258" s="1"/>
      <c r="I258" s="1"/>
      <c r="J258" s="1"/>
      <c r="K258" s="1"/>
    </row>
    <row r="259" spans="1:11" ht="12.75" customHeight="1" x14ac:dyDescent="0.15">
      <c r="A259" s="5"/>
      <c r="H259" s="1"/>
      <c r="I259" s="1"/>
      <c r="J259" s="1"/>
      <c r="K259" s="1"/>
    </row>
    <row r="260" spans="1:11" ht="12.75" customHeight="1" x14ac:dyDescent="0.15">
      <c r="A260" s="5"/>
      <c r="H260" s="1"/>
      <c r="I260" s="1"/>
      <c r="J260" s="1"/>
      <c r="K260" s="1"/>
    </row>
    <row r="261" spans="1:11" ht="12.75" customHeight="1" x14ac:dyDescent="0.15">
      <c r="A261" s="5"/>
      <c r="H261" s="1"/>
      <c r="I261" s="1"/>
      <c r="J261" s="1"/>
      <c r="K261" s="1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1545C-1A94-4612-B86D-DBD5EFB87C21}">
  <sheetPr codeName="Hoja6"/>
  <dimension ref="A1:IO261"/>
  <sheetViews>
    <sheetView topLeftCell="E1" zoomScale="63" zoomScaleNormal="105" workbookViewId="0">
      <selection activeCell="L7" sqref="L7"/>
    </sheetView>
  </sheetViews>
  <sheetFormatPr baseColWidth="10" defaultColWidth="12.83203125" defaultRowHeight="15" customHeight="1" x14ac:dyDescent="0.15"/>
  <cols>
    <col min="1" max="1" width="20.5" customWidth="1"/>
    <col min="2" max="2" width="14.6640625" bestFit="1" customWidth="1"/>
    <col min="3" max="3" width="17.5" bestFit="1" customWidth="1"/>
    <col min="4" max="4" width="10.5" customWidth="1"/>
    <col min="5" max="5" width="24.6640625" customWidth="1"/>
    <col min="6" max="6" width="22.5" bestFit="1" customWidth="1"/>
    <col min="7" max="46" width="8.5" customWidth="1"/>
    <col min="47" max="47" width="10" customWidth="1"/>
    <col min="48" max="48" width="12.1640625" customWidth="1"/>
    <col min="49" max="249" width="10" customWidth="1"/>
  </cols>
  <sheetData>
    <row r="1" spans="1:48" ht="24" customHeight="1" x14ac:dyDescent="0.15">
      <c r="A1" s="238"/>
      <c r="B1" s="239"/>
      <c r="C1" s="239"/>
      <c r="D1" s="239"/>
      <c r="E1" s="239"/>
      <c r="F1" s="239"/>
      <c r="H1" s="1"/>
      <c r="I1" s="1"/>
      <c r="J1" s="1"/>
      <c r="K1" s="1"/>
      <c r="M1" s="239"/>
      <c r="N1" s="239"/>
      <c r="O1" s="239"/>
    </row>
    <row r="2" spans="1:48" ht="24" customHeight="1" x14ac:dyDescent="0.15">
      <c r="C2" s="240"/>
      <c r="D2" s="240"/>
      <c r="E2" s="240"/>
      <c r="F2" s="240"/>
      <c r="H2" s="1"/>
      <c r="I2" s="1"/>
      <c r="J2" s="1"/>
      <c r="K2" s="1"/>
      <c r="M2" s="239"/>
      <c r="N2" s="239"/>
      <c r="O2" s="239"/>
    </row>
    <row r="3" spans="1:48" ht="24" customHeight="1" x14ac:dyDescent="0.25">
      <c r="A3" s="36" t="s">
        <v>75</v>
      </c>
      <c r="C3" s="36" t="s">
        <v>76</v>
      </c>
      <c r="F3" s="241" t="s">
        <v>111</v>
      </c>
      <c r="G3" s="34" t="s">
        <v>100</v>
      </c>
    </row>
    <row r="4" spans="1:48" ht="24" customHeight="1" x14ac:dyDescent="0.15">
      <c r="A4" s="44" t="s">
        <v>77</v>
      </c>
      <c r="B4" s="45">
        <f>'Monitor Bonos'!C20</f>
        <v>0.2</v>
      </c>
      <c r="C4" s="46" t="s">
        <v>11</v>
      </c>
      <c r="D4" s="47">
        <f ca="1">SUM(H11:AV11)</f>
        <v>37.801568059457033</v>
      </c>
      <c r="E4" s="37"/>
      <c r="F4" s="8" t="s">
        <v>101</v>
      </c>
      <c r="G4" s="28">
        <f ca="1">B5</f>
        <v>45478</v>
      </c>
      <c r="H4" s="28">
        <v>44386</v>
      </c>
      <c r="I4" s="29">
        <v>44570</v>
      </c>
      <c r="J4" s="29">
        <v>44751</v>
      </c>
      <c r="K4" s="29">
        <v>44935</v>
      </c>
      <c r="L4" s="29">
        <v>45116</v>
      </c>
      <c r="M4" s="29">
        <v>45300</v>
      </c>
      <c r="N4" s="29">
        <v>45482</v>
      </c>
      <c r="O4" s="29">
        <v>45666</v>
      </c>
      <c r="P4" s="29">
        <v>45847</v>
      </c>
      <c r="Q4" s="29">
        <v>46031</v>
      </c>
      <c r="R4" s="29">
        <v>46212</v>
      </c>
      <c r="S4" s="29">
        <v>46396</v>
      </c>
      <c r="T4" s="29">
        <v>46577</v>
      </c>
      <c r="U4" s="29">
        <v>46761</v>
      </c>
      <c r="V4" s="29">
        <v>46943</v>
      </c>
      <c r="W4" s="29">
        <v>47127</v>
      </c>
      <c r="X4" s="29">
        <v>47308</v>
      </c>
      <c r="Y4" s="29">
        <v>47492</v>
      </c>
      <c r="Z4" s="29">
        <v>47673</v>
      </c>
      <c r="AA4" s="29">
        <v>47857</v>
      </c>
      <c r="AB4" s="29">
        <v>48038</v>
      </c>
      <c r="AC4" s="29">
        <v>48222</v>
      </c>
      <c r="AD4" s="29">
        <v>48404</v>
      </c>
      <c r="AE4" s="29">
        <v>48588</v>
      </c>
      <c r="AF4" s="29">
        <v>48769</v>
      </c>
      <c r="AG4" s="29">
        <v>48953</v>
      </c>
      <c r="AH4" s="29">
        <v>49134</v>
      </c>
      <c r="AI4" s="29">
        <v>49318</v>
      </c>
      <c r="AJ4" s="29">
        <v>49499</v>
      </c>
      <c r="AK4" s="29">
        <v>49683</v>
      </c>
      <c r="AL4" s="29">
        <v>49865</v>
      </c>
      <c r="AM4" s="29">
        <v>50049</v>
      </c>
      <c r="AN4" s="29">
        <v>50230</v>
      </c>
      <c r="AO4" s="29">
        <v>50414</v>
      </c>
      <c r="AP4" s="29">
        <v>50595</v>
      </c>
      <c r="AQ4" s="29">
        <v>50779</v>
      </c>
      <c r="AR4" s="29">
        <v>50960</v>
      </c>
      <c r="AS4" s="29">
        <v>51144</v>
      </c>
      <c r="AT4" s="29">
        <v>51326</v>
      </c>
      <c r="AU4" s="29">
        <v>51510</v>
      </c>
      <c r="AV4" s="30">
        <v>51691</v>
      </c>
    </row>
    <row r="5" spans="1:48" ht="24" customHeight="1" x14ac:dyDescent="0.15">
      <c r="A5" s="43" t="s">
        <v>79</v>
      </c>
      <c r="B5" s="38">
        <f ca="1">'Monitor Bonos'!$C$7</f>
        <v>45478</v>
      </c>
      <c r="C5" s="41" t="s">
        <v>80</v>
      </c>
      <c r="D5" s="40">
        <f ca="1">+B9*((B5-B8)/(B7-B8))</f>
        <v>5.25</v>
      </c>
      <c r="E5" s="37"/>
      <c r="F5" s="9" t="s">
        <v>81</v>
      </c>
      <c r="H5" s="16">
        <v>0</v>
      </c>
      <c r="I5" s="17">
        <f t="shared" ref="I5:AV5" ca="1" si="0">+(I4-$B$5)/365</f>
        <v>-2.4876712328767123</v>
      </c>
      <c r="J5" s="17">
        <f t="shared" ca="1" si="0"/>
        <v>-1.9917808219178081</v>
      </c>
      <c r="K5" s="17">
        <f t="shared" ca="1" si="0"/>
        <v>-1.4876712328767123</v>
      </c>
      <c r="L5" s="17">
        <f t="shared" ca="1" si="0"/>
        <v>-0.99178082191780825</v>
      </c>
      <c r="M5" s="17">
        <f t="shared" ca="1" si="0"/>
        <v>-0.48767123287671232</v>
      </c>
      <c r="N5" s="17">
        <f t="shared" ca="1" si="0"/>
        <v>1.0958904109589041E-2</v>
      </c>
      <c r="O5" s="17">
        <f t="shared" ca="1" si="0"/>
        <v>0.51506849315068493</v>
      </c>
      <c r="P5" s="17">
        <f t="shared" ca="1" si="0"/>
        <v>1.010958904109589</v>
      </c>
      <c r="Q5" s="17">
        <f t="shared" ca="1" si="0"/>
        <v>1.515068493150685</v>
      </c>
      <c r="R5" s="17">
        <f t="shared" ca="1" si="0"/>
        <v>2.010958904109589</v>
      </c>
      <c r="S5" s="17">
        <f t="shared" ca="1" si="0"/>
        <v>2.515068493150685</v>
      </c>
      <c r="T5" s="17">
        <f t="shared" ca="1" si="0"/>
        <v>3.010958904109589</v>
      </c>
      <c r="U5" s="17">
        <f t="shared" ca="1" si="0"/>
        <v>3.515068493150685</v>
      </c>
      <c r="V5" s="17">
        <f t="shared" ca="1" si="0"/>
        <v>4.0136986301369859</v>
      </c>
      <c r="W5" s="17">
        <f t="shared" ca="1" si="0"/>
        <v>4.5178082191780824</v>
      </c>
      <c r="X5" s="17">
        <f t="shared" ca="1" si="0"/>
        <v>5.0136986301369859</v>
      </c>
      <c r="Y5" s="17">
        <f t="shared" ca="1" si="0"/>
        <v>5.5178082191780824</v>
      </c>
      <c r="Z5" s="17">
        <f t="shared" ca="1" si="0"/>
        <v>6.0136986301369859</v>
      </c>
      <c r="AA5" s="17">
        <f t="shared" ca="1" si="0"/>
        <v>6.5178082191780824</v>
      </c>
      <c r="AB5" s="17">
        <f t="shared" ca="1" si="0"/>
        <v>7.0136986301369859</v>
      </c>
      <c r="AC5" s="17">
        <f t="shared" ca="1" si="0"/>
        <v>7.5178082191780824</v>
      </c>
      <c r="AD5" s="17">
        <f t="shared" ca="1" si="0"/>
        <v>8.0164383561643842</v>
      </c>
      <c r="AE5" s="17">
        <f t="shared" ca="1" si="0"/>
        <v>8.5205479452054789</v>
      </c>
      <c r="AF5" s="17">
        <f t="shared" ca="1" si="0"/>
        <v>9.0164383561643842</v>
      </c>
      <c r="AG5" s="17">
        <f t="shared" ca="1" si="0"/>
        <v>9.5205479452054789</v>
      </c>
      <c r="AH5" s="17">
        <f t="shared" ca="1" si="0"/>
        <v>10.016438356164384</v>
      </c>
      <c r="AI5" s="17">
        <f t="shared" ca="1" si="0"/>
        <v>10.520547945205479</v>
      </c>
      <c r="AJ5" s="17">
        <f t="shared" ca="1" si="0"/>
        <v>11.016438356164384</v>
      </c>
      <c r="AK5" s="17">
        <f t="shared" ca="1" si="0"/>
        <v>11.520547945205479</v>
      </c>
      <c r="AL5" s="17">
        <f t="shared" ca="1" si="0"/>
        <v>12.019178082191781</v>
      </c>
      <c r="AM5" s="17">
        <f t="shared" ca="1" si="0"/>
        <v>12.523287671232877</v>
      </c>
      <c r="AN5" s="17">
        <f t="shared" ca="1" si="0"/>
        <v>13.019178082191781</v>
      </c>
      <c r="AO5" s="17">
        <f t="shared" ca="1" si="0"/>
        <v>13.523287671232877</v>
      </c>
      <c r="AP5" s="17">
        <f t="shared" ca="1" si="0"/>
        <v>14.019178082191781</v>
      </c>
      <c r="AQ5" s="17">
        <f t="shared" ca="1" si="0"/>
        <v>14.523287671232877</v>
      </c>
      <c r="AR5" s="17">
        <f t="shared" ca="1" si="0"/>
        <v>15.019178082191781</v>
      </c>
      <c r="AS5" s="17">
        <f t="shared" ca="1" si="0"/>
        <v>15.523287671232877</v>
      </c>
      <c r="AT5" s="17">
        <f t="shared" ca="1" si="0"/>
        <v>16.021917808219179</v>
      </c>
      <c r="AU5" s="17">
        <f t="shared" ca="1" si="0"/>
        <v>16.526027397260275</v>
      </c>
      <c r="AV5" s="18">
        <f t="shared" ca="1" si="0"/>
        <v>17.021917808219179</v>
      </c>
    </row>
    <row r="6" spans="1:48" ht="24" customHeight="1" x14ac:dyDescent="0.15">
      <c r="A6" s="50" t="s">
        <v>82</v>
      </c>
      <c r="B6" s="51">
        <v>100</v>
      </c>
      <c r="C6" s="41" t="s">
        <v>83</v>
      </c>
      <c r="D6" s="39">
        <f ca="1">SUM(H14:AV14)/D4</f>
        <v>5.808663756639846</v>
      </c>
      <c r="E6" s="37"/>
      <c r="F6" s="10" t="s">
        <v>87</v>
      </c>
      <c r="L6" s="63">
        <v>3.5000000000000003E-2</v>
      </c>
      <c r="M6" s="63">
        <v>3.5000000000000003E-2</v>
      </c>
      <c r="N6" s="63">
        <v>3.5000000000000003E-2</v>
      </c>
      <c r="O6" s="63">
        <v>3.5000000000000003E-2</v>
      </c>
      <c r="P6" s="63">
        <v>3.5000000000000003E-2</v>
      </c>
      <c r="Q6" s="63">
        <v>3.5000000000000003E-2</v>
      </c>
      <c r="R6" s="63">
        <v>3.5000000000000003E-2</v>
      </c>
      <c r="S6" s="63">
        <v>3.5000000000000003E-2</v>
      </c>
      <c r="T6" s="63">
        <v>3.5000000000000003E-2</v>
      </c>
      <c r="U6" s="63">
        <v>3.5000000000000003E-2</v>
      </c>
      <c r="V6" s="63">
        <v>3.5000000000000003E-2</v>
      </c>
      <c r="W6" s="63">
        <v>3.5000000000000003E-2</v>
      </c>
      <c r="X6" s="63">
        <v>3.5000000000000003E-2</v>
      </c>
      <c r="Y6" s="63">
        <v>4.8750000000000002E-2</v>
      </c>
      <c r="Z6" s="63">
        <v>4.8750000000000002E-2</v>
      </c>
      <c r="AA6" s="63">
        <v>4.8750000000000002E-2</v>
      </c>
      <c r="AB6" s="63">
        <v>4.8750000000000002E-2</v>
      </c>
      <c r="AC6" s="63">
        <v>4.8750000000000002E-2</v>
      </c>
      <c r="AD6" s="63">
        <v>4.8750000000000002E-2</v>
      </c>
      <c r="AE6" s="63">
        <v>4.8750000000000002E-2</v>
      </c>
      <c r="AF6" s="63">
        <v>4.8750000000000002E-2</v>
      </c>
      <c r="AG6" s="63">
        <v>4.8750000000000002E-2</v>
      </c>
      <c r="AH6" s="63">
        <v>4.8750000000000002E-2</v>
      </c>
      <c r="AI6" s="63">
        <v>4.8750000000000002E-2</v>
      </c>
      <c r="AJ6" s="63">
        <v>4.8750000000000002E-2</v>
      </c>
      <c r="AK6" s="63">
        <v>4.8750000000000002E-2</v>
      </c>
      <c r="AL6" s="63">
        <v>4.8750000000000002E-2</v>
      </c>
      <c r="AM6" s="63">
        <v>4.8750000000000002E-2</v>
      </c>
      <c r="AN6" s="63">
        <v>4.8750000000000002E-2</v>
      </c>
      <c r="AO6" s="63">
        <v>4.8750000000000002E-2</v>
      </c>
      <c r="AP6" s="63">
        <v>4.8750000000000002E-2</v>
      </c>
      <c r="AQ6" s="63">
        <v>4.8750000000000002E-2</v>
      </c>
      <c r="AR6" s="63">
        <v>4.8750000000000002E-2</v>
      </c>
      <c r="AS6" s="63">
        <v>4.8750000000000002E-2</v>
      </c>
      <c r="AT6" s="63">
        <v>4.8750000000000002E-2</v>
      </c>
      <c r="AU6" s="63">
        <v>4.8750000000000002E-2</v>
      </c>
      <c r="AV6" s="63">
        <v>4.8750000000000002E-2</v>
      </c>
    </row>
    <row r="7" spans="1:48" ht="24" customHeight="1" x14ac:dyDescent="0.15">
      <c r="A7" s="50" t="s">
        <v>84</v>
      </c>
      <c r="B7" s="38">
        <f>L4</f>
        <v>45116</v>
      </c>
      <c r="C7" s="41" t="s">
        <v>85</v>
      </c>
      <c r="D7" s="39">
        <f ca="1">+D6/(1+B4/2)</f>
        <v>5.2806034151271319</v>
      </c>
      <c r="E7" s="37"/>
      <c r="F7" s="10" t="s">
        <v>29</v>
      </c>
      <c r="H7" s="19"/>
      <c r="I7" s="20"/>
      <c r="J7" s="20"/>
      <c r="K7" s="20"/>
      <c r="L7" s="21">
        <f>L6/2*L10</f>
        <v>1.7500000000000002</v>
      </c>
      <c r="M7" s="21">
        <f t="shared" ref="M7:AV7" si="1">M6/2*M10</f>
        <v>1.7500000000000002</v>
      </c>
      <c r="N7" s="21">
        <f t="shared" si="1"/>
        <v>1.7500000000000002</v>
      </c>
      <c r="O7" s="21">
        <f t="shared" si="1"/>
        <v>1.7500000000000002</v>
      </c>
      <c r="P7" s="21">
        <f t="shared" si="1"/>
        <v>1.7500000000000002</v>
      </c>
      <c r="Q7" s="21">
        <f t="shared" si="1"/>
        <v>1.7500000000000002</v>
      </c>
      <c r="R7" s="21">
        <f t="shared" si="1"/>
        <v>1.7500000000000002</v>
      </c>
      <c r="S7" s="21">
        <f t="shared" si="1"/>
        <v>1.7500000000000002</v>
      </c>
      <c r="T7" s="21">
        <f t="shared" si="1"/>
        <v>1.7500000000000002</v>
      </c>
      <c r="U7" s="21">
        <f t="shared" si="1"/>
        <v>1.7500000000000002</v>
      </c>
      <c r="V7" s="21">
        <f t="shared" si="1"/>
        <v>1.6875000000000002</v>
      </c>
      <c r="W7" s="21">
        <f t="shared" si="1"/>
        <v>1.6250000000000002</v>
      </c>
      <c r="X7" s="21">
        <f t="shared" si="1"/>
        <v>1.5625000000000002</v>
      </c>
      <c r="Y7" s="21">
        <f t="shared" si="1"/>
        <v>2.0892857142857144</v>
      </c>
      <c r="Z7" s="21">
        <f t="shared" si="1"/>
        <v>2.0022321428571432</v>
      </c>
      <c r="AA7" s="21">
        <f t="shared" si="1"/>
        <v>1.9151785714285718</v>
      </c>
      <c r="AB7" s="21">
        <f t="shared" si="1"/>
        <v>1.8281250000000004</v>
      </c>
      <c r="AC7" s="21">
        <f t="shared" si="1"/>
        <v>1.741071428571429</v>
      </c>
      <c r="AD7" s="21">
        <f t="shared" si="1"/>
        <v>1.6540178571428577</v>
      </c>
      <c r="AE7" s="21">
        <f t="shared" si="1"/>
        <v>1.5669642857142863</v>
      </c>
      <c r="AF7" s="21">
        <f t="shared" si="1"/>
        <v>1.4799107142857149</v>
      </c>
      <c r="AG7" s="21">
        <f t="shared" si="1"/>
        <v>1.3928571428571435</v>
      </c>
      <c r="AH7" s="21">
        <f t="shared" si="1"/>
        <v>1.3058035714285721</v>
      </c>
      <c r="AI7" s="21">
        <f t="shared" si="1"/>
        <v>1.2187500000000007</v>
      </c>
      <c r="AJ7" s="21">
        <f t="shared" si="1"/>
        <v>1.1316964285714293</v>
      </c>
      <c r="AK7" s="21">
        <f t="shared" si="1"/>
        <v>1.0446428571428579</v>
      </c>
      <c r="AL7" s="21">
        <f t="shared" si="1"/>
        <v>0.95758928571428659</v>
      </c>
      <c r="AM7" s="21">
        <f t="shared" si="1"/>
        <v>0.87053571428571519</v>
      </c>
      <c r="AN7" s="21">
        <f t="shared" si="1"/>
        <v>0.78348214285714379</v>
      </c>
      <c r="AO7" s="21">
        <f t="shared" si="1"/>
        <v>0.6964285714285724</v>
      </c>
      <c r="AP7" s="21">
        <f t="shared" si="1"/>
        <v>0.60937500000000089</v>
      </c>
      <c r="AQ7" s="21">
        <f t="shared" si="1"/>
        <v>0.52232142857142938</v>
      </c>
      <c r="AR7" s="21">
        <f t="shared" si="1"/>
        <v>0.43526785714285793</v>
      </c>
      <c r="AS7" s="21">
        <f t="shared" si="1"/>
        <v>0.34821428571428653</v>
      </c>
      <c r="AT7" s="21">
        <f t="shared" si="1"/>
        <v>0.26116071428571508</v>
      </c>
      <c r="AU7" s="21">
        <f t="shared" si="1"/>
        <v>0.17410714285714368</v>
      </c>
      <c r="AV7" s="21">
        <f t="shared" si="1"/>
        <v>8.7053571428572243E-2</v>
      </c>
    </row>
    <row r="8" spans="1:48" ht="24" customHeight="1" x14ac:dyDescent="0.15">
      <c r="A8" s="50" t="s">
        <v>86</v>
      </c>
      <c r="B8" s="38">
        <f>K4</f>
        <v>44935</v>
      </c>
      <c r="C8" s="41" t="s">
        <v>13</v>
      </c>
      <c r="D8" s="39">
        <f ca="1">SUM(H16:AV16)/D4</f>
        <v>37.911379780697814</v>
      </c>
      <c r="E8" s="37"/>
      <c r="F8" s="10" t="s">
        <v>28</v>
      </c>
      <c r="H8" s="19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  <c r="R8" s="23">
        <v>0</v>
      </c>
      <c r="S8" s="23">
        <v>0</v>
      </c>
      <c r="T8" s="23">
        <v>0</v>
      </c>
      <c r="U8" s="23">
        <v>3.5714285714285716</v>
      </c>
      <c r="V8" s="23">
        <v>3.5714285714285716</v>
      </c>
      <c r="W8" s="23">
        <v>3.5714285714285716</v>
      </c>
      <c r="X8" s="23">
        <v>3.5714285714285716</v>
      </c>
      <c r="Y8" s="23">
        <v>3.5714285714285716</v>
      </c>
      <c r="Z8" s="23">
        <v>3.5714285714285716</v>
      </c>
      <c r="AA8" s="23">
        <v>3.5714285714285716</v>
      </c>
      <c r="AB8" s="23">
        <v>3.5714285714285716</v>
      </c>
      <c r="AC8" s="23">
        <v>3.5714285714285716</v>
      </c>
      <c r="AD8" s="23">
        <v>3.5714285714285716</v>
      </c>
      <c r="AE8" s="23">
        <v>3.5714285714285716</v>
      </c>
      <c r="AF8" s="23">
        <v>3.5714285714285716</v>
      </c>
      <c r="AG8" s="23">
        <v>3.5714285714285716</v>
      </c>
      <c r="AH8" s="23">
        <v>3.5714285714285716</v>
      </c>
      <c r="AI8" s="23">
        <v>3.5714285714285716</v>
      </c>
      <c r="AJ8" s="23">
        <v>3.5714285714285716</v>
      </c>
      <c r="AK8" s="23">
        <v>3.5714285714285716</v>
      </c>
      <c r="AL8" s="23">
        <v>3.5714285714285716</v>
      </c>
      <c r="AM8" s="23">
        <v>3.5714285714285716</v>
      </c>
      <c r="AN8" s="23">
        <v>3.5714285714285716</v>
      </c>
      <c r="AO8" s="23">
        <v>3.5714285714285716</v>
      </c>
      <c r="AP8" s="23">
        <v>3.5714285714285716</v>
      </c>
      <c r="AQ8" s="23">
        <v>3.5714285714285716</v>
      </c>
      <c r="AR8" s="23">
        <v>3.5714285714285716</v>
      </c>
      <c r="AS8" s="23">
        <v>3.5714285714285716</v>
      </c>
      <c r="AT8" s="23">
        <v>3.5714285714285716</v>
      </c>
      <c r="AU8" s="23">
        <v>3.5714285714285716</v>
      </c>
      <c r="AV8" s="24">
        <v>3.5714285714285716</v>
      </c>
    </row>
    <row r="9" spans="1:48" ht="24" customHeight="1" x14ac:dyDescent="0.15">
      <c r="A9" s="50" t="s">
        <v>88</v>
      </c>
      <c r="B9" s="61">
        <v>1.75</v>
      </c>
      <c r="E9" s="37"/>
      <c r="F9" s="11" t="s">
        <v>92</v>
      </c>
      <c r="G9">
        <f>-B11</f>
        <v>-30</v>
      </c>
      <c r="H9" s="19">
        <f t="shared" ref="H9:AV9" si="2">IF(H5&lt;0,0,H8+H7)</f>
        <v>0</v>
      </c>
      <c r="I9" s="23">
        <f t="shared" ca="1" si="2"/>
        <v>0</v>
      </c>
      <c r="J9" s="23">
        <f t="shared" ca="1" si="2"/>
        <v>0</v>
      </c>
      <c r="K9" s="23">
        <f t="shared" ca="1" si="2"/>
        <v>0</v>
      </c>
      <c r="L9" s="23">
        <f t="shared" ca="1" si="2"/>
        <v>0</v>
      </c>
      <c r="M9" s="23">
        <f t="shared" ca="1" si="2"/>
        <v>0</v>
      </c>
      <c r="N9" s="23">
        <f t="shared" ca="1" si="2"/>
        <v>1.7500000000000002</v>
      </c>
      <c r="O9" s="23">
        <f t="shared" ca="1" si="2"/>
        <v>1.7500000000000002</v>
      </c>
      <c r="P9" s="23">
        <f t="shared" ca="1" si="2"/>
        <v>1.7500000000000002</v>
      </c>
      <c r="Q9" s="23">
        <f t="shared" ca="1" si="2"/>
        <v>1.7500000000000002</v>
      </c>
      <c r="R9" s="23">
        <f t="shared" ca="1" si="2"/>
        <v>1.7500000000000002</v>
      </c>
      <c r="S9" s="23">
        <f t="shared" ca="1" si="2"/>
        <v>1.7500000000000002</v>
      </c>
      <c r="T9" s="23">
        <f t="shared" ca="1" si="2"/>
        <v>1.7500000000000002</v>
      </c>
      <c r="U9" s="23">
        <f t="shared" ca="1" si="2"/>
        <v>5.3214285714285721</v>
      </c>
      <c r="V9" s="23">
        <f t="shared" ca="1" si="2"/>
        <v>5.2589285714285721</v>
      </c>
      <c r="W9" s="23">
        <f t="shared" ca="1" si="2"/>
        <v>5.1964285714285721</v>
      </c>
      <c r="X9" s="23">
        <f t="shared" ca="1" si="2"/>
        <v>5.1339285714285721</v>
      </c>
      <c r="Y9" s="23">
        <f t="shared" ca="1" si="2"/>
        <v>5.6607142857142865</v>
      </c>
      <c r="Z9" s="23">
        <f t="shared" ca="1" si="2"/>
        <v>5.5736607142857153</v>
      </c>
      <c r="AA9" s="23">
        <f t="shared" ca="1" si="2"/>
        <v>5.4866071428571432</v>
      </c>
      <c r="AB9" s="23">
        <f t="shared" ca="1" si="2"/>
        <v>5.3995535714285721</v>
      </c>
      <c r="AC9" s="23">
        <f t="shared" ca="1" si="2"/>
        <v>5.3125000000000009</v>
      </c>
      <c r="AD9" s="23">
        <f t="shared" ca="1" si="2"/>
        <v>5.2254464285714288</v>
      </c>
      <c r="AE9" s="23">
        <f t="shared" ca="1" si="2"/>
        <v>5.1383928571428577</v>
      </c>
      <c r="AF9" s="23">
        <f t="shared" ca="1" si="2"/>
        <v>5.0513392857142865</v>
      </c>
      <c r="AG9" s="23">
        <f t="shared" ca="1" si="2"/>
        <v>4.9642857142857153</v>
      </c>
      <c r="AH9" s="23">
        <f t="shared" ca="1" si="2"/>
        <v>4.8772321428571441</v>
      </c>
      <c r="AI9" s="23">
        <f t="shared" ca="1" si="2"/>
        <v>4.7901785714285721</v>
      </c>
      <c r="AJ9" s="23">
        <f t="shared" ca="1" si="2"/>
        <v>4.7031250000000009</v>
      </c>
      <c r="AK9" s="23">
        <f t="shared" ca="1" si="2"/>
        <v>4.6160714285714297</v>
      </c>
      <c r="AL9" s="23">
        <f t="shared" ca="1" si="2"/>
        <v>4.5290178571428585</v>
      </c>
      <c r="AM9" s="23">
        <f t="shared" ca="1" si="2"/>
        <v>4.4419642857142865</v>
      </c>
      <c r="AN9" s="23">
        <f t="shared" ca="1" si="2"/>
        <v>4.3549107142857153</v>
      </c>
      <c r="AO9" s="23">
        <f t="shared" ca="1" si="2"/>
        <v>4.2678571428571441</v>
      </c>
      <c r="AP9" s="23">
        <f t="shared" ca="1" si="2"/>
        <v>4.180803571428573</v>
      </c>
      <c r="AQ9" s="23">
        <f t="shared" ca="1" si="2"/>
        <v>4.0937500000000009</v>
      </c>
      <c r="AR9" s="23">
        <f t="shared" ca="1" si="2"/>
        <v>4.0066964285714297</v>
      </c>
      <c r="AS9" s="23">
        <f t="shared" ca="1" si="2"/>
        <v>3.9196428571428581</v>
      </c>
      <c r="AT9" s="23">
        <f t="shared" ca="1" si="2"/>
        <v>3.8325892857142865</v>
      </c>
      <c r="AU9" s="23">
        <f t="shared" ca="1" si="2"/>
        <v>3.7455357142857153</v>
      </c>
      <c r="AV9" s="24">
        <f t="shared" ca="1" si="2"/>
        <v>3.6584821428571437</v>
      </c>
    </row>
    <row r="10" spans="1:48" ht="24" customHeight="1" x14ac:dyDescent="0.15">
      <c r="F10" s="12" t="s">
        <v>89</v>
      </c>
      <c r="H10" s="25">
        <f>B6</f>
        <v>100</v>
      </c>
      <c r="I10" s="26">
        <f t="shared" ref="I10:AV10" si="3">H10-H8</f>
        <v>100</v>
      </c>
      <c r="J10" s="26">
        <f t="shared" si="3"/>
        <v>100</v>
      </c>
      <c r="K10" s="26">
        <f t="shared" si="3"/>
        <v>100</v>
      </c>
      <c r="L10" s="26">
        <f t="shared" si="3"/>
        <v>100</v>
      </c>
      <c r="M10" s="26">
        <f t="shared" si="3"/>
        <v>100</v>
      </c>
      <c r="N10" s="26">
        <f t="shared" si="3"/>
        <v>100</v>
      </c>
      <c r="O10" s="26">
        <f t="shared" si="3"/>
        <v>100</v>
      </c>
      <c r="P10" s="26">
        <f t="shared" si="3"/>
        <v>100</v>
      </c>
      <c r="Q10" s="26">
        <f t="shared" si="3"/>
        <v>100</v>
      </c>
      <c r="R10" s="26">
        <f t="shared" si="3"/>
        <v>100</v>
      </c>
      <c r="S10" s="26">
        <f t="shared" si="3"/>
        <v>100</v>
      </c>
      <c r="T10" s="26">
        <f t="shared" si="3"/>
        <v>100</v>
      </c>
      <c r="U10" s="26">
        <f t="shared" si="3"/>
        <v>100</v>
      </c>
      <c r="V10" s="26">
        <f t="shared" si="3"/>
        <v>96.428571428571431</v>
      </c>
      <c r="W10" s="26">
        <f t="shared" si="3"/>
        <v>92.857142857142861</v>
      </c>
      <c r="X10" s="26">
        <f t="shared" si="3"/>
        <v>89.285714285714292</v>
      </c>
      <c r="Y10" s="26">
        <f t="shared" si="3"/>
        <v>85.714285714285722</v>
      </c>
      <c r="Z10" s="26">
        <f t="shared" si="3"/>
        <v>82.142857142857153</v>
      </c>
      <c r="AA10" s="26">
        <f t="shared" si="3"/>
        <v>78.571428571428584</v>
      </c>
      <c r="AB10" s="26">
        <f t="shared" si="3"/>
        <v>75.000000000000014</v>
      </c>
      <c r="AC10" s="26">
        <f t="shared" si="3"/>
        <v>71.428571428571445</v>
      </c>
      <c r="AD10" s="26">
        <f t="shared" si="3"/>
        <v>67.857142857142875</v>
      </c>
      <c r="AE10" s="26">
        <f t="shared" si="3"/>
        <v>64.285714285714306</v>
      </c>
      <c r="AF10" s="26">
        <f t="shared" si="3"/>
        <v>60.714285714285737</v>
      </c>
      <c r="AG10" s="26">
        <f t="shared" si="3"/>
        <v>57.142857142857167</v>
      </c>
      <c r="AH10" s="26">
        <f t="shared" si="3"/>
        <v>53.571428571428598</v>
      </c>
      <c r="AI10" s="26">
        <f t="shared" si="3"/>
        <v>50.000000000000028</v>
      </c>
      <c r="AJ10" s="26">
        <f t="shared" si="3"/>
        <v>46.428571428571459</v>
      </c>
      <c r="AK10" s="26">
        <f t="shared" si="3"/>
        <v>42.85714285714289</v>
      </c>
      <c r="AL10" s="26">
        <f t="shared" si="3"/>
        <v>39.28571428571432</v>
      </c>
      <c r="AM10" s="26">
        <f t="shared" si="3"/>
        <v>35.714285714285751</v>
      </c>
      <c r="AN10" s="26">
        <f t="shared" si="3"/>
        <v>32.142857142857181</v>
      </c>
      <c r="AO10" s="26">
        <f t="shared" si="3"/>
        <v>28.571428571428608</v>
      </c>
      <c r="AP10" s="26">
        <f t="shared" si="3"/>
        <v>25.000000000000036</v>
      </c>
      <c r="AQ10" s="26">
        <f t="shared" si="3"/>
        <v>21.428571428571463</v>
      </c>
      <c r="AR10" s="26">
        <f t="shared" si="3"/>
        <v>17.85714285714289</v>
      </c>
      <c r="AS10" s="26">
        <f t="shared" si="3"/>
        <v>14.285714285714318</v>
      </c>
      <c r="AT10" s="26">
        <f t="shared" si="3"/>
        <v>10.714285714285747</v>
      </c>
      <c r="AU10" s="26">
        <f t="shared" si="3"/>
        <v>7.1428571428571761</v>
      </c>
      <c r="AV10" s="27">
        <f t="shared" si="3"/>
        <v>3.5714285714286045</v>
      </c>
    </row>
    <row r="11" spans="1:48" ht="24" customHeight="1" x14ac:dyDescent="0.15">
      <c r="A11" s="44" t="s">
        <v>11</v>
      </c>
      <c r="B11" s="91">
        <f>'Monitor Bonos'!M20</f>
        <v>30</v>
      </c>
      <c r="C11" s="48" t="s">
        <v>77</v>
      </c>
      <c r="D11" s="69">
        <f ca="1">XIRR(G9:AV9,G4:AV4)</f>
        <v>0.25146859288215639</v>
      </c>
      <c r="E11" s="31"/>
      <c r="F11" s="11" t="s">
        <v>102</v>
      </c>
      <c r="H11" s="52">
        <f t="shared" ref="H11:AV11" si="4">+H9/(1+$B$4)^(H5)</f>
        <v>0</v>
      </c>
      <c r="I11" s="53">
        <f t="shared" ca="1" si="4"/>
        <v>0</v>
      </c>
      <c r="J11" s="53">
        <f t="shared" ca="1" si="4"/>
        <v>0</v>
      </c>
      <c r="K11" s="53">
        <f t="shared" ca="1" si="4"/>
        <v>0</v>
      </c>
      <c r="L11" s="54">
        <f t="shared" ca="1" si="4"/>
        <v>0</v>
      </c>
      <c r="M11" s="54">
        <f t="shared" ca="1" si="4"/>
        <v>0</v>
      </c>
      <c r="N11" s="54">
        <f t="shared" ca="1" si="4"/>
        <v>1.7465069130320874</v>
      </c>
      <c r="O11" s="54">
        <f t="shared" ca="1" si="4"/>
        <v>1.5931412535590603</v>
      </c>
      <c r="P11" s="54">
        <f t="shared" ca="1" si="4"/>
        <v>1.4554224275267398</v>
      </c>
      <c r="Q11" s="54">
        <f t="shared" ca="1" si="4"/>
        <v>1.3276177112992167</v>
      </c>
      <c r="R11" s="54">
        <f t="shared" ca="1" si="4"/>
        <v>1.2128520229389497</v>
      </c>
      <c r="S11" s="54">
        <f t="shared" ca="1" si="4"/>
        <v>1.1063480927493474</v>
      </c>
      <c r="T11" s="54">
        <f t="shared" ca="1" si="4"/>
        <v>1.0107100191157916</v>
      </c>
      <c r="U11" s="54">
        <f t="shared" ca="1" si="4"/>
        <v>2.8035011193818495</v>
      </c>
      <c r="V11" s="54">
        <f t="shared" ca="1" si="4"/>
        <v>2.5298083012407742</v>
      </c>
      <c r="W11" s="54">
        <f t="shared" ca="1" si="4"/>
        <v>2.2802332688208193</v>
      </c>
      <c r="X11" s="54">
        <f t="shared" ca="1" si="4"/>
        <v>2.0580641952652026</v>
      </c>
      <c r="Y11" s="54">
        <f t="shared" ca="1" si="4"/>
        <v>2.0699712090956464</v>
      </c>
      <c r="Z11" s="54">
        <f t="shared" ca="1" si="4"/>
        <v>1.8619515563685549</v>
      </c>
      <c r="AA11" s="54">
        <f t="shared" ca="1" si="4"/>
        <v>1.671920751826071</v>
      </c>
      <c r="AB11" s="54">
        <f t="shared" ca="1" si="4"/>
        <v>1.5031573938244338</v>
      </c>
      <c r="AC11" s="54">
        <f t="shared" ca="1" si="4"/>
        <v>1.3490545800603637</v>
      </c>
      <c r="AD11" s="54">
        <f t="shared" ca="1" si="4"/>
        <v>1.2116350325468936</v>
      </c>
      <c r="AE11" s="54">
        <f t="shared" ca="1" si="4"/>
        <v>1.0868252055637178</v>
      </c>
      <c r="AF11" s="54">
        <f t="shared" ca="1" si="4"/>
        <v>0.97605370876178998</v>
      </c>
      <c r="AG11" s="54">
        <f t="shared" ca="1" si="4"/>
        <v>0.87499973109387086</v>
      </c>
      <c r="AH11" s="54">
        <f t="shared" ca="1" si="4"/>
        <v>0.78534296422319627</v>
      </c>
      <c r="AI11" s="54">
        <f t="shared" ca="1" si="4"/>
        <v>0.70359315907053599</v>
      </c>
      <c r="AJ11" s="54">
        <f t="shared" ca="1" si="4"/>
        <v>0.6310898648429728</v>
      </c>
      <c r="AK11" s="54">
        <f t="shared" ca="1" si="4"/>
        <v>0.5650165629690389</v>
      </c>
      <c r="AL11" s="54">
        <f t="shared" ca="1" si="4"/>
        <v>0.50618647398670402</v>
      </c>
      <c r="AM11" s="54">
        <f t="shared" ca="1" si="4"/>
        <v>0.45286164521782646</v>
      </c>
      <c r="AN11" s="54">
        <f t="shared" ca="1" si="4"/>
        <v>0.40560613222772285</v>
      </c>
      <c r="AO11" s="54">
        <f t="shared" ca="1" si="4"/>
        <v>0.36259274106217937</v>
      </c>
      <c r="AP11" s="54">
        <f t="shared" ca="1" si="4"/>
        <v>0.3244918356665491</v>
      </c>
      <c r="AQ11" s="54">
        <f t="shared" ca="1" si="4"/>
        <v>0.28983398148014167</v>
      </c>
      <c r="AR11" s="54">
        <f t="shared" ca="1" si="4"/>
        <v>0.25914880095277437</v>
      </c>
      <c r="AS11" s="54">
        <f t="shared" ca="1" si="4"/>
        <v>0.23125612117372257</v>
      </c>
      <c r="AT11" s="54">
        <f t="shared" ca="1" si="4"/>
        <v>0.20646995590803349</v>
      </c>
      <c r="AU11" s="54">
        <f t="shared" ca="1" si="4"/>
        <v>0.18406130673779025</v>
      </c>
      <c r="AV11" s="55">
        <f t="shared" ca="1" si="4"/>
        <v>0.16424201986666034</v>
      </c>
    </row>
    <row r="12" spans="1:48" ht="24" customHeight="1" x14ac:dyDescent="0.15">
      <c r="C12" s="41" t="s">
        <v>83</v>
      </c>
      <c r="D12" s="39">
        <f ca="1">SUM(H14:AV14)/B11</f>
        <v>7.31921994437075</v>
      </c>
      <c r="F12" s="11" t="s">
        <v>103</v>
      </c>
      <c r="H12" s="56">
        <f t="shared" ref="H12:AV12" ca="1" si="5">+H9/(1+$D$11)^(H5)</f>
        <v>0</v>
      </c>
      <c r="I12" s="57">
        <f t="shared" ca="1" si="5"/>
        <v>0</v>
      </c>
      <c r="J12" s="57">
        <f t="shared" ca="1" si="5"/>
        <v>0</v>
      </c>
      <c r="K12" s="57">
        <f t="shared" ca="1" si="5"/>
        <v>0</v>
      </c>
      <c r="L12" s="57">
        <f t="shared" ca="1" si="5"/>
        <v>0</v>
      </c>
      <c r="M12" s="57">
        <f t="shared" ca="1" si="5"/>
        <v>0</v>
      </c>
      <c r="N12" s="57">
        <f t="shared" ca="1" si="5"/>
        <v>1.7457032994249526</v>
      </c>
      <c r="O12" s="57">
        <f t="shared" ca="1" si="5"/>
        <v>1.5590501999748703</v>
      </c>
      <c r="P12" s="57">
        <f t="shared" ca="1" si="5"/>
        <v>1.3949237794330616</v>
      </c>
      <c r="Q12" s="57">
        <f t="shared" ca="1" si="5"/>
        <v>1.2457765291451284</v>
      </c>
      <c r="R12" s="57">
        <f t="shared" ca="1" si="5"/>
        <v>1.1146294740170228</v>
      </c>
      <c r="S12" s="57">
        <f t="shared" ca="1" si="5"/>
        <v>0.99545169269975931</v>
      </c>
      <c r="T12" s="57">
        <f t="shared" ca="1" si="5"/>
        <v>0.89065716899056147</v>
      </c>
      <c r="U12" s="57">
        <f t="shared" ca="1" si="5"/>
        <v>2.4187468839811275</v>
      </c>
      <c r="V12" s="57">
        <f t="shared" ca="1" si="5"/>
        <v>2.1373858623606892</v>
      </c>
      <c r="W12" s="57">
        <f t="shared" ca="1" si="5"/>
        <v>1.8861676367111178</v>
      </c>
      <c r="X12" s="57">
        <f t="shared" ca="1" si="5"/>
        <v>1.6673068230112984</v>
      </c>
      <c r="Y12" s="57">
        <f t="shared" ca="1" si="5"/>
        <v>1.641824027636918</v>
      </c>
      <c r="Z12" s="57">
        <f t="shared" ca="1" si="5"/>
        <v>1.4463928917413227</v>
      </c>
      <c r="AA12" s="57">
        <f t="shared" ca="1" si="5"/>
        <v>1.2715670968594666</v>
      </c>
      <c r="AB12" s="57">
        <f t="shared" ca="1" si="5"/>
        <v>1.1196535202537496</v>
      </c>
      <c r="AC12" s="57">
        <f t="shared" ca="1" si="5"/>
        <v>0.98381718664343465</v>
      </c>
      <c r="AD12" s="57">
        <f t="shared" ca="1" si="5"/>
        <v>0.86529129828010787</v>
      </c>
      <c r="AE12" s="57">
        <f t="shared" ca="1" si="5"/>
        <v>0.75989906203023549</v>
      </c>
      <c r="AF12" s="57">
        <f t="shared" ca="1" si="5"/>
        <v>0.66838319441903149</v>
      </c>
      <c r="AG12" s="57">
        <f t="shared" ca="1" si="5"/>
        <v>0.58663155106606846</v>
      </c>
      <c r="AH12" s="57">
        <f t="shared" ca="1" si="5"/>
        <v>0.51567069785578579</v>
      </c>
      <c r="AI12" s="57">
        <f t="shared" ca="1" si="5"/>
        <v>0.45231438191062034</v>
      </c>
      <c r="AJ12" s="57">
        <f t="shared" ca="1" si="5"/>
        <v>0.39734302466125943</v>
      </c>
      <c r="AK12" s="57">
        <f t="shared" ca="1" si="5"/>
        <v>0.34829020327056998</v>
      </c>
      <c r="AL12" s="57">
        <f t="shared" ca="1" si="5"/>
        <v>0.30555982026943507</v>
      </c>
      <c r="AM12" s="57">
        <f t="shared" ca="1" si="5"/>
        <v>0.26764364869230128</v>
      </c>
      <c r="AN12" s="57">
        <f t="shared" ca="1" si="5"/>
        <v>0.23477481842128808</v>
      </c>
      <c r="AO12" s="57">
        <f t="shared" ca="1" si="5"/>
        <v>0.20548106047607725</v>
      </c>
      <c r="AP12" s="57">
        <f t="shared" ca="1" si="5"/>
        <v>0.1800993172274904</v>
      </c>
      <c r="AQ12" s="57">
        <f t="shared" ca="1" si="5"/>
        <v>0.15749373658575092</v>
      </c>
      <c r="AR12" s="57">
        <f t="shared" ca="1" si="5"/>
        <v>0.13791731288502246</v>
      </c>
      <c r="AS12" s="57">
        <f t="shared" ca="1" si="5"/>
        <v>0.12049485743702351</v>
      </c>
      <c r="AT12" s="57">
        <f t="shared" ca="1" si="5"/>
        <v>0.10535078361447334</v>
      </c>
      <c r="AU12" s="57">
        <f t="shared" ca="1" si="5"/>
        <v>9.1949442030306194E-2</v>
      </c>
      <c r="AV12" s="58">
        <f t="shared" ca="1" si="5"/>
        <v>8.0357510512113831E-2</v>
      </c>
    </row>
    <row r="13" spans="1:48" ht="24" customHeight="1" x14ac:dyDescent="0.15">
      <c r="C13" s="41" t="s">
        <v>85</v>
      </c>
      <c r="D13" s="39">
        <f ca="1">+D12/(1+D11/2)</f>
        <v>6.5017295533323427</v>
      </c>
      <c r="F13" s="60" t="s">
        <v>104</v>
      </c>
      <c r="N13" s="1"/>
      <c r="O13" s="1"/>
      <c r="AC13" s="4"/>
      <c r="AV13" t="s">
        <v>6</v>
      </c>
    </row>
    <row r="14" spans="1:48" ht="24" customHeight="1" x14ac:dyDescent="0.15">
      <c r="C14" s="41" t="s">
        <v>13</v>
      </c>
      <c r="D14" s="39">
        <f ca="1">SUM(H17:AV17)/B11</f>
        <v>29.240089520007263</v>
      </c>
      <c r="F14" s="59" t="s">
        <v>105</v>
      </c>
      <c r="H14">
        <f t="shared" ref="H14:AV14" si="6">H11*H5</f>
        <v>0</v>
      </c>
      <c r="I14">
        <f t="shared" ca="1" si="6"/>
        <v>0</v>
      </c>
      <c r="J14">
        <f t="shared" ca="1" si="6"/>
        <v>0</v>
      </c>
      <c r="K14">
        <f t="shared" ca="1" si="6"/>
        <v>0</v>
      </c>
      <c r="L14">
        <f t="shared" ca="1" si="6"/>
        <v>0</v>
      </c>
      <c r="M14">
        <f t="shared" ca="1" si="6"/>
        <v>0</v>
      </c>
      <c r="N14">
        <f t="shared" ca="1" si="6"/>
        <v>1.9139801786653012E-2</v>
      </c>
      <c r="O14">
        <f t="shared" ca="1" si="6"/>
        <v>0.82057686484685843</v>
      </c>
      <c r="P14">
        <f t="shared" ca="1" si="6"/>
        <v>1.4713722623489505</v>
      </c>
      <c r="Q14">
        <f t="shared" ca="1" si="6"/>
        <v>2.0114317653382656</v>
      </c>
      <c r="R14">
        <f t="shared" ca="1" si="6"/>
        <v>2.4389955748964085</v>
      </c>
      <c r="S14">
        <f t="shared" ca="1" si="6"/>
        <v>2.7825412305312356</v>
      </c>
      <c r="T14">
        <f t="shared" ca="1" si="6"/>
        <v>3.0432063315294657</v>
      </c>
      <c r="U14">
        <f t="shared" ca="1" si="6"/>
        <v>9.8544984552518162</v>
      </c>
      <c r="V14">
        <f t="shared" ca="1" si="6"/>
        <v>10.153888113199271</v>
      </c>
      <c r="W14">
        <f t="shared" ca="1" si="6"/>
        <v>10.301656603522003</v>
      </c>
      <c r="X14">
        <f t="shared" ca="1" si="6"/>
        <v>10.318513636535124</v>
      </c>
      <c r="Y14">
        <f t="shared" ca="1" si="6"/>
        <v>11.421704151009951</v>
      </c>
      <c r="Z14">
        <f t="shared" ca="1" si="6"/>
        <v>11.197215523915007</v>
      </c>
      <c r="AA14">
        <f t="shared" ca="1" si="6"/>
        <v>10.897258818066364</v>
      </c>
      <c r="AB14">
        <f t="shared" ca="1" si="6"/>
        <v>10.542692953946712</v>
      </c>
      <c r="AC14">
        <f t="shared" ca="1" si="6"/>
        <v>10.141933610097638</v>
      </c>
      <c r="AD14">
        <f t="shared" ca="1" si="6"/>
        <v>9.7129975485814004</v>
      </c>
      <c r="AE14">
        <f t="shared" ca="1" si="6"/>
        <v>9.2603462720634582</v>
      </c>
      <c r="AF14">
        <f t="shared" ca="1" si="6"/>
        <v>8.8005280973563043</v>
      </c>
      <c r="AG14">
        <f t="shared" ca="1" si="6"/>
        <v>8.3304768919210996</v>
      </c>
      <c r="AH14">
        <f t="shared" ca="1" si="6"/>
        <v>7.866339389589057</v>
      </c>
      <c r="AI14">
        <f t="shared" ca="1" si="6"/>
        <v>7.4021855639201588</v>
      </c>
      <c r="AJ14">
        <f t="shared" ca="1" si="6"/>
        <v>6.9523625932427224</v>
      </c>
      <c r="AK14">
        <f t="shared" ca="1" si="6"/>
        <v>6.5093004035200233</v>
      </c>
      <c r="AL14">
        <f t="shared" ca="1" si="6"/>
        <v>6.0839453736429325</v>
      </c>
      <c r="AM14">
        <f t="shared" ca="1" si="6"/>
        <v>5.6713166583306434</v>
      </c>
      <c r="AN14">
        <f t="shared" ca="1" si="6"/>
        <v>5.2806584667017509</v>
      </c>
      <c r="AO14">
        <f t="shared" ca="1" si="6"/>
        <v>4.9034459448847052</v>
      </c>
      <c r="AP14">
        <f t="shared" ca="1" si="6"/>
        <v>4.549108830426662</v>
      </c>
      <c r="AQ14">
        <f t="shared" ca="1" si="6"/>
        <v>4.2093422899348791</v>
      </c>
      <c r="AR14">
        <f t="shared" ca="1" si="6"/>
        <v>3.8922019912961892</v>
      </c>
      <c r="AS14">
        <f t="shared" ca="1" si="6"/>
        <v>3.5898552947131841</v>
      </c>
      <c r="AT14">
        <f t="shared" ca="1" si="6"/>
        <v>3.3080446634251506</v>
      </c>
      <c r="AU14">
        <f t="shared" ca="1" si="6"/>
        <v>3.0418021979242491</v>
      </c>
      <c r="AV14">
        <f t="shared" ca="1" si="6"/>
        <v>2.7957141628261937</v>
      </c>
    </row>
    <row r="15" spans="1:48" ht="24" customHeight="1" x14ac:dyDescent="0.15">
      <c r="F15" s="2" t="s">
        <v>106</v>
      </c>
      <c r="H15">
        <f t="shared" ref="H15:AV15" si="7">H5*(H5+1)</f>
        <v>0</v>
      </c>
      <c r="I15">
        <f t="shared" ca="1" si="7"/>
        <v>3.7008369300056296</v>
      </c>
      <c r="J15">
        <f t="shared" ca="1" si="7"/>
        <v>1.9754100206417713</v>
      </c>
      <c r="K15">
        <f t="shared" ca="1" si="7"/>
        <v>0.72549446425220487</v>
      </c>
      <c r="L15">
        <f t="shared" ca="1" si="7"/>
        <v>-8.1516231938449663E-3</v>
      </c>
      <c r="M15">
        <f t="shared" ca="1" si="7"/>
        <v>-0.24984800150121975</v>
      </c>
      <c r="N15">
        <f t="shared" ca="1" si="7"/>
        <v>1.1079001688872209E-2</v>
      </c>
      <c r="O15">
        <f t="shared" ca="1" si="7"/>
        <v>0.7803640457872022</v>
      </c>
      <c r="P15">
        <f t="shared" ca="1" si="7"/>
        <v>2.0329968099080502</v>
      </c>
      <c r="Q15">
        <f t="shared" ca="1" si="7"/>
        <v>3.8105010320885726</v>
      </c>
      <c r="R15">
        <f t="shared" ca="1" si="7"/>
        <v>6.0549146181272278</v>
      </c>
      <c r="S15">
        <f t="shared" ca="1" si="7"/>
        <v>8.8406380183899422</v>
      </c>
      <c r="T15">
        <f t="shared" ca="1" si="7"/>
        <v>12.076832426346407</v>
      </c>
      <c r="U15">
        <f t="shared" ca="1" si="7"/>
        <v>15.870775004691312</v>
      </c>
      <c r="V15">
        <f t="shared" ca="1" si="7"/>
        <v>20.123475323700504</v>
      </c>
      <c r="W15">
        <f t="shared" ca="1" si="7"/>
        <v>24.928399324451117</v>
      </c>
      <c r="X15">
        <f t="shared" ca="1" si="7"/>
        <v>30.150872583974476</v>
      </c>
      <c r="Y15">
        <f t="shared" ca="1" si="7"/>
        <v>35.964015762807286</v>
      </c>
      <c r="Z15">
        <f t="shared" ca="1" si="7"/>
        <v>42.178269844248447</v>
      </c>
      <c r="AA15">
        <f t="shared" ca="1" si="7"/>
        <v>48.99963220116345</v>
      </c>
      <c r="AB15">
        <f t="shared" ca="1" si="7"/>
        <v>56.205667104522419</v>
      </c>
      <c r="AC15">
        <f t="shared" ca="1" si="7"/>
        <v>64.035248639519608</v>
      </c>
      <c r="AD15">
        <f t="shared" ca="1" si="7"/>
        <v>72.279722274347918</v>
      </c>
      <c r="AE15">
        <f t="shared" ca="1" si="7"/>
        <v>81.120285231750785</v>
      </c>
      <c r="AF15">
        <f t="shared" ca="1" si="7"/>
        <v>90.31259898667669</v>
      </c>
      <c r="AG15">
        <f t="shared" ca="1" si="7"/>
        <v>100.16138112216174</v>
      </c>
      <c r="AH15">
        <f t="shared" ca="1" si="7"/>
        <v>110.34547569900545</v>
      </c>
      <c r="AI15">
        <f t="shared" ca="1" si="7"/>
        <v>121.2024770125727</v>
      </c>
      <c r="AJ15">
        <f t="shared" ca="1" si="7"/>
        <v>132.37835241133422</v>
      </c>
      <c r="AK15">
        <f t="shared" ca="1" si="7"/>
        <v>144.24357290298366</v>
      </c>
      <c r="AL15">
        <f t="shared" ca="1" si="7"/>
        <v>156.47981985363106</v>
      </c>
      <c r="AM15">
        <f t="shared" ca="1" si="7"/>
        <v>169.35602176768626</v>
      </c>
      <c r="AN15">
        <f t="shared" ca="1" si="7"/>
        <v>182.51817601801463</v>
      </c>
      <c r="AO15">
        <f t="shared" ca="1" si="7"/>
        <v>196.40259711015202</v>
      </c>
      <c r="AP15">
        <f t="shared" ca="1" si="7"/>
        <v>210.5565321823982</v>
      </c>
      <c r="AQ15">
        <f t="shared" ca="1" si="7"/>
        <v>225.44917245261777</v>
      </c>
      <c r="AR15">
        <f t="shared" ca="1" si="7"/>
        <v>240.59488834678172</v>
      </c>
      <c r="AS15">
        <f t="shared" ca="1" si="7"/>
        <v>256.49574779508356</v>
      </c>
      <c r="AT15">
        <f t="shared" ca="1" si="7"/>
        <v>272.72376806155006</v>
      </c>
      <c r="AU15">
        <f t="shared" ca="1" si="7"/>
        <v>289.63560893225753</v>
      </c>
      <c r="AV15">
        <f t="shared" ca="1" si="7"/>
        <v>306.7676036779884</v>
      </c>
    </row>
    <row r="16" spans="1:48" ht="24" customHeight="1" x14ac:dyDescent="0.2">
      <c r="A16" s="62"/>
      <c r="F16" s="42" t="s">
        <v>107</v>
      </c>
      <c r="H16" s="7">
        <f>(H9/(1+$B$4)^(H5+2))*H15</f>
        <v>0</v>
      </c>
      <c r="I16" s="7">
        <f t="shared" ref="I16:AV16" ca="1" si="8">(I9/(1+$B$4)^(I5+2))*I15</f>
        <v>0</v>
      </c>
      <c r="J16" s="7">
        <f t="shared" ca="1" si="8"/>
        <v>0</v>
      </c>
      <c r="K16" s="7">
        <f t="shared" ca="1" si="8"/>
        <v>0</v>
      </c>
      <c r="L16" s="7">
        <f t="shared" ca="1" si="8"/>
        <v>0</v>
      </c>
      <c r="M16" s="7">
        <f t="shared" ca="1" si="8"/>
        <v>0</v>
      </c>
      <c r="N16" s="7">
        <f t="shared" ca="1" si="8"/>
        <v>1.3437189610492698E-2</v>
      </c>
      <c r="O16" s="7">
        <f t="shared" ca="1" si="8"/>
        <v>0.8633542737068356</v>
      </c>
      <c r="P16" s="7">
        <f t="shared" ca="1" si="8"/>
        <v>2.0547702446045086</v>
      </c>
      <c r="Q16" s="7">
        <f t="shared" ca="1" si="8"/>
        <v>3.5131171243921768</v>
      </c>
      <c r="R16" s="7">
        <f t="shared" ca="1" si="8"/>
        <v>5.0998023911932133</v>
      </c>
      <c r="S16" s="7">
        <f t="shared" ca="1" si="8"/>
        <v>6.7922382016201963</v>
      </c>
      <c r="T16" s="7">
        <f t="shared" ca="1" si="8"/>
        <v>8.4765107864519358</v>
      </c>
      <c r="U16" s="7">
        <f t="shared" ca="1" si="8"/>
        <v>30.898427424381655</v>
      </c>
      <c r="V16" s="7">
        <f t="shared" ca="1" si="8"/>
        <v>35.353149252577374</v>
      </c>
      <c r="W16" s="7">
        <f t="shared" ca="1" si="8"/>
        <v>39.474003804211023</v>
      </c>
      <c r="X16" s="7">
        <f t="shared" ca="1" si="8"/>
        <v>43.091966195195198</v>
      </c>
      <c r="Y16" s="7">
        <f t="shared" ca="1" si="8"/>
        <v>51.697553605884082</v>
      </c>
      <c r="Z16" s="7">
        <f t="shared" ca="1" si="8"/>
        <v>54.537427209327284</v>
      </c>
      <c r="AA16" s="7">
        <f t="shared" ca="1" si="8"/>
        <v>56.891320770118156</v>
      </c>
      <c r="AB16" s="7">
        <f t="shared" ca="1" si="8"/>
        <v>58.670808390970585</v>
      </c>
      <c r="AC16" s="7">
        <f t="shared" ca="1" si="8"/>
        <v>59.991003793366744</v>
      </c>
      <c r="AD16" s="7">
        <f t="shared" ca="1" si="8"/>
        <v>60.817113646083321</v>
      </c>
      <c r="AE16" s="7">
        <f t="shared" ca="1" si="8"/>
        <v>61.224701855822893</v>
      </c>
      <c r="AF16" s="7">
        <f t="shared" ca="1" si="8"/>
        <v>61.215241103376457</v>
      </c>
      <c r="AG16" s="7">
        <f t="shared" ca="1" si="8"/>
        <v>60.861931630473791</v>
      </c>
      <c r="AH16" s="7">
        <f t="shared" ca="1" si="8"/>
        <v>60.179890954219175</v>
      </c>
      <c r="AI16" s="7">
        <f t="shared" ca="1" si="8"/>
        <v>59.220301172534754</v>
      </c>
      <c r="AJ16" s="7">
        <f t="shared" ca="1" si="8"/>
        <v>58.015719813475222</v>
      </c>
      <c r="AK16" s="7">
        <f t="shared" ca="1" si="8"/>
        <v>56.597227633345696</v>
      </c>
      <c r="AL16" s="7">
        <f t="shared" ca="1" si="8"/>
        <v>55.005533515127865</v>
      </c>
      <c r="AM16" s="7">
        <f t="shared" ca="1" si="8"/>
        <v>53.260310170319755</v>
      </c>
      <c r="AN16" s="7">
        <f t="shared" ca="1" si="8"/>
        <v>51.410063497170569</v>
      </c>
      <c r="AO16" s="7">
        <f t="shared" ca="1" si="8"/>
        <v>49.454275026320055</v>
      </c>
      <c r="AP16" s="7">
        <f t="shared" ca="1" si="8"/>
        <v>47.447135860728636</v>
      </c>
      <c r="AQ16" s="7">
        <f t="shared" ca="1" si="8"/>
        <v>45.376966162045314</v>
      </c>
      <c r="AR16" s="7">
        <f t="shared" ca="1" si="8"/>
        <v>43.298525576691056</v>
      </c>
      <c r="AS16" s="7">
        <f t="shared" ca="1" si="8"/>
        <v>41.191813703225293</v>
      </c>
      <c r="AT16" s="7">
        <f t="shared" ca="1" si="8"/>
        <v>39.103655810236823</v>
      </c>
      <c r="AU16" s="7">
        <f t="shared" ca="1" si="8"/>
        <v>37.021325456852018</v>
      </c>
      <c r="AV16" s="7">
        <f t="shared" ca="1" si="8"/>
        <v>34.988979762311082</v>
      </c>
    </row>
    <row r="17" spans="1:48" ht="24" customHeight="1" x14ac:dyDescent="0.2">
      <c r="A17" s="62"/>
      <c r="F17" s="42" t="s">
        <v>108</v>
      </c>
      <c r="H17">
        <f ca="1">(H9/(1+$D$11)^(H5+2))*H15</f>
        <v>0</v>
      </c>
      <c r="I17">
        <f t="shared" ref="I17:AV17" ca="1" si="9">(I9/(1+$D$11)^(I5+2))*I15</f>
        <v>0</v>
      </c>
      <c r="J17">
        <f t="shared" ca="1" si="9"/>
        <v>0</v>
      </c>
      <c r="K17">
        <f t="shared" ca="1" si="9"/>
        <v>0</v>
      </c>
      <c r="L17">
        <f t="shared" ca="1" si="9"/>
        <v>0</v>
      </c>
      <c r="M17">
        <f t="shared" ca="1" si="9"/>
        <v>0</v>
      </c>
      <c r="N17">
        <f t="shared" ca="1" si="9"/>
        <v>1.2348981825101338E-2</v>
      </c>
      <c r="O17">
        <f t="shared" ca="1" si="9"/>
        <v>0.77681471030090288</v>
      </c>
      <c r="P17">
        <f t="shared" ca="1" si="9"/>
        <v>1.8107031832795466</v>
      </c>
      <c r="Q17">
        <f t="shared" ca="1" si="9"/>
        <v>3.0309747475891555</v>
      </c>
      <c r="R17">
        <f t="shared" ca="1" si="9"/>
        <v>4.3092196983073441</v>
      </c>
      <c r="S17">
        <f t="shared" ca="1" si="9"/>
        <v>5.6190628299281373</v>
      </c>
      <c r="T17">
        <f t="shared" ca="1" si="9"/>
        <v>6.8678958140899269</v>
      </c>
      <c r="U17">
        <f t="shared" ca="1" si="9"/>
        <v>24.510301178480695</v>
      </c>
      <c r="V17">
        <f t="shared" ca="1" si="9"/>
        <v>27.462875500009186</v>
      </c>
      <c r="W17">
        <f t="shared" ca="1" si="9"/>
        <v>30.021664821085849</v>
      </c>
      <c r="X17">
        <f t="shared" ca="1" si="9"/>
        <v>32.097817462980309</v>
      </c>
      <c r="Y17">
        <f t="shared" ca="1" si="9"/>
        <v>37.701174212397881</v>
      </c>
      <c r="Z17">
        <f t="shared" ca="1" si="9"/>
        <v>38.952481494179729</v>
      </c>
      <c r="AA17">
        <f t="shared" ca="1" si="9"/>
        <v>39.782511028709024</v>
      </c>
      <c r="AB17">
        <f t="shared" ca="1" si="9"/>
        <v>40.18128735275981</v>
      </c>
      <c r="AC17">
        <f t="shared" ca="1" si="9"/>
        <v>40.224772397496523</v>
      </c>
      <c r="AD17">
        <f t="shared" ca="1" si="9"/>
        <v>39.93364028729922</v>
      </c>
      <c r="AE17">
        <f t="shared" ca="1" si="9"/>
        <v>39.359127957073142</v>
      </c>
      <c r="AF17">
        <f t="shared" ca="1" si="9"/>
        <v>38.541973830360895</v>
      </c>
      <c r="AG17">
        <f t="shared" ca="1" si="9"/>
        <v>37.516802034312768</v>
      </c>
      <c r="AH17">
        <f t="shared" ca="1" si="9"/>
        <v>36.331813435667591</v>
      </c>
      <c r="AI17">
        <f t="shared" ca="1" si="9"/>
        <v>35.003541185903302</v>
      </c>
      <c r="AJ17">
        <f t="shared" ca="1" si="9"/>
        <v>33.584791390928444</v>
      </c>
      <c r="AK17">
        <f t="shared" ca="1" si="9"/>
        <v>32.077301058316124</v>
      </c>
      <c r="AL17">
        <f t="shared" ca="1" si="9"/>
        <v>30.529147241745523</v>
      </c>
      <c r="AM17">
        <f t="shared" ca="1" si="9"/>
        <v>28.941276028444083</v>
      </c>
      <c r="AN17">
        <f t="shared" ca="1" si="9"/>
        <v>27.360102715930545</v>
      </c>
      <c r="AO17">
        <f t="shared" ca="1" si="9"/>
        <v>25.767905250262849</v>
      </c>
      <c r="AP17">
        <f t="shared" ca="1" si="9"/>
        <v>24.212569245365554</v>
      </c>
      <c r="AQ17">
        <f t="shared" ca="1" si="9"/>
        <v>22.671070241655471</v>
      </c>
      <c r="AR17">
        <f t="shared" ca="1" si="9"/>
        <v>21.186795428681293</v>
      </c>
      <c r="AS17">
        <f t="shared" ca="1" si="9"/>
        <v>19.733711380871078</v>
      </c>
      <c r="AT17">
        <f t="shared" ca="1" si="9"/>
        <v>18.345132340794276</v>
      </c>
      <c r="AU17">
        <f t="shared" ca="1" si="9"/>
        <v>17.004393364030836</v>
      </c>
      <c r="AV17">
        <f t="shared" ca="1" si="9"/>
        <v>15.739685769155722</v>
      </c>
    </row>
    <row r="18" spans="1:48" ht="24" customHeight="1" x14ac:dyDescent="0.15"/>
    <row r="19" spans="1:48" ht="24" customHeight="1" x14ac:dyDescent="0.15"/>
    <row r="20" spans="1:48" ht="24" customHeight="1" x14ac:dyDescent="0.25">
      <c r="A20" s="36" t="s">
        <v>75</v>
      </c>
      <c r="C20" s="36" t="s">
        <v>76</v>
      </c>
      <c r="F20" s="241" t="s">
        <v>23</v>
      </c>
      <c r="G20" s="34" t="s">
        <v>100</v>
      </c>
    </row>
    <row r="21" spans="1:48" ht="24" customHeight="1" x14ac:dyDescent="0.15">
      <c r="A21" s="44" t="s">
        <v>77</v>
      </c>
      <c r="B21" s="45">
        <f>'Monitor Bonos'!C19</f>
        <v>0.2</v>
      </c>
      <c r="C21" s="46" t="s">
        <v>11</v>
      </c>
      <c r="D21" s="70">
        <f ca="1">SUM(H28:AV28)</f>
        <v>47.470015335609048</v>
      </c>
      <c r="E21" s="37"/>
      <c r="F21" s="8" t="s">
        <v>101</v>
      </c>
      <c r="G21" s="28">
        <f ca="1">B22</f>
        <v>45478</v>
      </c>
      <c r="H21" s="28">
        <v>44386</v>
      </c>
      <c r="I21" s="29">
        <v>44570</v>
      </c>
      <c r="J21" s="29">
        <v>44751</v>
      </c>
      <c r="K21" s="29">
        <v>44935</v>
      </c>
      <c r="L21" s="29">
        <v>45116</v>
      </c>
      <c r="M21" s="29">
        <v>45300</v>
      </c>
      <c r="N21" s="29">
        <v>45482</v>
      </c>
      <c r="O21" s="29">
        <v>45666</v>
      </c>
      <c r="P21" s="29">
        <v>45847</v>
      </c>
      <c r="Q21" s="29">
        <v>46031</v>
      </c>
      <c r="R21" s="29">
        <v>46212</v>
      </c>
      <c r="S21" s="29">
        <v>46396</v>
      </c>
      <c r="T21" s="29">
        <v>46577</v>
      </c>
      <c r="U21" s="29">
        <v>46761</v>
      </c>
      <c r="V21" s="29">
        <v>46943</v>
      </c>
      <c r="W21" s="29">
        <v>47127</v>
      </c>
      <c r="X21" s="29">
        <v>47308</v>
      </c>
      <c r="Y21" s="29">
        <v>47492</v>
      </c>
      <c r="Z21" s="29">
        <v>47673</v>
      </c>
      <c r="AA21" s="29">
        <v>47857</v>
      </c>
      <c r="AB21" s="29">
        <v>48038</v>
      </c>
      <c r="AC21" s="29">
        <v>48222</v>
      </c>
      <c r="AD21" s="29">
        <v>48404</v>
      </c>
      <c r="AE21" s="29">
        <v>48588</v>
      </c>
      <c r="AF21" s="29">
        <v>48769</v>
      </c>
      <c r="AG21" s="29">
        <v>48953</v>
      </c>
      <c r="AH21" s="29">
        <v>49134</v>
      </c>
      <c r="AI21" s="29">
        <v>49318</v>
      </c>
      <c r="AJ21" s="29">
        <v>49499</v>
      </c>
      <c r="AK21" s="29">
        <v>49683</v>
      </c>
      <c r="AL21" s="29">
        <v>49865</v>
      </c>
      <c r="AM21" s="29">
        <v>50049</v>
      </c>
      <c r="AN21" s="29">
        <v>50230</v>
      </c>
      <c r="AO21" s="29">
        <v>50414</v>
      </c>
      <c r="AP21" s="29"/>
      <c r="AQ21" s="29"/>
      <c r="AR21" s="29"/>
      <c r="AS21" s="29"/>
      <c r="AT21" s="29"/>
      <c r="AU21" s="29"/>
      <c r="AV21" s="30"/>
    </row>
    <row r="22" spans="1:48" ht="24" customHeight="1" x14ac:dyDescent="0.15">
      <c r="A22" s="43" t="s">
        <v>79</v>
      </c>
      <c r="B22" s="38">
        <f ca="1">'Monitor Bonos'!$C$7</f>
        <v>45478</v>
      </c>
      <c r="C22" s="41" t="s">
        <v>80</v>
      </c>
      <c r="D22" s="40">
        <f ca="1">+B26*((B22-B25)/(B24-B25))</f>
        <v>5.82</v>
      </c>
      <c r="E22" s="37"/>
      <c r="F22" s="9" t="s">
        <v>81</v>
      </c>
      <c r="H22" s="16">
        <v>0</v>
      </c>
      <c r="I22" s="17">
        <f t="shared" ref="I22:AO22" ca="1" si="10">+(I21-$B$22)/365</f>
        <v>-2.4876712328767123</v>
      </c>
      <c r="J22" s="17">
        <f t="shared" ca="1" si="10"/>
        <v>-1.9917808219178081</v>
      </c>
      <c r="K22" s="17">
        <f t="shared" ca="1" si="10"/>
        <v>-1.4876712328767123</v>
      </c>
      <c r="L22" s="17">
        <f t="shared" ca="1" si="10"/>
        <v>-0.99178082191780825</v>
      </c>
      <c r="M22" s="17">
        <f t="shared" ca="1" si="10"/>
        <v>-0.48767123287671232</v>
      </c>
      <c r="N22" s="17">
        <f t="shared" ca="1" si="10"/>
        <v>1.0958904109589041E-2</v>
      </c>
      <c r="O22" s="17">
        <f t="shared" ca="1" si="10"/>
        <v>0.51506849315068493</v>
      </c>
      <c r="P22" s="17">
        <f t="shared" ca="1" si="10"/>
        <v>1.010958904109589</v>
      </c>
      <c r="Q22" s="17">
        <f t="shared" ca="1" si="10"/>
        <v>1.515068493150685</v>
      </c>
      <c r="R22" s="17">
        <f t="shared" ca="1" si="10"/>
        <v>2.010958904109589</v>
      </c>
      <c r="S22" s="17">
        <f t="shared" ca="1" si="10"/>
        <v>2.515068493150685</v>
      </c>
      <c r="T22" s="17">
        <f t="shared" ca="1" si="10"/>
        <v>3.010958904109589</v>
      </c>
      <c r="U22" s="17">
        <f t="shared" ca="1" si="10"/>
        <v>3.515068493150685</v>
      </c>
      <c r="V22" s="17">
        <f t="shared" ca="1" si="10"/>
        <v>4.0136986301369859</v>
      </c>
      <c r="W22" s="17">
        <f t="shared" ca="1" si="10"/>
        <v>4.5178082191780824</v>
      </c>
      <c r="X22" s="17">
        <f t="shared" ca="1" si="10"/>
        <v>5.0136986301369859</v>
      </c>
      <c r="Y22" s="17">
        <f t="shared" ca="1" si="10"/>
        <v>5.5178082191780824</v>
      </c>
      <c r="Z22" s="17">
        <f t="shared" ca="1" si="10"/>
        <v>6.0136986301369859</v>
      </c>
      <c r="AA22" s="17">
        <f t="shared" ca="1" si="10"/>
        <v>6.5178082191780824</v>
      </c>
      <c r="AB22" s="17">
        <f t="shared" ca="1" si="10"/>
        <v>7.0136986301369859</v>
      </c>
      <c r="AC22" s="17">
        <f t="shared" ca="1" si="10"/>
        <v>7.5178082191780824</v>
      </c>
      <c r="AD22" s="17">
        <f t="shared" ca="1" si="10"/>
        <v>8.0164383561643842</v>
      </c>
      <c r="AE22" s="17">
        <f t="shared" ca="1" si="10"/>
        <v>8.5205479452054789</v>
      </c>
      <c r="AF22" s="17">
        <f t="shared" ca="1" si="10"/>
        <v>9.0164383561643842</v>
      </c>
      <c r="AG22" s="17">
        <f t="shared" ca="1" si="10"/>
        <v>9.5205479452054789</v>
      </c>
      <c r="AH22" s="17">
        <f t="shared" ca="1" si="10"/>
        <v>10.016438356164384</v>
      </c>
      <c r="AI22" s="17">
        <f t="shared" ca="1" si="10"/>
        <v>10.520547945205479</v>
      </c>
      <c r="AJ22" s="17">
        <f t="shared" ca="1" si="10"/>
        <v>11.016438356164384</v>
      </c>
      <c r="AK22" s="17">
        <f t="shared" ca="1" si="10"/>
        <v>11.520547945205479</v>
      </c>
      <c r="AL22" s="17">
        <f t="shared" ca="1" si="10"/>
        <v>12.019178082191781</v>
      </c>
      <c r="AM22" s="17">
        <f t="shared" ca="1" si="10"/>
        <v>12.523287671232877</v>
      </c>
      <c r="AN22" s="17">
        <f t="shared" ca="1" si="10"/>
        <v>13.019178082191781</v>
      </c>
      <c r="AO22" s="17">
        <f t="shared" ca="1" si="10"/>
        <v>13.523287671232877</v>
      </c>
      <c r="AP22" s="17"/>
      <c r="AQ22" s="17"/>
      <c r="AR22" s="17"/>
      <c r="AS22" s="17"/>
      <c r="AT22" s="17"/>
      <c r="AU22" s="17"/>
      <c r="AV22" s="18"/>
    </row>
    <row r="23" spans="1:48" ht="24" customHeight="1" x14ac:dyDescent="0.15">
      <c r="A23" s="50" t="s">
        <v>82</v>
      </c>
      <c r="B23" s="51">
        <v>100</v>
      </c>
      <c r="C23" s="41" t="s">
        <v>83</v>
      </c>
      <c r="D23" s="39">
        <f ca="1">SUM(H31:AV31)/D21</f>
        <v>4.9910067094298007</v>
      </c>
      <c r="E23" s="37"/>
      <c r="F23" s="10" t="s">
        <v>87</v>
      </c>
      <c r="H23" s="14"/>
      <c r="I23" s="13"/>
      <c r="J23" s="13"/>
      <c r="K23" s="13"/>
      <c r="L23" s="65">
        <v>3.875E-2</v>
      </c>
      <c r="M23" s="66">
        <v>4.2500000000000003E-2</v>
      </c>
      <c r="N23" s="66">
        <v>4.2500000000000003E-2</v>
      </c>
      <c r="O23" s="67">
        <v>0.05</v>
      </c>
      <c r="P23" s="67">
        <v>0.05</v>
      </c>
      <c r="Q23" s="67">
        <v>0.05</v>
      </c>
      <c r="R23" s="67">
        <v>0.05</v>
      </c>
      <c r="S23" s="67">
        <v>0.05</v>
      </c>
      <c r="T23" s="67">
        <v>0.05</v>
      </c>
      <c r="U23" s="67">
        <v>0.05</v>
      </c>
      <c r="V23" s="67">
        <v>0.05</v>
      </c>
      <c r="W23" s="67">
        <v>0.05</v>
      </c>
      <c r="X23" s="67">
        <v>0.05</v>
      </c>
      <c r="Y23" s="67">
        <v>0.05</v>
      </c>
      <c r="Z23" s="67">
        <v>0.05</v>
      </c>
      <c r="AA23" s="67">
        <v>0.05</v>
      </c>
      <c r="AB23" s="67">
        <v>0.05</v>
      </c>
      <c r="AC23" s="67">
        <v>0.05</v>
      </c>
      <c r="AD23" s="67">
        <v>0.05</v>
      </c>
      <c r="AE23" s="67">
        <v>0.05</v>
      </c>
      <c r="AF23" s="67">
        <v>0.05</v>
      </c>
      <c r="AG23" s="67">
        <v>0.05</v>
      </c>
      <c r="AH23" s="67">
        <v>0.05</v>
      </c>
      <c r="AI23" s="67">
        <v>0.05</v>
      </c>
      <c r="AJ23" s="67">
        <v>0.05</v>
      </c>
      <c r="AK23" s="67">
        <v>0.05</v>
      </c>
      <c r="AL23" s="67">
        <v>0.05</v>
      </c>
      <c r="AM23" s="67">
        <v>0.05</v>
      </c>
      <c r="AN23" s="67">
        <v>0.05</v>
      </c>
      <c r="AO23" s="67">
        <v>0.05</v>
      </c>
      <c r="AP23" s="67"/>
      <c r="AQ23" s="67"/>
      <c r="AR23" s="67"/>
      <c r="AS23" s="67"/>
      <c r="AT23" s="67"/>
      <c r="AU23" s="67"/>
      <c r="AV23" s="68"/>
    </row>
    <row r="24" spans="1:48" ht="24" customHeight="1" x14ac:dyDescent="0.15">
      <c r="A24" s="50" t="s">
        <v>84</v>
      </c>
      <c r="B24" s="38">
        <f>L21</f>
        <v>45116</v>
      </c>
      <c r="C24" s="41" t="s">
        <v>85</v>
      </c>
      <c r="D24" s="39">
        <f ca="1">+D23/(1+B21/2)</f>
        <v>4.5372788267543642</v>
      </c>
      <c r="E24" s="37"/>
      <c r="F24" s="10" t="s">
        <v>29</v>
      </c>
      <c r="H24" s="19"/>
      <c r="I24" s="20"/>
      <c r="J24" s="20"/>
      <c r="K24" s="20"/>
      <c r="L24" s="21">
        <f>L23/2*L27</f>
        <v>1.9375</v>
      </c>
      <c r="M24" s="21">
        <f t="shared" ref="M24:AO24" si="11">M23/2*M27</f>
        <v>2.125</v>
      </c>
      <c r="N24" s="21">
        <f t="shared" si="11"/>
        <v>2.125</v>
      </c>
      <c r="O24" s="21">
        <f t="shared" si="11"/>
        <v>2.5</v>
      </c>
      <c r="P24" s="21">
        <f t="shared" si="11"/>
        <v>2.5</v>
      </c>
      <c r="Q24" s="21">
        <f t="shared" si="11"/>
        <v>2.5</v>
      </c>
      <c r="R24" s="21">
        <f t="shared" si="11"/>
        <v>2.5</v>
      </c>
      <c r="S24" s="21">
        <f t="shared" si="11"/>
        <v>2.5</v>
      </c>
      <c r="T24" s="21">
        <f t="shared" si="11"/>
        <v>2.5</v>
      </c>
      <c r="U24" s="21">
        <f t="shared" si="11"/>
        <v>2.3863636363636362</v>
      </c>
      <c r="V24" s="21">
        <f t="shared" si="11"/>
        <v>2.2727272727272729</v>
      </c>
      <c r="W24" s="21">
        <f t="shared" si="11"/>
        <v>2.1590909090909092</v>
      </c>
      <c r="X24" s="21">
        <f t="shared" si="11"/>
        <v>2.0454545454545454</v>
      </c>
      <c r="Y24" s="21">
        <f t="shared" si="11"/>
        <v>1.9318181818181817</v>
      </c>
      <c r="Z24" s="21">
        <f t="shared" si="11"/>
        <v>1.8181818181818181</v>
      </c>
      <c r="AA24" s="21">
        <f t="shared" si="11"/>
        <v>1.7045454545454544</v>
      </c>
      <c r="AB24" s="21">
        <f t="shared" si="11"/>
        <v>1.5909090909090908</v>
      </c>
      <c r="AC24" s="21">
        <f t="shared" si="11"/>
        <v>1.4772727272727271</v>
      </c>
      <c r="AD24" s="21">
        <f t="shared" si="11"/>
        <v>1.3636363636363633</v>
      </c>
      <c r="AE24" s="21">
        <f t="shared" si="11"/>
        <v>1.2499999999999998</v>
      </c>
      <c r="AF24" s="21">
        <f t="shared" si="11"/>
        <v>1.136363636363636</v>
      </c>
      <c r="AG24" s="21">
        <f t="shared" si="11"/>
        <v>1.0227272727272723</v>
      </c>
      <c r="AH24" s="21">
        <f t="shared" si="11"/>
        <v>0.90909090909090873</v>
      </c>
      <c r="AI24" s="21">
        <f t="shared" si="11"/>
        <v>0.79545454545454497</v>
      </c>
      <c r="AJ24" s="21">
        <f t="shared" si="11"/>
        <v>0.68181818181818121</v>
      </c>
      <c r="AK24" s="21">
        <f t="shared" si="11"/>
        <v>0.56818181818181734</v>
      </c>
      <c r="AL24" s="21">
        <f t="shared" si="11"/>
        <v>0.45454545454545364</v>
      </c>
      <c r="AM24" s="21">
        <f t="shared" si="11"/>
        <v>0.34090909090908988</v>
      </c>
      <c r="AN24" s="21">
        <f t="shared" si="11"/>
        <v>0.2272727272727261</v>
      </c>
      <c r="AO24" s="21">
        <f t="shared" si="11"/>
        <v>0.11363636363636234</v>
      </c>
      <c r="AP24" s="21"/>
      <c r="AQ24" s="21"/>
      <c r="AR24" s="21"/>
      <c r="AS24" s="21"/>
      <c r="AT24" s="21"/>
      <c r="AU24" s="21"/>
      <c r="AV24" s="22"/>
    </row>
    <row r="25" spans="1:48" ht="24" customHeight="1" x14ac:dyDescent="0.15">
      <c r="A25" s="50" t="s">
        <v>86</v>
      </c>
      <c r="B25" s="38">
        <f>K21</f>
        <v>44935</v>
      </c>
      <c r="C25" s="41" t="s">
        <v>13</v>
      </c>
      <c r="D25" s="39">
        <f ca="1">SUM(H33:AV33)/D21</f>
        <v>28.200466909026307</v>
      </c>
      <c r="E25" s="37"/>
      <c r="F25" s="10" t="s">
        <v>28</v>
      </c>
      <c r="H25" s="19">
        <v>0</v>
      </c>
      <c r="I25" s="23">
        <v>0</v>
      </c>
      <c r="J25" s="23">
        <v>0</v>
      </c>
      <c r="K25" s="23">
        <v>0</v>
      </c>
      <c r="L25" s="23">
        <v>0</v>
      </c>
      <c r="M25" s="23">
        <v>0</v>
      </c>
      <c r="N25" s="23">
        <v>0</v>
      </c>
      <c r="O25" s="23">
        <v>0</v>
      </c>
      <c r="P25" s="23">
        <v>0</v>
      </c>
      <c r="Q25" s="23">
        <v>0</v>
      </c>
      <c r="R25" s="23">
        <v>0</v>
      </c>
      <c r="S25" s="23">
        <v>0</v>
      </c>
      <c r="T25" s="23">
        <v>4.5454545454545503</v>
      </c>
      <c r="U25" s="23">
        <v>4.5454545454545503</v>
      </c>
      <c r="V25" s="23">
        <v>4.5454545454545503</v>
      </c>
      <c r="W25" s="23">
        <v>4.5454545454545503</v>
      </c>
      <c r="X25" s="23">
        <v>4.5454545454545503</v>
      </c>
      <c r="Y25" s="23">
        <v>4.5454545454545503</v>
      </c>
      <c r="Z25" s="23">
        <v>4.5454545454545503</v>
      </c>
      <c r="AA25" s="23">
        <v>4.5454545454545503</v>
      </c>
      <c r="AB25" s="23">
        <v>4.5454545454545503</v>
      </c>
      <c r="AC25" s="23">
        <v>4.5454545454545503</v>
      </c>
      <c r="AD25" s="23">
        <v>4.5454545454545503</v>
      </c>
      <c r="AE25" s="23">
        <v>4.5454545454545503</v>
      </c>
      <c r="AF25" s="23">
        <v>4.5454545454545503</v>
      </c>
      <c r="AG25" s="23">
        <v>4.5454545454545503</v>
      </c>
      <c r="AH25" s="23">
        <v>4.5454545454545503</v>
      </c>
      <c r="AI25" s="23">
        <v>4.5454545454545503</v>
      </c>
      <c r="AJ25" s="23">
        <v>4.5454545454545503</v>
      </c>
      <c r="AK25" s="23">
        <v>4.5454545454545503</v>
      </c>
      <c r="AL25" s="23">
        <v>4.5454545454545503</v>
      </c>
      <c r="AM25" s="23">
        <v>4.5454545454545503</v>
      </c>
      <c r="AN25" s="23">
        <v>4.5454545454545503</v>
      </c>
      <c r="AO25" s="23">
        <v>4.5454545454545503</v>
      </c>
      <c r="AP25" s="23"/>
      <c r="AQ25" s="23"/>
      <c r="AR25" s="23"/>
      <c r="AS25" s="23"/>
      <c r="AT25" s="23"/>
      <c r="AU25" s="23"/>
      <c r="AV25" s="23"/>
    </row>
    <row r="26" spans="1:48" ht="24" customHeight="1" x14ac:dyDescent="0.15">
      <c r="A26" s="50" t="s">
        <v>88</v>
      </c>
      <c r="B26" s="61">
        <v>1.94</v>
      </c>
      <c r="E26" s="37"/>
      <c r="F26" s="11" t="s">
        <v>92</v>
      </c>
      <c r="G26">
        <f>-B28</f>
        <v>-30</v>
      </c>
      <c r="H26" s="19">
        <f t="shared" ref="H26:AO26" si="12">IF(H22&lt;0,0,H25+H24)</f>
        <v>0</v>
      </c>
      <c r="I26" s="23">
        <f t="shared" ca="1" si="12"/>
        <v>0</v>
      </c>
      <c r="J26" s="23">
        <f t="shared" ca="1" si="12"/>
        <v>0</v>
      </c>
      <c r="K26" s="23">
        <f t="shared" ca="1" si="12"/>
        <v>0</v>
      </c>
      <c r="L26" s="23">
        <f t="shared" ca="1" si="12"/>
        <v>0</v>
      </c>
      <c r="M26" s="23">
        <f t="shared" ca="1" si="12"/>
        <v>0</v>
      </c>
      <c r="N26" s="23">
        <f t="shared" ca="1" si="12"/>
        <v>2.125</v>
      </c>
      <c r="O26" s="23">
        <f t="shared" ca="1" si="12"/>
        <v>2.5</v>
      </c>
      <c r="P26" s="23">
        <f t="shared" ca="1" si="12"/>
        <v>2.5</v>
      </c>
      <c r="Q26" s="23">
        <f t="shared" ca="1" si="12"/>
        <v>2.5</v>
      </c>
      <c r="R26" s="23">
        <f t="shared" ca="1" si="12"/>
        <v>2.5</v>
      </c>
      <c r="S26" s="23">
        <f t="shared" ca="1" si="12"/>
        <v>2.5</v>
      </c>
      <c r="T26" s="23">
        <f t="shared" ca="1" si="12"/>
        <v>7.0454545454545503</v>
      </c>
      <c r="U26" s="23">
        <f t="shared" ca="1" si="12"/>
        <v>6.931818181818187</v>
      </c>
      <c r="V26" s="23">
        <f t="shared" ca="1" si="12"/>
        <v>6.8181818181818237</v>
      </c>
      <c r="W26" s="23">
        <f t="shared" ca="1" si="12"/>
        <v>6.7045454545454595</v>
      </c>
      <c r="X26" s="23">
        <f t="shared" ca="1" si="12"/>
        <v>6.5909090909090953</v>
      </c>
      <c r="Y26" s="23">
        <f t="shared" ca="1" si="12"/>
        <v>6.477272727272732</v>
      </c>
      <c r="Z26" s="23">
        <f t="shared" ca="1" si="12"/>
        <v>6.3636363636363686</v>
      </c>
      <c r="AA26" s="23">
        <f t="shared" ca="1" si="12"/>
        <v>6.2500000000000044</v>
      </c>
      <c r="AB26" s="23">
        <f t="shared" ca="1" si="12"/>
        <v>6.1363636363636411</v>
      </c>
      <c r="AC26" s="23">
        <f t="shared" ca="1" si="12"/>
        <v>6.0227272727272769</v>
      </c>
      <c r="AD26" s="23">
        <f t="shared" ca="1" si="12"/>
        <v>5.9090909090909136</v>
      </c>
      <c r="AE26" s="23">
        <f t="shared" ca="1" si="12"/>
        <v>5.7954545454545503</v>
      </c>
      <c r="AF26" s="23">
        <f t="shared" ca="1" si="12"/>
        <v>5.6818181818181861</v>
      </c>
      <c r="AG26" s="23">
        <f t="shared" ca="1" si="12"/>
        <v>5.5681818181818228</v>
      </c>
      <c r="AH26" s="23">
        <f t="shared" ca="1" si="12"/>
        <v>5.4545454545454586</v>
      </c>
      <c r="AI26" s="23">
        <f t="shared" ca="1" si="12"/>
        <v>5.3409090909090953</v>
      </c>
      <c r="AJ26" s="23">
        <f t="shared" ca="1" si="12"/>
        <v>5.227272727272732</v>
      </c>
      <c r="AK26" s="23">
        <f t="shared" ca="1" si="12"/>
        <v>5.1136363636363678</v>
      </c>
      <c r="AL26" s="23">
        <f t="shared" ca="1" si="12"/>
        <v>5.0000000000000036</v>
      </c>
      <c r="AM26" s="23">
        <f t="shared" ca="1" si="12"/>
        <v>4.8863636363636402</v>
      </c>
      <c r="AN26" s="23">
        <f t="shared" ca="1" si="12"/>
        <v>4.772727272727276</v>
      </c>
      <c r="AO26" s="23">
        <f t="shared" ca="1" si="12"/>
        <v>4.6590909090909127</v>
      </c>
      <c r="AP26" s="23"/>
      <c r="AQ26" s="23"/>
      <c r="AR26" s="23"/>
      <c r="AS26" s="23"/>
      <c r="AT26" s="23"/>
      <c r="AU26" s="23"/>
      <c r="AV26" s="24"/>
    </row>
    <row r="27" spans="1:48" ht="24" customHeight="1" x14ac:dyDescent="0.15">
      <c r="F27" s="12" t="s">
        <v>89</v>
      </c>
      <c r="H27" s="25">
        <f>B23</f>
        <v>100</v>
      </c>
      <c r="I27" s="26">
        <f t="shared" ref="I27:AO27" si="13">H27-H25</f>
        <v>100</v>
      </c>
      <c r="J27" s="26">
        <f t="shared" si="13"/>
        <v>100</v>
      </c>
      <c r="K27" s="26">
        <f t="shared" si="13"/>
        <v>100</v>
      </c>
      <c r="L27" s="26">
        <f t="shared" si="13"/>
        <v>100</v>
      </c>
      <c r="M27" s="26">
        <f t="shared" si="13"/>
        <v>100</v>
      </c>
      <c r="N27" s="26">
        <f t="shared" si="13"/>
        <v>100</v>
      </c>
      <c r="O27" s="26">
        <f t="shared" si="13"/>
        <v>100</v>
      </c>
      <c r="P27" s="26">
        <f t="shared" si="13"/>
        <v>100</v>
      </c>
      <c r="Q27" s="26">
        <f t="shared" si="13"/>
        <v>100</v>
      </c>
      <c r="R27" s="26">
        <f t="shared" si="13"/>
        <v>100</v>
      </c>
      <c r="S27" s="26">
        <f t="shared" si="13"/>
        <v>100</v>
      </c>
      <c r="T27" s="26">
        <f t="shared" si="13"/>
        <v>100</v>
      </c>
      <c r="U27" s="26">
        <f t="shared" si="13"/>
        <v>95.454545454545453</v>
      </c>
      <c r="V27" s="26">
        <f t="shared" si="13"/>
        <v>90.909090909090907</v>
      </c>
      <c r="W27" s="26">
        <f t="shared" si="13"/>
        <v>86.36363636363636</v>
      </c>
      <c r="X27" s="26">
        <f t="shared" si="13"/>
        <v>81.818181818181813</v>
      </c>
      <c r="Y27" s="26">
        <f t="shared" si="13"/>
        <v>77.272727272727266</v>
      </c>
      <c r="Z27" s="26">
        <f t="shared" si="13"/>
        <v>72.72727272727272</v>
      </c>
      <c r="AA27" s="26">
        <f t="shared" si="13"/>
        <v>68.181818181818173</v>
      </c>
      <c r="AB27" s="26">
        <f t="shared" si="13"/>
        <v>63.636363636363626</v>
      </c>
      <c r="AC27" s="26">
        <f t="shared" si="13"/>
        <v>59.090909090909079</v>
      </c>
      <c r="AD27" s="26">
        <f t="shared" si="13"/>
        <v>54.545454545454533</v>
      </c>
      <c r="AE27" s="26">
        <f t="shared" si="13"/>
        <v>49.999999999999986</v>
      </c>
      <c r="AF27" s="26">
        <f t="shared" si="13"/>
        <v>45.454545454545439</v>
      </c>
      <c r="AG27" s="26">
        <f t="shared" si="13"/>
        <v>40.909090909090892</v>
      </c>
      <c r="AH27" s="26">
        <f t="shared" si="13"/>
        <v>36.363636363636346</v>
      </c>
      <c r="AI27" s="26">
        <f t="shared" si="13"/>
        <v>31.818181818181795</v>
      </c>
      <c r="AJ27" s="26">
        <f t="shared" si="13"/>
        <v>27.272727272727245</v>
      </c>
      <c r="AK27" s="26">
        <f t="shared" si="13"/>
        <v>22.727272727272695</v>
      </c>
      <c r="AL27" s="26">
        <f t="shared" si="13"/>
        <v>18.181818181818144</v>
      </c>
      <c r="AM27" s="26">
        <f t="shared" si="13"/>
        <v>13.636363636363594</v>
      </c>
      <c r="AN27" s="26">
        <f t="shared" si="13"/>
        <v>9.0909090909090438</v>
      </c>
      <c r="AO27" s="26">
        <f t="shared" si="13"/>
        <v>4.5454545454544935</v>
      </c>
      <c r="AP27" s="26"/>
      <c r="AQ27" s="26"/>
      <c r="AR27" s="26"/>
      <c r="AS27" s="26"/>
      <c r="AT27" s="26"/>
      <c r="AU27" s="26"/>
      <c r="AV27" s="27"/>
    </row>
    <row r="28" spans="1:48" ht="24" customHeight="1" x14ac:dyDescent="0.15">
      <c r="A28" s="44" t="s">
        <v>11</v>
      </c>
      <c r="B28" s="71">
        <f>'Monitor Bonos'!M19</f>
        <v>30</v>
      </c>
      <c r="C28" s="48" t="s">
        <v>77</v>
      </c>
      <c r="D28" s="49">
        <f ca="1">XIRR(G26:AV26,G21:AV21)</f>
        <v>0.32947021126747134</v>
      </c>
      <c r="E28" s="31"/>
      <c r="F28" s="11" t="s">
        <v>102</v>
      </c>
      <c r="H28" s="52">
        <f t="shared" ref="H28:AO28" si="14">+H26/(1+$B$21)^(H22)</f>
        <v>0</v>
      </c>
      <c r="I28" s="53">
        <f t="shared" ca="1" si="14"/>
        <v>0</v>
      </c>
      <c r="J28" s="53">
        <f t="shared" ca="1" si="14"/>
        <v>0</v>
      </c>
      <c r="K28" s="53">
        <f t="shared" ca="1" si="14"/>
        <v>0</v>
      </c>
      <c r="L28" s="54">
        <f t="shared" ca="1" si="14"/>
        <v>0</v>
      </c>
      <c r="M28" s="54">
        <f t="shared" ca="1" si="14"/>
        <v>0</v>
      </c>
      <c r="N28" s="54">
        <f t="shared" ca="1" si="14"/>
        <v>2.1207583943961059</v>
      </c>
      <c r="O28" s="54">
        <f t="shared" ca="1" si="14"/>
        <v>2.2759160765129431</v>
      </c>
      <c r="P28" s="54">
        <f t="shared" ca="1" si="14"/>
        <v>2.0791748964667707</v>
      </c>
      <c r="Q28" s="54">
        <f t="shared" ca="1" si="14"/>
        <v>1.8965967304274522</v>
      </c>
      <c r="R28" s="54">
        <f t="shared" ca="1" si="14"/>
        <v>1.7326457470556422</v>
      </c>
      <c r="S28" s="54">
        <f t="shared" ca="1" si="14"/>
        <v>1.5804972753562103</v>
      </c>
      <c r="T28" s="54">
        <f t="shared" ca="1" si="14"/>
        <v>4.06909228475189</v>
      </c>
      <c r="U28" s="54">
        <f t="shared" ca="1" si="14"/>
        <v>3.6519065832094282</v>
      </c>
      <c r="V28" s="54">
        <f t="shared" ca="1" si="14"/>
        <v>3.2798872866835187</v>
      </c>
      <c r="W28" s="54">
        <f t="shared" ca="1" si="14"/>
        <v>2.9420066854826583</v>
      </c>
      <c r="X28" s="54">
        <f t="shared" ca="1" si="14"/>
        <v>2.6421314253839454</v>
      </c>
      <c r="Y28" s="54">
        <f t="shared" ca="1" si="14"/>
        <v>2.3685647044140041</v>
      </c>
      <c r="Z28" s="54">
        <f t="shared" ca="1" si="14"/>
        <v>2.1258528709985773</v>
      </c>
      <c r="AA28" s="54">
        <f t="shared" ca="1" si="14"/>
        <v>1.9045476424381618</v>
      </c>
      <c r="AB28" s="54">
        <f t="shared" ca="1" si="14"/>
        <v>1.7082746284809993</v>
      </c>
      <c r="AC28" s="54">
        <f t="shared" ca="1" si="14"/>
        <v>1.5294094704427661</v>
      </c>
      <c r="AD28" s="54">
        <f t="shared" ca="1" si="14"/>
        <v>1.3701530871719765</v>
      </c>
      <c r="AE28" s="54">
        <f t="shared" ca="1" si="14"/>
        <v>1.225800800525227</v>
      </c>
      <c r="AF28" s="54">
        <f t="shared" ca="1" si="14"/>
        <v>1.0978790762595965</v>
      </c>
      <c r="AG28" s="54">
        <f t="shared" ca="1" si="14"/>
        <v>0.98144181741398917</v>
      </c>
      <c r="AH28" s="54">
        <f t="shared" ca="1" si="14"/>
        <v>0.87830326100767742</v>
      </c>
      <c r="AI28" s="54">
        <f t="shared" ca="1" si="14"/>
        <v>0.7844858064363518</v>
      </c>
      <c r="AJ28" s="54">
        <f t="shared" ca="1" si="14"/>
        <v>0.70142274316585362</v>
      </c>
      <c r="AK28" s="54">
        <f t="shared" ca="1" si="14"/>
        <v>0.62591952641198301</v>
      </c>
      <c r="AL28" s="54">
        <f t="shared" ca="1" si="14"/>
        <v>0.55882587566792385</v>
      </c>
      <c r="AM28" s="54">
        <f t="shared" ca="1" si="14"/>
        <v>0.49816849780014927</v>
      </c>
      <c r="AN28" s="54">
        <f t="shared" ca="1" si="14"/>
        <v>0.44452058291766672</v>
      </c>
      <c r="AO28" s="54">
        <f t="shared" ca="1" si="14"/>
        <v>0.39583155832957601</v>
      </c>
      <c r="AP28" s="54"/>
      <c r="AQ28" s="54"/>
      <c r="AR28" s="54"/>
      <c r="AS28" s="54"/>
      <c r="AT28" s="54"/>
      <c r="AU28" s="54"/>
      <c r="AV28" s="55"/>
    </row>
    <row r="29" spans="1:48" ht="24" customHeight="1" x14ac:dyDescent="0.15">
      <c r="C29" s="41" t="s">
        <v>83</v>
      </c>
      <c r="D29" s="39">
        <f ca="1">SUM(H31:AV31)/B28</f>
        <v>7.8974388345586766</v>
      </c>
      <c r="F29" s="11" t="s">
        <v>103</v>
      </c>
      <c r="H29" s="56">
        <f t="shared" ref="H29:AO29" ca="1" si="15">+H26/(1+$D$28)^(H22)</f>
        <v>0</v>
      </c>
      <c r="I29" s="57">
        <f t="shared" ca="1" si="15"/>
        <v>0</v>
      </c>
      <c r="J29" s="57">
        <f t="shared" ca="1" si="15"/>
        <v>0</v>
      </c>
      <c r="K29" s="57">
        <f t="shared" ca="1" si="15"/>
        <v>0</v>
      </c>
      <c r="L29" s="57">
        <f t="shared" ca="1" si="15"/>
        <v>0</v>
      </c>
      <c r="M29" s="57">
        <f t="shared" ca="1" si="15"/>
        <v>0</v>
      </c>
      <c r="N29" s="57">
        <f t="shared" ca="1" si="15"/>
        <v>2.1183784626433804</v>
      </c>
      <c r="O29" s="57">
        <f t="shared" ca="1" si="15"/>
        <v>2.1589225023632737</v>
      </c>
      <c r="P29" s="57">
        <f t="shared" ca="1" si="15"/>
        <v>1.8745887910305628</v>
      </c>
      <c r="Q29" s="57">
        <f t="shared" ca="1" si="15"/>
        <v>1.6238968606186601</v>
      </c>
      <c r="R29" s="57">
        <f t="shared" ca="1" si="15"/>
        <v>1.4100269228622988</v>
      </c>
      <c r="S29" s="57">
        <f t="shared" ca="1" si="15"/>
        <v>1.2214616370159153</v>
      </c>
      <c r="T29" s="57">
        <f t="shared" ca="1" si="15"/>
        <v>2.9889441700006123</v>
      </c>
      <c r="U29" s="57">
        <f t="shared" ca="1" si="15"/>
        <v>2.5474658738801614</v>
      </c>
      <c r="V29" s="57">
        <f t="shared" ca="1" si="15"/>
        <v>2.1740018414149365</v>
      </c>
      <c r="W29" s="57">
        <f t="shared" ca="1" si="15"/>
        <v>1.851881082280916</v>
      </c>
      <c r="X29" s="57">
        <f t="shared" ca="1" si="15"/>
        <v>1.5807312533646318</v>
      </c>
      <c r="Y29" s="57">
        <f t="shared" ca="1" si="15"/>
        <v>1.3457281232856029</v>
      </c>
      <c r="Z29" s="57">
        <f t="shared" ca="1" si="15"/>
        <v>1.1479935888564439</v>
      </c>
      <c r="AA29" s="57">
        <f t="shared" ca="1" si="15"/>
        <v>0.97671206292471091</v>
      </c>
      <c r="AB29" s="57">
        <f t="shared" ca="1" si="15"/>
        <v>0.83265785757658073</v>
      </c>
      <c r="AC29" s="57">
        <f t="shared" ca="1" si="15"/>
        <v>0.70794761150702012</v>
      </c>
      <c r="AD29" s="57">
        <f t="shared" ca="1" si="15"/>
        <v>0.60264105160074621</v>
      </c>
      <c r="AE29" s="57">
        <f t="shared" ca="1" si="15"/>
        <v>0.51200944338484433</v>
      </c>
      <c r="AF29" s="57">
        <f t="shared" ca="1" si="15"/>
        <v>0.43585974676609146</v>
      </c>
      <c r="AG29" s="57">
        <f t="shared" ca="1" si="15"/>
        <v>0.37002005574422614</v>
      </c>
      <c r="AH29" s="57">
        <f t="shared" ca="1" si="15"/>
        <v>0.31473090058673475</v>
      </c>
      <c r="AI29" s="57">
        <f t="shared" ca="1" si="15"/>
        <v>0.2669613755299779</v>
      </c>
      <c r="AJ29" s="57">
        <f t="shared" ca="1" si="15"/>
        <v>0.22687015512347289</v>
      </c>
      <c r="AK29" s="57">
        <f t="shared" ca="1" si="15"/>
        <v>0.1922580249113712</v>
      </c>
      <c r="AL29" s="57">
        <f t="shared" ca="1" si="15"/>
        <v>0.1631002987447529</v>
      </c>
      <c r="AM29" s="57">
        <f t="shared" ca="1" si="15"/>
        <v>0.13807751486726674</v>
      </c>
      <c r="AN29" s="57">
        <f t="shared" ca="1" si="15"/>
        <v>0.11710427769072258</v>
      </c>
      <c r="AO29" s="57">
        <f t="shared" ca="1" si="15"/>
        <v>9.9028397746441205E-2</v>
      </c>
      <c r="AP29" s="57"/>
      <c r="AQ29" s="57"/>
      <c r="AR29" s="57"/>
      <c r="AS29" s="57"/>
      <c r="AT29" s="57"/>
      <c r="AU29" s="57"/>
      <c r="AV29" s="58"/>
    </row>
    <row r="30" spans="1:48" ht="24" customHeight="1" x14ac:dyDescent="0.15">
      <c r="C30" s="41" t="s">
        <v>85</v>
      </c>
      <c r="D30" s="39">
        <f ca="1">+D29/(1+D28/2)</f>
        <v>6.780459175961437</v>
      </c>
      <c r="F30" s="60" t="s">
        <v>104</v>
      </c>
      <c r="N30" s="1"/>
      <c r="O30" s="1"/>
      <c r="AC30" s="4"/>
    </row>
    <row r="31" spans="1:48" ht="24" customHeight="1" x14ac:dyDescent="0.15">
      <c r="C31" s="41" t="s">
        <v>13</v>
      </c>
      <c r="D31" s="39">
        <f ca="1">SUM(H34:AV34)/B28</f>
        <v>16.18211007439858</v>
      </c>
      <c r="F31" s="59" t="s">
        <v>105</v>
      </c>
      <c r="H31">
        <f t="shared" ref="H31:AO31" si="16">H28*H22</f>
        <v>0</v>
      </c>
      <c r="I31">
        <f t="shared" ca="1" si="16"/>
        <v>0</v>
      </c>
      <c r="J31">
        <f t="shared" ca="1" si="16"/>
        <v>0</v>
      </c>
      <c r="K31">
        <f t="shared" ca="1" si="16"/>
        <v>0</v>
      </c>
      <c r="L31">
        <f t="shared" ca="1" si="16"/>
        <v>0</v>
      </c>
      <c r="M31">
        <f t="shared" ca="1" si="16"/>
        <v>0</v>
      </c>
      <c r="N31">
        <f t="shared" ca="1" si="16"/>
        <v>2.3241187883792942E-2</v>
      </c>
      <c r="O31">
        <f t="shared" ca="1" si="16"/>
        <v>1.1722526640669406</v>
      </c>
      <c r="P31">
        <f t="shared" ca="1" si="16"/>
        <v>2.1019603747842148</v>
      </c>
      <c r="Q31">
        <f t="shared" ca="1" si="16"/>
        <v>2.8734739504832363</v>
      </c>
      <c r="R31">
        <f t="shared" ca="1" si="16"/>
        <v>3.4842793927091544</v>
      </c>
      <c r="S31">
        <f t="shared" ca="1" si="16"/>
        <v>3.9750589007589072</v>
      </c>
      <c r="T31">
        <f t="shared" ca="1" si="16"/>
        <v>12.251869646417335</v>
      </c>
      <c r="U31">
        <f t="shared" ca="1" si="16"/>
        <v>12.836701770569032</v>
      </c>
      <c r="V31">
        <f t="shared" ca="1" si="16"/>
        <v>13.164479109565354</v>
      </c>
      <c r="W31">
        <f t="shared" ca="1" si="16"/>
        <v>13.291421984550421</v>
      </c>
      <c r="X31">
        <f t="shared" ca="1" si="16"/>
        <v>13.246850708089369</v>
      </c>
      <c r="Y31">
        <f t="shared" ca="1" si="16"/>
        <v>13.069285793670698</v>
      </c>
      <c r="Z31">
        <f t="shared" ca="1" si="16"/>
        <v>12.784238498196924</v>
      </c>
      <c r="AA31">
        <f t="shared" ca="1" si="16"/>
        <v>12.41347627769969</v>
      </c>
      <c r="AB31">
        <f t="shared" ca="1" si="16"/>
        <v>11.981323421674954</v>
      </c>
      <c r="AC31">
        <f t="shared" ca="1" si="16"/>
        <v>11.497807087383425</v>
      </c>
      <c r="AD31">
        <f t="shared" ca="1" si="16"/>
        <v>10.983747761822475</v>
      </c>
      <c r="AE31">
        <f t="shared" ca="1" si="16"/>
        <v>10.444494492146454</v>
      </c>
      <c r="AF31">
        <f t="shared" ca="1" si="16"/>
        <v>9.8989590136173486</v>
      </c>
      <c r="AG31">
        <f t="shared" ca="1" si="16"/>
        <v>9.3438638781194854</v>
      </c>
      <c r="AH31">
        <f t="shared" ca="1" si="16"/>
        <v>8.7974704719015584</v>
      </c>
      <c r="AI31">
        <f t="shared" ca="1" si="16"/>
        <v>8.2532205389468238</v>
      </c>
      <c r="AJ31">
        <f t="shared" ca="1" si="16"/>
        <v>7.7271804116983498</v>
      </c>
      <c r="AK31">
        <f t="shared" ca="1" si="16"/>
        <v>7.210935913869557</v>
      </c>
      <c r="AL31">
        <f t="shared" ca="1" si="16"/>
        <v>6.7166277165895396</v>
      </c>
      <c r="AM31">
        <f t="shared" ca="1" si="16"/>
        <v>6.2387074066972117</v>
      </c>
      <c r="AN31">
        <f t="shared" ca="1" si="16"/>
        <v>5.7872926302048002</v>
      </c>
      <c r="AO31">
        <f t="shared" ca="1" si="16"/>
        <v>5.3529440326432525</v>
      </c>
    </row>
    <row r="32" spans="1:48" ht="24" customHeight="1" x14ac:dyDescent="0.15">
      <c r="F32" s="2" t="s">
        <v>106</v>
      </c>
      <c r="H32">
        <f t="shared" ref="H32:AO32" si="17">H22*(H22+1)</f>
        <v>0</v>
      </c>
      <c r="I32">
        <f t="shared" ca="1" si="17"/>
        <v>3.7008369300056296</v>
      </c>
      <c r="J32">
        <f t="shared" ca="1" si="17"/>
        <v>1.9754100206417713</v>
      </c>
      <c r="K32">
        <f t="shared" ca="1" si="17"/>
        <v>0.72549446425220487</v>
      </c>
      <c r="L32">
        <f t="shared" ca="1" si="17"/>
        <v>-8.1516231938449663E-3</v>
      </c>
      <c r="M32">
        <f t="shared" ca="1" si="17"/>
        <v>-0.24984800150121975</v>
      </c>
      <c r="N32">
        <f t="shared" ca="1" si="17"/>
        <v>1.1079001688872209E-2</v>
      </c>
      <c r="O32">
        <f t="shared" ca="1" si="17"/>
        <v>0.7803640457872022</v>
      </c>
      <c r="P32">
        <f t="shared" ca="1" si="17"/>
        <v>2.0329968099080502</v>
      </c>
      <c r="Q32">
        <f t="shared" ca="1" si="17"/>
        <v>3.8105010320885726</v>
      </c>
      <c r="R32">
        <f t="shared" ca="1" si="17"/>
        <v>6.0549146181272278</v>
      </c>
      <c r="S32">
        <f t="shared" ca="1" si="17"/>
        <v>8.8406380183899422</v>
      </c>
      <c r="T32">
        <f t="shared" ca="1" si="17"/>
        <v>12.076832426346407</v>
      </c>
      <c r="U32">
        <f t="shared" ca="1" si="17"/>
        <v>15.870775004691312</v>
      </c>
      <c r="V32">
        <f t="shared" ca="1" si="17"/>
        <v>20.123475323700504</v>
      </c>
      <c r="W32">
        <f t="shared" ca="1" si="17"/>
        <v>24.928399324451117</v>
      </c>
      <c r="X32">
        <f t="shared" ca="1" si="17"/>
        <v>30.150872583974476</v>
      </c>
      <c r="Y32">
        <f t="shared" ca="1" si="17"/>
        <v>35.964015762807286</v>
      </c>
      <c r="Z32">
        <f t="shared" ca="1" si="17"/>
        <v>42.178269844248447</v>
      </c>
      <c r="AA32">
        <f t="shared" ca="1" si="17"/>
        <v>48.99963220116345</v>
      </c>
      <c r="AB32">
        <f t="shared" ca="1" si="17"/>
        <v>56.205667104522419</v>
      </c>
      <c r="AC32">
        <f t="shared" ca="1" si="17"/>
        <v>64.035248639519608</v>
      </c>
      <c r="AD32">
        <f t="shared" ca="1" si="17"/>
        <v>72.279722274347918</v>
      </c>
      <c r="AE32">
        <f t="shared" ca="1" si="17"/>
        <v>81.120285231750785</v>
      </c>
      <c r="AF32">
        <f t="shared" ca="1" si="17"/>
        <v>90.31259898667669</v>
      </c>
      <c r="AG32">
        <f t="shared" ca="1" si="17"/>
        <v>100.16138112216174</v>
      </c>
      <c r="AH32">
        <f t="shared" ca="1" si="17"/>
        <v>110.34547569900545</v>
      </c>
      <c r="AI32">
        <f t="shared" ca="1" si="17"/>
        <v>121.2024770125727</v>
      </c>
      <c r="AJ32">
        <f t="shared" ca="1" si="17"/>
        <v>132.37835241133422</v>
      </c>
      <c r="AK32">
        <f t="shared" ca="1" si="17"/>
        <v>144.24357290298366</v>
      </c>
      <c r="AL32">
        <f t="shared" ca="1" si="17"/>
        <v>156.47981985363106</v>
      </c>
      <c r="AM32">
        <f t="shared" ca="1" si="17"/>
        <v>169.35602176768626</v>
      </c>
      <c r="AN32">
        <f t="shared" ca="1" si="17"/>
        <v>182.51817601801463</v>
      </c>
      <c r="AO32">
        <f t="shared" ca="1" si="17"/>
        <v>196.40259711015202</v>
      </c>
    </row>
    <row r="33" spans="1:48" ht="24" customHeight="1" x14ac:dyDescent="0.2">
      <c r="A33" s="6"/>
      <c r="F33" s="42" t="s">
        <v>107</v>
      </c>
      <c r="H33" s="7">
        <f>(H26/(1+$B$21)^(H22+2))*H32</f>
        <v>0</v>
      </c>
      <c r="I33" s="7">
        <f t="shared" ref="I33:AO33" ca="1" si="18">(I26/(1+$B$21)^(I22+2))*I32</f>
        <v>0</v>
      </c>
      <c r="J33" s="7">
        <f t="shared" ca="1" si="18"/>
        <v>0</v>
      </c>
      <c r="K33" s="7">
        <f t="shared" ca="1" si="18"/>
        <v>0</v>
      </c>
      <c r="L33" s="7">
        <f t="shared" ca="1" si="18"/>
        <v>0</v>
      </c>
      <c r="M33" s="7">
        <f t="shared" ca="1" si="18"/>
        <v>0</v>
      </c>
      <c r="N33" s="7">
        <f t="shared" ca="1" si="18"/>
        <v>1.6316587384169703E-2</v>
      </c>
      <c r="O33" s="7">
        <f t="shared" ca="1" si="18"/>
        <v>1.233363248152622</v>
      </c>
      <c r="P33" s="7">
        <f t="shared" ca="1" si="18"/>
        <v>2.9353860637207263</v>
      </c>
      <c r="Q33" s="7">
        <f t="shared" ca="1" si="18"/>
        <v>5.0187387491316802</v>
      </c>
      <c r="R33" s="7">
        <f t="shared" ca="1" si="18"/>
        <v>7.2854319874188747</v>
      </c>
      <c r="S33" s="7">
        <f t="shared" ca="1" si="18"/>
        <v>9.703197430885993</v>
      </c>
      <c r="T33" s="7">
        <f t="shared" ca="1" si="18"/>
        <v>34.126212257144182</v>
      </c>
      <c r="U33" s="7">
        <f t="shared" ca="1" si="18"/>
        <v>40.249019250186009</v>
      </c>
      <c r="V33" s="7">
        <f t="shared" ca="1" si="18"/>
        <v>45.835229776454725</v>
      </c>
      <c r="W33" s="7">
        <f t="shared" ca="1" si="18"/>
        <v>50.930220465914289</v>
      </c>
      <c r="X33" s="7">
        <f t="shared" ca="1" si="18"/>
        <v>55.321227747823748</v>
      </c>
      <c r="Y33" s="7">
        <f t="shared" ca="1" si="18"/>
        <v>59.154929419982111</v>
      </c>
      <c r="Z33" s="7">
        <f t="shared" ca="1" si="18"/>
        <v>62.267219473714071</v>
      </c>
      <c r="AA33" s="7">
        <f t="shared" ca="1" si="18"/>
        <v>64.80703749240476</v>
      </c>
      <c r="AB33" s="7">
        <f t="shared" ca="1" si="18"/>
        <v>66.676885480211638</v>
      </c>
      <c r="AC33" s="7">
        <f t="shared" ca="1" si="18"/>
        <v>68.01119146627677</v>
      </c>
      <c r="AD33" s="7">
        <f t="shared" ca="1" si="18"/>
        <v>68.773808759813122</v>
      </c>
      <c r="AE33" s="7">
        <f t="shared" ca="1" si="18"/>
        <v>69.053687899940883</v>
      </c>
      <c r="AF33" s="7">
        <f t="shared" ca="1" si="18"/>
        <v>68.85577274312223</v>
      </c>
      <c r="AG33" s="7">
        <f t="shared" ca="1" si="18"/>
        <v>68.265672168909489</v>
      </c>
      <c r="AH33" s="7">
        <f t="shared" ca="1" si="18"/>
        <v>67.303327183249934</v>
      </c>
      <c r="AI33" s="7">
        <f t="shared" ca="1" si="18"/>
        <v>66.028904806452417</v>
      </c>
      <c r="AJ33" s="7">
        <f t="shared" ca="1" si="18"/>
        <v>64.481379919537602</v>
      </c>
      <c r="AK33" s="7">
        <f t="shared" ca="1" si="18"/>
        <v>62.697825582922121</v>
      </c>
      <c r="AL33" s="7">
        <f t="shared" ca="1" si="18"/>
        <v>60.725675245878001</v>
      </c>
      <c r="AM33" s="7">
        <f t="shared" ca="1" si="18"/>
        <v>58.588774275984491</v>
      </c>
      <c r="AN33" s="7">
        <f t="shared" ca="1" si="18"/>
        <v>56.342420830970234</v>
      </c>
      <c r="AO33" s="7">
        <f t="shared" ca="1" si="18"/>
        <v>53.987740329227321</v>
      </c>
      <c r="AP33" s="7"/>
      <c r="AQ33" s="7"/>
      <c r="AR33" s="7"/>
      <c r="AS33" s="7"/>
      <c r="AT33" s="7"/>
      <c r="AU33" s="7"/>
      <c r="AV33" s="7"/>
    </row>
    <row r="34" spans="1:48" ht="24" customHeight="1" x14ac:dyDescent="0.15">
      <c r="F34" s="42" t="s">
        <v>108</v>
      </c>
      <c r="H34">
        <f ca="1">(H26/(1+$D$28)^(H22+2))*H32</f>
        <v>0</v>
      </c>
      <c r="I34">
        <f t="shared" ref="I34:AO34" ca="1" si="19">(I26/(1+$D$28)^(I22+2))*I32</f>
        <v>0</v>
      </c>
      <c r="J34">
        <f t="shared" ca="1" si="19"/>
        <v>0</v>
      </c>
      <c r="K34">
        <f t="shared" ca="1" si="19"/>
        <v>0</v>
      </c>
      <c r="L34">
        <f t="shared" ca="1" si="19"/>
        <v>0</v>
      </c>
      <c r="M34">
        <f t="shared" ca="1" si="19"/>
        <v>0</v>
      </c>
      <c r="N34">
        <f t="shared" ca="1" si="19"/>
        <v>1.327843706078469E-2</v>
      </c>
      <c r="O34">
        <f t="shared" ca="1" si="19"/>
        <v>0.95318474483559867</v>
      </c>
      <c r="P34">
        <f t="shared" ca="1" si="19"/>
        <v>2.1561823738274049</v>
      </c>
      <c r="Q34">
        <f t="shared" ca="1" si="19"/>
        <v>3.5009290084569971</v>
      </c>
      <c r="R34">
        <f t="shared" ca="1" si="19"/>
        <v>4.8303456261951885</v>
      </c>
      <c r="S34">
        <f t="shared" ca="1" si="19"/>
        <v>6.1095077291211259</v>
      </c>
      <c r="T34">
        <f t="shared" ca="1" si="19"/>
        <v>20.422721814041985</v>
      </c>
      <c r="U34">
        <f t="shared" ca="1" si="19"/>
        <v>22.874377714480381</v>
      </c>
      <c r="V34">
        <f t="shared" ca="1" si="19"/>
        <v>24.751736418341821</v>
      </c>
      <c r="W34">
        <f t="shared" ca="1" si="19"/>
        <v>26.118622389929847</v>
      </c>
      <c r="X34">
        <f t="shared" ca="1" si="19"/>
        <v>26.965017337972697</v>
      </c>
      <c r="Y34">
        <f t="shared" ca="1" si="19"/>
        <v>27.382196724346674</v>
      </c>
      <c r="Z34">
        <f t="shared" ca="1" si="19"/>
        <v>27.394980909054034</v>
      </c>
      <c r="AA34">
        <f t="shared" ca="1" si="19"/>
        <v>27.077100078573416</v>
      </c>
      <c r="AB34">
        <f t="shared" ca="1" si="19"/>
        <v>26.478261686017351</v>
      </c>
      <c r="AC34">
        <f t="shared" ca="1" si="19"/>
        <v>25.648560718417887</v>
      </c>
      <c r="AD34">
        <f t="shared" ca="1" si="19"/>
        <v>24.644383926028308</v>
      </c>
      <c r="AE34">
        <f t="shared" ca="1" si="19"/>
        <v>23.499045305775944</v>
      </c>
      <c r="AF34">
        <f t="shared" ca="1" si="19"/>
        <v>22.270905806207974</v>
      </c>
      <c r="AG34">
        <f t="shared" ca="1" si="19"/>
        <v>20.968547467558977</v>
      </c>
      <c r="AH34">
        <f t="shared" ca="1" si="19"/>
        <v>19.648829954124068</v>
      </c>
      <c r="AI34">
        <f t="shared" ca="1" si="19"/>
        <v>18.30638979219346</v>
      </c>
      <c r="AJ34">
        <f t="shared" ca="1" si="19"/>
        <v>16.991711200732503</v>
      </c>
      <c r="AK34">
        <f t="shared" ca="1" si="19"/>
        <v>15.690028273606687</v>
      </c>
      <c r="AL34">
        <f t="shared" ca="1" si="19"/>
        <v>14.439623596294076</v>
      </c>
      <c r="AM34">
        <f t="shared" ca="1" si="19"/>
        <v>13.230199219827963</v>
      </c>
      <c r="AN34">
        <f t="shared" ca="1" si="19"/>
        <v>12.092654871959953</v>
      </c>
      <c r="AO34">
        <f t="shared" ca="1" si="19"/>
        <v>11.003979106974322</v>
      </c>
    </row>
    <row r="35" spans="1:48" ht="24" customHeight="1" x14ac:dyDescent="0.15"/>
    <row r="36" spans="1:48" ht="24" customHeight="1" x14ac:dyDescent="0.25">
      <c r="A36" s="36" t="s">
        <v>75</v>
      </c>
      <c r="C36" s="36" t="s">
        <v>76</v>
      </c>
      <c r="F36" s="241" t="s">
        <v>22</v>
      </c>
      <c r="G36" s="34" t="s">
        <v>100</v>
      </c>
    </row>
    <row r="37" spans="1:48" ht="24" customHeight="1" x14ac:dyDescent="0.15">
      <c r="A37" s="44" t="s">
        <v>77</v>
      </c>
      <c r="B37" s="45">
        <f>'Monitor Bonos'!C18</f>
        <v>0.15</v>
      </c>
      <c r="C37" s="46" t="s">
        <v>11</v>
      </c>
      <c r="D37" s="47">
        <f ca="1">SUM(H44:AJ44)</f>
        <v>53.672634626943719</v>
      </c>
      <c r="E37" s="37"/>
      <c r="F37" s="8" t="s">
        <v>101</v>
      </c>
      <c r="G37" s="28">
        <f ca="1">B38</f>
        <v>45478</v>
      </c>
      <c r="H37" s="28">
        <v>44386</v>
      </c>
      <c r="I37" s="29">
        <v>44570</v>
      </c>
      <c r="J37" s="29">
        <v>44751</v>
      </c>
      <c r="K37" s="29">
        <v>44935</v>
      </c>
      <c r="L37" s="29">
        <v>45116</v>
      </c>
      <c r="M37" s="29">
        <v>45300</v>
      </c>
      <c r="N37" s="29">
        <v>45482</v>
      </c>
      <c r="O37" s="29">
        <v>45666</v>
      </c>
      <c r="P37" s="29">
        <v>45847</v>
      </c>
      <c r="Q37" s="29">
        <v>46031</v>
      </c>
      <c r="R37" s="29">
        <v>46212</v>
      </c>
      <c r="S37" s="29">
        <v>46396</v>
      </c>
      <c r="T37" s="29">
        <v>46577</v>
      </c>
      <c r="U37" s="29">
        <v>46761</v>
      </c>
      <c r="V37" s="29">
        <v>46943</v>
      </c>
      <c r="W37" s="29">
        <v>47127</v>
      </c>
      <c r="X37" s="29">
        <v>47308</v>
      </c>
      <c r="Y37" s="29">
        <v>47492</v>
      </c>
      <c r="Z37" s="29">
        <v>47673</v>
      </c>
      <c r="AA37" s="29">
        <v>47857</v>
      </c>
      <c r="AB37" s="29">
        <v>48038</v>
      </c>
      <c r="AC37" s="29">
        <v>48222</v>
      </c>
      <c r="AD37" s="29">
        <v>48404</v>
      </c>
      <c r="AE37" s="29">
        <v>48588</v>
      </c>
      <c r="AF37" s="29">
        <v>48769</v>
      </c>
      <c r="AG37" s="29">
        <v>48953</v>
      </c>
      <c r="AH37" s="29">
        <v>49134</v>
      </c>
      <c r="AI37" s="29">
        <v>49318</v>
      </c>
      <c r="AJ37" s="29">
        <v>49499</v>
      </c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30"/>
    </row>
    <row r="38" spans="1:48" ht="24" customHeight="1" x14ac:dyDescent="0.15">
      <c r="A38" s="43" t="s">
        <v>79</v>
      </c>
      <c r="B38" s="38">
        <f ca="1">'Monitor Bonos'!$C$7</f>
        <v>45478</v>
      </c>
      <c r="C38" s="41" t="s">
        <v>80</v>
      </c>
      <c r="D38" s="40">
        <f ca="1">+B42*((B38-B41)/(B40-B41))</f>
        <v>2.25</v>
      </c>
      <c r="E38" s="37"/>
      <c r="F38" s="9" t="s">
        <v>81</v>
      </c>
      <c r="H38" s="16">
        <v>0</v>
      </c>
      <c r="I38" s="17">
        <f ca="1">+(I37-$B$38)/365</f>
        <v>-2.4876712328767123</v>
      </c>
      <c r="J38" s="17">
        <f t="shared" ref="J38:AJ38" ca="1" si="20">+(J37-$B$38)/365</f>
        <v>-1.9917808219178081</v>
      </c>
      <c r="K38" s="17">
        <f t="shared" ca="1" si="20"/>
        <v>-1.4876712328767123</v>
      </c>
      <c r="L38" s="17">
        <f t="shared" ca="1" si="20"/>
        <v>-0.99178082191780825</v>
      </c>
      <c r="M38" s="17">
        <f t="shared" ca="1" si="20"/>
        <v>-0.48767123287671232</v>
      </c>
      <c r="N38" s="17">
        <f t="shared" ca="1" si="20"/>
        <v>1.0958904109589041E-2</v>
      </c>
      <c r="O38" s="17">
        <f t="shared" ca="1" si="20"/>
        <v>0.51506849315068493</v>
      </c>
      <c r="P38" s="17">
        <f t="shared" ca="1" si="20"/>
        <v>1.010958904109589</v>
      </c>
      <c r="Q38" s="17">
        <f t="shared" ca="1" si="20"/>
        <v>1.515068493150685</v>
      </c>
      <c r="R38" s="17">
        <f t="shared" ca="1" si="20"/>
        <v>2.010958904109589</v>
      </c>
      <c r="S38" s="17">
        <f t="shared" ca="1" si="20"/>
        <v>2.515068493150685</v>
      </c>
      <c r="T38" s="17">
        <f t="shared" ca="1" si="20"/>
        <v>3.010958904109589</v>
      </c>
      <c r="U38" s="17">
        <f t="shared" ca="1" si="20"/>
        <v>3.515068493150685</v>
      </c>
      <c r="V38" s="17">
        <f t="shared" ca="1" si="20"/>
        <v>4.0136986301369859</v>
      </c>
      <c r="W38" s="17">
        <f t="shared" ca="1" si="20"/>
        <v>4.5178082191780824</v>
      </c>
      <c r="X38" s="17">
        <f t="shared" ca="1" si="20"/>
        <v>5.0136986301369859</v>
      </c>
      <c r="Y38" s="17">
        <f t="shared" ca="1" si="20"/>
        <v>5.5178082191780824</v>
      </c>
      <c r="Z38" s="17">
        <f t="shared" ca="1" si="20"/>
        <v>6.0136986301369859</v>
      </c>
      <c r="AA38" s="17">
        <f t="shared" ca="1" si="20"/>
        <v>6.5178082191780824</v>
      </c>
      <c r="AB38" s="17">
        <f t="shared" ca="1" si="20"/>
        <v>7.0136986301369859</v>
      </c>
      <c r="AC38" s="17">
        <f t="shared" ca="1" si="20"/>
        <v>7.5178082191780824</v>
      </c>
      <c r="AD38" s="17">
        <f t="shared" ca="1" si="20"/>
        <v>8.0164383561643842</v>
      </c>
      <c r="AE38" s="17">
        <f t="shared" ca="1" si="20"/>
        <v>8.5205479452054789</v>
      </c>
      <c r="AF38" s="17">
        <f t="shared" ca="1" si="20"/>
        <v>9.0164383561643842</v>
      </c>
      <c r="AG38" s="17">
        <f t="shared" ca="1" si="20"/>
        <v>9.5205479452054789</v>
      </c>
      <c r="AH38" s="17">
        <f t="shared" ca="1" si="20"/>
        <v>10.016438356164384</v>
      </c>
      <c r="AI38" s="17">
        <f t="shared" ca="1" si="20"/>
        <v>10.520547945205479</v>
      </c>
      <c r="AJ38" s="17">
        <f t="shared" ca="1" si="20"/>
        <v>11.016438356164384</v>
      </c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8"/>
    </row>
    <row r="39" spans="1:48" ht="24" customHeight="1" x14ac:dyDescent="0.15">
      <c r="A39" s="50" t="s">
        <v>82</v>
      </c>
      <c r="B39" s="51">
        <v>100</v>
      </c>
      <c r="C39" s="41" t="s">
        <v>83</v>
      </c>
      <c r="D39" s="39">
        <f ca="1">SUM(H47:AV47)/D37</f>
        <v>6.3628219324658062</v>
      </c>
      <c r="E39" s="37"/>
      <c r="F39" s="10" t="s">
        <v>87</v>
      </c>
      <c r="L39" s="63">
        <v>1.4999999999999999E-2</v>
      </c>
      <c r="M39" s="63">
        <v>3.6249999999999998E-2</v>
      </c>
      <c r="N39" s="63">
        <v>3.6249999999999998E-2</v>
      </c>
      <c r="O39" s="63">
        <v>4.1250000000000002E-2</v>
      </c>
      <c r="P39" s="63">
        <v>4.1250000000000002E-2</v>
      </c>
      <c r="Q39" s="63">
        <v>4.1250000000000002E-2</v>
      </c>
      <c r="R39" s="63">
        <v>4.1250000000000002E-2</v>
      </c>
      <c r="S39" s="63">
        <v>4.1250000000000002E-2</v>
      </c>
      <c r="T39" s="63">
        <v>4.1250000000000002E-2</v>
      </c>
      <c r="U39" s="63">
        <v>4.7500000000000001E-2</v>
      </c>
      <c r="V39" s="63">
        <v>4.7500000000000001E-2</v>
      </c>
      <c r="W39" s="63">
        <v>0.05</v>
      </c>
      <c r="X39" s="63">
        <v>0.05</v>
      </c>
      <c r="Y39" s="63">
        <v>0.05</v>
      </c>
      <c r="Z39" s="63">
        <v>0.05</v>
      </c>
      <c r="AA39" s="63">
        <v>0.05</v>
      </c>
      <c r="AB39" s="63">
        <v>0.05</v>
      </c>
      <c r="AC39" s="63">
        <v>0.05</v>
      </c>
      <c r="AD39" s="63">
        <v>0.05</v>
      </c>
      <c r="AE39" s="63">
        <v>0.05</v>
      </c>
      <c r="AF39" s="63">
        <v>0.05</v>
      </c>
      <c r="AG39" s="63">
        <v>0.05</v>
      </c>
      <c r="AH39" s="63">
        <v>0.05</v>
      </c>
      <c r="AI39" s="63">
        <v>0.05</v>
      </c>
      <c r="AJ39" s="63">
        <v>0.05</v>
      </c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</row>
    <row r="40" spans="1:48" ht="24" customHeight="1" x14ac:dyDescent="0.15">
      <c r="A40" s="50" t="s">
        <v>84</v>
      </c>
      <c r="B40" s="38">
        <f>L37</f>
        <v>45116</v>
      </c>
      <c r="C40" s="41" t="s">
        <v>85</v>
      </c>
      <c r="D40" s="39">
        <f ca="1">+D39/(1+B37/2)</f>
        <v>5.9189041232240056</v>
      </c>
      <c r="E40" s="37"/>
      <c r="F40" s="10" t="s">
        <v>29</v>
      </c>
      <c r="H40" s="19"/>
      <c r="I40" s="20"/>
      <c r="J40" s="20"/>
      <c r="K40" s="20"/>
      <c r="L40" s="76">
        <f>L39/2*L43</f>
        <v>0.75</v>
      </c>
      <c r="M40" s="76">
        <f t="shared" ref="M40:AJ40" si="21">M39/2*M43</f>
        <v>1.8124999999999998</v>
      </c>
      <c r="N40" s="76">
        <f t="shared" si="21"/>
        <v>1.8124999999999998</v>
      </c>
      <c r="O40" s="76">
        <f t="shared" si="21"/>
        <v>2.0625</v>
      </c>
      <c r="P40" s="76">
        <f t="shared" si="21"/>
        <v>2.0625</v>
      </c>
      <c r="Q40" s="76">
        <f t="shared" si="21"/>
        <v>2.0625</v>
      </c>
      <c r="R40" s="76">
        <f t="shared" si="21"/>
        <v>2.0625</v>
      </c>
      <c r="S40" s="76">
        <f t="shared" si="21"/>
        <v>2.0625</v>
      </c>
      <c r="T40" s="76">
        <f t="shared" si="21"/>
        <v>2.0625</v>
      </c>
      <c r="U40" s="76">
        <f t="shared" si="21"/>
        <v>2.375</v>
      </c>
      <c r="V40" s="76">
        <f t="shared" si="21"/>
        <v>2.375</v>
      </c>
      <c r="W40" s="76">
        <f t="shared" si="21"/>
        <v>2.5</v>
      </c>
      <c r="X40" s="76">
        <f t="shared" si="21"/>
        <v>2.5</v>
      </c>
      <c r="Y40" s="76">
        <f t="shared" si="21"/>
        <v>2.5</v>
      </c>
      <c r="Z40" s="76">
        <f t="shared" si="21"/>
        <v>2.5</v>
      </c>
      <c r="AA40" s="76">
        <f t="shared" si="21"/>
        <v>2.5</v>
      </c>
      <c r="AB40" s="76">
        <f t="shared" si="21"/>
        <v>2.25</v>
      </c>
      <c r="AC40" s="76">
        <f t="shared" si="21"/>
        <v>2</v>
      </c>
      <c r="AD40" s="76">
        <f t="shared" si="21"/>
        <v>1.75</v>
      </c>
      <c r="AE40" s="76">
        <f t="shared" si="21"/>
        <v>1.5</v>
      </c>
      <c r="AF40" s="76">
        <f t="shared" si="21"/>
        <v>1.25</v>
      </c>
      <c r="AG40" s="76">
        <f t="shared" si="21"/>
        <v>1</v>
      </c>
      <c r="AH40" s="76">
        <f t="shared" si="21"/>
        <v>0.75</v>
      </c>
      <c r="AI40" s="76">
        <f t="shared" si="21"/>
        <v>0.5</v>
      </c>
      <c r="AJ40" s="76">
        <f t="shared" si="21"/>
        <v>0.25</v>
      </c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</row>
    <row r="41" spans="1:48" ht="24" customHeight="1" x14ac:dyDescent="0.15">
      <c r="A41" s="50" t="s">
        <v>86</v>
      </c>
      <c r="B41" s="38">
        <f>K37</f>
        <v>44935</v>
      </c>
      <c r="C41" s="41" t="s">
        <v>13</v>
      </c>
      <c r="D41" s="39">
        <f ca="1">SUM(H49:AV49)/D37</f>
        <v>27.58798224519261</v>
      </c>
      <c r="E41" s="37"/>
      <c r="F41" s="10" t="s">
        <v>28</v>
      </c>
      <c r="H41" s="72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10</v>
      </c>
      <c r="AB41" s="73">
        <v>10</v>
      </c>
      <c r="AC41" s="73">
        <v>10</v>
      </c>
      <c r="AD41" s="73">
        <v>10</v>
      </c>
      <c r="AE41" s="73">
        <v>10</v>
      </c>
      <c r="AF41" s="73">
        <v>10</v>
      </c>
      <c r="AG41" s="73">
        <v>10</v>
      </c>
      <c r="AH41" s="73">
        <v>10</v>
      </c>
      <c r="AI41" s="73">
        <v>10</v>
      </c>
      <c r="AJ41" s="73">
        <v>10</v>
      </c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4"/>
    </row>
    <row r="42" spans="1:48" ht="24" customHeight="1" x14ac:dyDescent="0.15">
      <c r="A42" s="50" t="s">
        <v>88</v>
      </c>
      <c r="B42" s="61">
        <v>0.75</v>
      </c>
      <c r="E42" s="37"/>
      <c r="F42" s="11" t="s">
        <v>92</v>
      </c>
      <c r="G42">
        <f>-B44</f>
        <v>-30</v>
      </c>
      <c r="H42" s="19">
        <f t="shared" ref="H42:AJ42" si="22">IF(H38&lt;0,0,H41+H40)</f>
        <v>0</v>
      </c>
      <c r="I42" s="23">
        <f t="shared" ca="1" si="22"/>
        <v>0</v>
      </c>
      <c r="J42" s="23">
        <f t="shared" ca="1" si="22"/>
        <v>0</v>
      </c>
      <c r="K42" s="23">
        <f t="shared" ca="1" si="22"/>
        <v>0</v>
      </c>
      <c r="L42" s="23">
        <f t="shared" ca="1" si="22"/>
        <v>0</v>
      </c>
      <c r="M42" s="23">
        <f t="shared" ca="1" si="22"/>
        <v>0</v>
      </c>
      <c r="N42" s="23">
        <f t="shared" ca="1" si="22"/>
        <v>1.8124999999999998</v>
      </c>
      <c r="O42" s="23">
        <f t="shared" ca="1" si="22"/>
        <v>2.0625</v>
      </c>
      <c r="P42" s="23">
        <f t="shared" ca="1" si="22"/>
        <v>2.0625</v>
      </c>
      <c r="Q42" s="23">
        <f t="shared" ca="1" si="22"/>
        <v>2.0625</v>
      </c>
      <c r="R42" s="23">
        <f t="shared" ca="1" si="22"/>
        <v>2.0625</v>
      </c>
      <c r="S42" s="23">
        <f t="shared" ca="1" si="22"/>
        <v>2.0625</v>
      </c>
      <c r="T42" s="23">
        <f t="shared" ca="1" si="22"/>
        <v>2.0625</v>
      </c>
      <c r="U42" s="23">
        <f t="shared" ca="1" si="22"/>
        <v>2.375</v>
      </c>
      <c r="V42" s="23">
        <f t="shared" ca="1" si="22"/>
        <v>2.375</v>
      </c>
      <c r="W42" s="23">
        <f t="shared" ca="1" si="22"/>
        <v>2.5</v>
      </c>
      <c r="X42" s="23">
        <f t="shared" ca="1" si="22"/>
        <v>2.5</v>
      </c>
      <c r="Y42" s="23">
        <f t="shared" ca="1" si="22"/>
        <v>2.5</v>
      </c>
      <c r="Z42" s="23">
        <f t="shared" ca="1" si="22"/>
        <v>2.5</v>
      </c>
      <c r="AA42" s="23">
        <f t="shared" ca="1" si="22"/>
        <v>12.5</v>
      </c>
      <c r="AB42" s="23">
        <f t="shared" ca="1" si="22"/>
        <v>12.25</v>
      </c>
      <c r="AC42" s="23">
        <f t="shared" ca="1" si="22"/>
        <v>12</v>
      </c>
      <c r="AD42" s="23">
        <f t="shared" ca="1" si="22"/>
        <v>11.75</v>
      </c>
      <c r="AE42" s="23">
        <f t="shared" ca="1" si="22"/>
        <v>11.5</v>
      </c>
      <c r="AF42" s="23">
        <f t="shared" ca="1" si="22"/>
        <v>11.25</v>
      </c>
      <c r="AG42" s="23">
        <f t="shared" ca="1" si="22"/>
        <v>11</v>
      </c>
      <c r="AH42" s="23">
        <f t="shared" ca="1" si="22"/>
        <v>10.75</v>
      </c>
      <c r="AI42" s="23">
        <f t="shared" ca="1" si="22"/>
        <v>10.5</v>
      </c>
      <c r="AJ42" s="23">
        <f t="shared" ca="1" si="22"/>
        <v>10.25</v>
      </c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4"/>
    </row>
    <row r="43" spans="1:48" ht="24" customHeight="1" x14ac:dyDescent="0.15">
      <c r="F43" s="12" t="s">
        <v>89</v>
      </c>
      <c r="H43" s="25">
        <f>B39</f>
        <v>100</v>
      </c>
      <c r="I43" s="26">
        <f t="shared" ref="I43:AJ43" si="23">H43-H41</f>
        <v>100</v>
      </c>
      <c r="J43" s="26">
        <f t="shared" si="23"/>
        <v>100</v>
      </c>
      <c r="K43" s="26">
        <f t="shared" si="23"/>
        <v>100</v>
      </c>
      <c r="L43" s="26">
        <f t="shared" si="23"/>
        <v>100</v>
      </c>
      <c r="M43" s="26">
        <f t="shared" si="23"/>
        <v>100</v>
      </c>
      <c r="N43" s="26">
        <f t="shared" si="23"/>
        <v>100</v>
      </c>
      <c r="O43" s="26">
        <f t="shared" si="23"/>
        <v>100</v>
      </c>
      <c r="P43" s="26">
        <f t="shared" si="23"/>
        <v>100</v>
      </c>
      <c r="Q43" s="26">
        <f t="shared" si="23"/>
        <v>100</v>
      </c>
      <c r="R43" s="26">
        <f t="shared" si="23"/>
        <v>100</v>
      </c>
      <c r="S43" s="26">
        <f t="shared" si="23"/>
        <v>100</v>
      </c>
      <c r="T43" s="26">
        <f t="shared" si="23"/>
        <v>100</v>
      </c>
      <c r="U43" s="26">
        <f t="shared" si="23"/>
        <v>100</v>
      </c>
      <c r="V43" s="26">
        <f t="shared" si="23"/>
        <v>100</v>
      </c>
      <c r="W43" s="26">
        <f t="shared" si="23"/>
        <v>100</v>
      </c>
      <c r="X43" s="26">
        <f t="shared" si="23"/>
        <v>100</v>
      </c>
      <c r="Y43" s="26">
        <f t="shared" si="23"/>
        <v>100</v>
      </c>
      <c r="Z43" s="26">
        <f t="shared" si="23"/>
        <v>100</v>
      </c>
      <c r="AA43" s="26">
        <f t="shared" si="23"/>
        <v>100</v>
      </c>
      <c r="AB43" s="26">
        <f t="shared" si="23"/>
        <v>90</v>
      </c>
      <c r="AC43" s="26">
        <f t="shared" si="23"/>
        <v>80</v>
      </c>
      <c r="AD43" s="26">
        <f t="shared" si="23"/>
        <v>70</v>
      </c>
      <c r="AE43" s="26">
        <f t="shared" si="23"/>
        <v>60</v>
      </c>
      <c r="AF43" s="26">
        <f t="shared" si="23"/>
        <v>50</v>
      </c>
      <c r="AG43" s="26">
        <f t="shared" si="23"/>
        <v>40</v>
      </c>
      <c r="AH43" s="26">
        <f t="shared" si="23"/>
        <v>30</v>
      </c>
      <c r="AI43" s="26">
        <f t="shared" si="23"/>
        <v>20</v>
      </c>
      <c r="AJ43" s="26">
        <f t="shared" si="23"/>
        <v>10</v>
      </c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7"/>
    </row>
    <row r="44" spans="1:48" ht="24" customHeight="1" x14ac:dyDescent="0.15">
      <c r="A44" s="44" t="s">
        <v>11</v>
      </c>
      <c r="B44" s="91">
        <f>'Monitor Bonos'!M18</f>
        <v>30</v>
      </c>
      <c r="C44" s="48" t="s">
        <v>77</v>
      </c>
      <c r="D44" s="69">
        <f ca="1">XIRR(G42:AV42,G37:AV37)</f>
        <v>0.27033814787864685</v>
      </c>
      <c r="E44" s="31"/>
      <c r="F44" s="11" t="s">
        <v>102</v>
      </c>
      <c r="H44" s="52">
        <f>+H42/(1+$B$4)^(H38)</f>
        <v>0</v>
      </c>
      <c r="I44" s="53">
        <f ca="1">+I42/(1+$B$4)^(I38)</f>
        <v>0</v>
      </c>
      <c r="J44" s="53">
        <f ca="1">+J42/(1+$B$4)^(J38)</f>
        <v>0</v>
      </c>
      <c r="K44" s="53">
        <f ca="1">+K42/(1+$B$4)^(K38)</f>
        <v>0</v>
      </c>
      <c r="L44" s="54">
        <f ca="1">+L42/(1+$B$37)^(L38)</f>
        <v>0</v>
      </c>
      <c r="M44" s="54">
        <f ca="1">+M42/(1+$B$37)^(M38)</f>
        <v>0</v>
      </c>
      <c r="N44" s="54">
        <f t="shared" ref="N44:AJ44" ca="1" si="24">+N42/(1+$B$37)^(N38)</f>
        <v>1.8097260315237285</v>
      </c>
      <c r="O44" s="54">
        <f t="shared" ca="1" si="24"/>
        <v>1.919244974338836</v>
      </c>
      <c r="P44" s="54">
        <f t="shared" ca="1" si="24"/>
        <v>1.7907334045062384</v>
      </c>
      <c r="Q44" s="54">
        <f t="shared" ca="1" si="24"/>
        <v>1.6689086733381184</v>
      </c>
      <c r="R44" s="54">
        <f t="shared" ca="1" si="24"/>
        <v>1.557159482179338</v>
      </c>
      <c r="S44" s="54">
        <f t="shared" ca="1" si="24"/>
        <v>1.4512249333374942</v>
      </c>
      <c r="T44" s="54">
        <f t="shared" ca="1" si="24"/>
        <v>1.3540517236342069</v>
      </c>
      <c r="U44" s="54">
        <f t="shared" ca="1" si="24"/>
        <v>1.4531369556475568</v>
      </c>
      <c r="V44" s="54">
        <f t="shared" ca="1" si="24"/>
        <v>1.3553166550998461</v>
      </c>
      <c r="W44" s="54">
        <f t="shared" ca="1" si="24"/>
        <v>1.3295932652797007</v>
      </c>
      <c r="X44" s="54">
        <f t="shared" ca="1" si="24"/>
        <v>1.2405644440273194</v>
      </c>
      <c r="Y44" s="54">
        <f t="shared" ca="1" si="24"/>
        <v>1.156168056764957</v>
      </c>
      <c r="Z44" s="54">
        <f t="shared" ca="1" si="24"/>
        <v>1.0787516904585386</v>
      </c>
      <c r="AA44" s="54">
        <f t="shared" ca="1" si="24"/>
        <v>5.0268176381085095</v>
      </c>
      <c r="AB44" s="54">
        <f t="shared" ca="1" si="24"/>
        <v>4.5964202463015997</v>
      </c>
      <c r="AC44" s="54">
        <f t="shared" ca="1" si="24"/>
        <v>4.1962999413775393</v>
      </c>
      <c r="AD44" s="54">
        <f t="shared" ca="1" si="24"/>
        <v>3.8322812212296782</v>
      </c>
      <c r="AE44" s="54">
        <f t="shared" ca="1" si="24"/>
        <v>3.4955778717872552</v>
      </c>
      <c r="AF44" s="54">
        <f t="shared" ca="1" si="24"/>
        <v>3.1906134126796584</v>
      </c>
      <c r="AG44" s="54">
        <f t="shared" ca="1" si="24"/>
        <v>2.9074749784241827</v>
      </c>
      <c r="AH44" s="54">
        <f t="shared" ca="1" si="24"/>
        <v>2.6511377148835811</v>
      </c>
      <c r="AI44" s="54">
        <f t="shared" ca="1" si="24"/>
        <v>2.4133191520516935</v>
      </c>
      <c r="AJ44" s="54">
        <f t="shared" ca="1" si="24"/>
        <v>2.1981121599641424</v>
      </c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5"/>
    </row>
    <row r="45" spans="1:48" ht="24" customHeight="1" x14ac:dyDescent="0.15">
      <c r="C45" s="41" t="s">
        <v>83</v>
      </c>
      <c r="D45" s="39">
        <f ca="1">SUM(H47:AV47)/B44</f>
        <v>11.383647225918038</v>
      </c>
      <c r="F45" s="11" t="s">
        <v>103</v>
      </c>
      <c r="H45" s="56">
        <f t="shared" ref="H45:AJ45" ca="1" si="25">+H42/(1+$D$11)^(H38)</f>
        <v>0</v>
      </c>
      <c r="I45" s="57">
        <f t="shared" ca="1" si="25"/>
        <v>0</v>
      </c>
      <c r="J45" s="57">
        <f t="shared" ca="1" si="25"/>
        <v>0</v>
      </c>
      <c r="K45" s="57">
        <f t="shared" ca="1" si="25"/>
        <v>0</v>
      </c>
      <c r="L45" s="57">
        <f t="shared" ca="1" si="25"/>
        <v>0</v>
      </c>
      <c r="M45" s="57">
        <f t="shared" ca="1" si="25"/>
        <v>0</v>
      </c>
      <c r="N45" s="57">
        <f t="shared" ca="1" si="25"/>
        <v>1.8080498458329861</v>
      </c>
      <c r="O45" s="57">
        <f t="shared" ca="1" si="25"/>
        <v>1.837452021398954</v>
      </c>
      <c r="P45" s="57">
        <f t="shared" ca="1" si="25"/>
        <v>1.6440173114746794</v>
      </c>
      <c r="Q45" s="57">
        <f t="shared" ca="1" si="25"/>
        <v>1.4682366236353297</v>
      </c>
      <c r="R45" s="57">
        <f t="shared" ca="1" si="25"/>
        <v>1.3136704515200623</v>
      </c>
      <c r="S45" s="57">
        <f t="shared" ca="1" si="25"/>
        <v>1.1732109235390018</v>
      </c>
      <c r="T45" s="57">
        <f t="shared" ca="1" si="25"/>
        <v>1.0497030920245902</v>
      </c>
      <c r="U45" s="57">
        <f t="shared" ca="1" si="25"/>
        <v>1.0795078374815099</v>
      </c>
      <c r="V45" s="57">
        <f t="shared" ca="1" si="25"/>
        <v>0.96527103461450481</v>
      </c>
      <c r="W45" s="57">
        <f t="shared" ca="1" si="25"/>
        <v>0.90743460185414593</v>
      </c>
      <c r="X45" s="57">
        <f t="shared" ca="1" si="25"/>
        <v>0.81190593120550181</v>
      </c>
      <c r="Y45" s="57">
        <f t="shared" ca="1" si="25"/>
        <v>0.72509578507624128</v>
      </c>
      <c r="Z45" s="57">
        <f t="shared" ca="1" si="25"/>
        <v>0.64876253053675659</v>
      </c>
      <c r="AA45" s="57">
        <f t="shared" ca="1" si="25"/>
        <v>2.8969795534633902</v>
      </c>
      <c r="AB45" s="57">
        <f t="shared" ca="1" si="25"/>
        <v>2.5401647454123926</v>
      </c>
      <c r="AC45" s="57">
        <f t="shared" ca="1" si="25"/>
        <v>2.2222694098298756</v>
      </c>
      <c r="AD45" s="57">
        <f t="shared" ca="1" si="25"/>
        <v>1.9457041410279741</v>
      </c>
      <c r="AE45" s="57">
        <f t="shared" ca="1" si="25"/>
        <v>1.7006950337010309</v>
      </c>
      <c r="AF45" s="57">
        <f t="shared" ca="1" si="25"/>
        <v>1.4885776844330174</v>
      </c>
      <c r="AG45" s="57">
        <f t="shared" ca="1" si="25"/>
        <v>1.2998742282615039</v>
      </c>
      <c r="AH45" s="57">
        <f t="shared" ca="1" si="25"/>
        <v>1.1365995793471231</v>
      </c>
      <c r="AI45" s="57">
        <f t="shared" ca="1" si="25"/>
        <v>0.99146638047882463</v>
      </c>
      <c r="AJ45" s="57">
        <f t="shared" ca="1" si="25"/>
        <v>0.86597017999264492</v>
      </c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8"/>
    </row>
    <row r="46" spans="1:48" ht="24" customHeight="1" x14ac:dyDescent="0.15">
      <c r="C46" s="41" t="s">
        <v>85</v>
      </c>
      <c r="D46" s="39">
        <f ca="1">+D45/(1+D44/2)</f>
        <v>10.028151301210054</v>
      </c>
      <c r="F46" s="60" t="s">
        <v>104</v>
      </c>
      <c r="N46" s="1"/>
      <c r="O46" s="1"/>
      <c r="AC46" s="4"/>
    </row>
    <row r="47" spans="1:48" ht="24" customHeight="1" x14ac:dyDescent="0.15">
      <c r="C47" s="41" t="s">
        <v>13</v>
      </c>
      <c r="D47" s="39">
        <f ca="1">SUM(H50:AV50)/B44</f>
        <v>32.115892761627983</v>
      </c>
      <c r="F47" s="59" t="s">
        <v>105</v>
      </c>
      <c r="H47">
        <f t="shared" ref="H47:AJ47" si="26">H44*H38</f>
        <v>0</v>
      </c>
      <c r="I47">
        <f t="shared" ca="1" si="26"/>
        <v>0</v>
      </c>
      <c r="J47">
        <f t="shared" ca="1" si="26"/>
        <v>0</v>
      </c>
      <c r="K47">
        <f t="shared" ca="1" si="26"/>
        <v>0</v>
      </c>
      <c r="L47">
        <f t="shared" ca="1" si="26"/>
        <v>0</v>
      </c>
      <c r="M47">
        <f t="shared" ca="1" si="26"/>
        <v>0</v>
      </c>
      <c r="N47">
        <f t="shared" ca="1" si="26"/>
        <v>1.9832614044095656E-2</v>
      </c>
      <c r="O47">
        <f t="shared" ca="1" si="26"/>
        <v>0.98854261691972922</v>
      </c>
      <c r="P47">
        <f t="shared" ca="1" si="26"/>
        <v>1.8103578801720601</v>
      </c>
      <c r="Q47">
        <f t="shared" ca="1" si="26"/>
        <v>2.5285109489204918</v>
      </c>
      <c r="R47">
        <f t="shared" ca="1" si="26"/>
        <v>3.1313837258072166</v>
      </c>
      <c r="S47">
        <f t="shared" ca="1" si="26"/>
        <v>3.6499301063118348</v>
      </c>
      <c r="T47">
        <f t="shared" ca="1" si="26"/>
        <v>4.0769940939013516</v>
      </c>
      <c r="U47">
        <f t="shared" ca="1" si="26"/>
        <v>5.1078759290296318</v>
      </c>
      <c r="V47">
        <f t="shared" ca="1" si="26"/>
        <v>5.4398326019760939</v>
      </c>
      <c r="W47">
        <f t="shared" ca="1" si="26"/>
        <v>6.0068473820444561</v>
      </c>
      <c r="X47">
        <f t="shared" ca="1" si="26"/>
        <v>6.2198162536164228</v>
      </c>
      <c r="Y47">
        <f t="shared" ca="1" si="26"/>
        <v>6.3795136063688318</v>
      </c>
      <c r="Z47">
        <f t="shared" ca="1" si="26"/>
        <v>6.4872875631684712</v>
      </c>
      <c r="AA47">
        <f t="shared" ca="1" si="26"/>
        <v>32.763833317972995</v>
      </c>
      <c r="AB47">
        <f t="shared" ca="1" si="26"/>
        <v>32.237906385019436</v>
      </c>
      <c r="AC47">
        <f t="shared" ca="1" si="26"/>
        <v>31.546978189424571</v>
      </c>
      <c r="AD47">
        <f t="shared" ca="1" si="26"/>
        <v>30.721246173474078</v>
      </c>
      <c r="AE47">
        <f t="shared" ca="1" si="26"/>
        <v>29.784238852762638</v>
      </c>
      <c r="AF47">
        <f t="shared" ca="1" si="26"/>
        <v>28.767969153777415</v>
      </c>
      <c r="AG47">
        <f t="shared" ca="1" si="26"/>
        <v>27.680754931572697</v>
      </c>
      <c r="AH47">
        <f t="shared" ca="1" si="26"/>
        <v>26.5549574948339</v>
      </c>
      <c r="AI47">
        <f t="shared" ca="1" si="26"/>
        <v>25.389439846242471</v>
      </c>
      <c r="AJ47">
        <f t="shared" ca="1" si="26"/>
        <v>24.215367110180321</v>
      </c>
    </row>
    <row r="48" spans="1:48" ht="24" customHeight="1" x14ac:dyDescent="0.15">
      <c r="F48" s="2" t="s">
        <v>106</v>
      </c>
      <c r="H48">
        <f t="shared" ref="H48:AJ48" si="27">H38*(H38+1)</f>
        <v>0</v>
      </c>
      <c r="I48">
        <f t="shared" ca="1" si="27"/>
        <v>3.7008369300056296</v>
      </c>
      <c r="J48">
        <f t="shared" ca="1" si="27"/>
        <v>1.9754100206417713</v>
      </c>
      <c r="K48">
        <f t="shared" ca="1" si="27"/>
        <v>0.72549446425220487</v>
      </c>
      <c r="L48">
        <f t="shared" ca="1" si="27"/>
        <v>-8.1516231938449663E-3</v>
      </c>
      <c r="M48">
        <f t="shared" ca="1" si="27"/>
        <v>-0.24984800150121975</v>
      </c>
      <c r="N48">
        <f t="shared" ca="1" si="27"/>
        <v>1.1079001688872209E-2</v>
      </c>
      <c r="O48">
        <f t="shared" ca="1" si="27"/>
        <v>0.7803640457872022</v>
      </c>
      <c r="P48">
        <f t="shared" ca="1" si="27"/>
        <v>2.0329968099080502</v>
      </c>
      <c r="Q48">
        <f t="shared" ca="1" si="27"/>
        <v>3.8105010320885726</v>
      </c>
      <c r="R48">
        <f t="shared" ca="1" si="27"/>
        <v>6.0549146181272278</v>
      </c>
      <c r="S48">
        <f t="shared" ca="1" si="27"/>
        <v>8.8406380183899422</v>
      </c>
      <c r="T48">
        <f t="shared" ca="1" si="27"/>
        <v>12.076832426346407</v>
      </c>
      <c r="U48">
        <f t="shared" ca="1" si="27"/>
        <v>15.870775004691312</v>
      </c>
      <c r="V48">
        <f t="shared" ca="1" si="27"/>
        <v>20.123475323700504</v>
      </c>
      <c r="W48">
        <f t="shared" ca="1" si="27"/>
        <v>24.928399324451117</v>
      </c>
      <c r="X48">
        <f t="shared" ca="1" si="27"/>
        <v>30.150872583974476</v>
      </c>
      <c r="Y48">
        <f t="shared" ca="1" si="27"/>
        <v>35.964015762807286</v>
      </c>
      <c r="Z48">
        <f t="shared" ca="1" si="27"/>
        <v>42.178269844248447</v>
      </c>
      <c r="AA48">
        <f t="shared" ca="1" si="27"/>
        <v>48.99963220116345</v>
      </c>
      <c r="AB48">
        <f t="shared" ca="1" si="27"/>
        <v>56.205667104522419</v>
      </c>
      <c r="AC48">
        <f t="shared" ca="1" si="27"/>
        <v>64.035248639519608</v>
      </c>
      <c r="AD48">
        <f t="shared" ca="1" si="27"/>
        <v>72.279722274347918</v>
      </c>
      <c r="AE48">
        <f t="shared" ca="1" si="27"/>
        <v>81.120285231750785</v>
      </c>
      <c r="AF48">
        <f t="shared" ca="1" si="27"/>
        <v>90.31259898667669</v>
      </c>
      <c r="AG48">
        <f t="shared" ca="1" si="27"/>
        <v>100.16138112216174</v>
      </c>
      <c r="AH48">
        <f t="shared" ca="1" si="27"/>
        <v>110.34547569900545</v>
      </c>
      <c r="AI48">
        <f t="shared" ca="1" si="27"/>
        <v>121.2024770125727</v>
      </c>
      <c r="AJ48">
        <f t="shared" ca="1" si="27"/>
        <v>132.37835241133422</v>
      </c>
    </row>
    <row r="49" spans="1:249" ht="24" customHeight="1" x14ac:dyDescent="0.2">
      <c r="A49" s="62"/>
      <c r="F49" s="42" t="s">
        <v>107</v>
      </c>
      <c r="H49" s="7">
        <f>(H42/(1+$B$4)^(H38+2))*H48</f>
        <v>0</v>
      </c>
      <c r="I49" s="7">
        <f t="shared" ref="I49:AJ49" ca="1" si="28">(I42/(1+$B$4)^(I38+2))*I48</f>
        <v>0</v>
      </c>
      <c r="J49" s="7">
        <f t="shared" ca="1" si="28"/>
        <v>0</v>
      </c>
      <c r="K49" s="7">
        <f t="shared" ca="1" si="28"/>
        <v>0</v>
      </c>
      <c r="L49" s="7">
        <f t="shared" ca="1" si="28"/>
        <v>0</v>
      </c>
      <c r="M49" s="7">
        <f t="shared" ca="1" si="28"/>
        <v>0</v>
      </c>
      <c r="N49" s="7">
        <f t="shared" ca="1" si="28"/>
        <v>1.3917089239438865E-2</v>
      </c>
      <c r="O49" s="7">
        <f t="shared" ca="1" si="28"/>
        <v>1.0175246797259132</v>
      </c>
      <c r="P49" s="7">
        <f t="shared" ca="1" si="28"/>
        <v>2.4216935025695991</v>
      </c>
      <c r="Q49" s="7">
        <f t="shared" ca="1" si="28"/>
        <v>4.1404594680336357</v>
      </c>
      <c r="R49" s="7">
        <f t="shared" ca="1" si="28"/>
        <v>6.0104813896205718</v>
      </c>
      <c r="S49" s="7">
        <f t="shared" ca="1" si="28"/>
        <v>8.0051378804809445</v>
      </c>
      <c r="T49" s="7">
        <f t="shared" ca="1" si="28"/>
        <v>9.9901734268897808</v>
      </c>
      <c r="U49" s="7">
        <f t="shared" ca="1" si="28"/>
        <v>13.790237743096508</v>
      </c>
      <c r="V49" s="7">
        <f t="shared" ca="1" si="28"/>
        <v>15.965938372131715</v>
      </c>
      <c r="W49" s="7">
        <f t="shared" ca="1" si="28"/>
        <v>18.990929665256164</v>
      </c>
      <c r="X49" s="7">
        <f t="shared" ca="1" si="28"/>
        <v>20.98391397331244</v>
      </c>
      <c r="Y49" s="7">
        <f t="shared" ca="1" si="28"/>
        <v>22.831727144554485</v>
      </c>
      <c r="Z49" s="7">
        <f t="shared" ca="1" si="28"/>
        <v>24.462121936101937</v>
      </c>
      <c r="AA49" s="7">
        <f t="shared" ca="1" si="28"/>
        <v>129.61407498480943</v>
      </c>
      <c r="AB49" s="7">
        <f t="shared" ca="1" si="28"/>
        <v>133.1068195327187</v>
      </c>
      <c r="AC49" s="7">
        <f t="shared" ca="1" si="28"/>
        <v>135.50909092148723</v>
      </c>
      <c r="AD49" s="7">
        <f t="shared" ca="1" si="28"/>
        <v>136.75407357239752</v>
      </c>
      <c r="AE49" s="7">
        <f t="shared" ca="1" si="28"/>
        <v>137.02418069556884</v>
      </c>
      <c r="AF49" s="7">
        <f t="shared" ca="1" si="28"/>
        <v>136.33443003138191</v>
      </c>
      <c r="AG49" s="7">
        <f t="shared" ca="1" si="28"/>
        <v>134.85953195817211</v>
      </c>
      <c r="AH49" s="7">
        <f t="shared" ca="1" si="28"/>
        <v>132.64364065698831</v>
      </c>
      <c r="AI49" s="7">
        <f t="shared" ca="1" si="28"/>
        <v>129.81001710885528</v>
      </c>
      <c r="AJ49" s="7">
        <f t="shared" ca="1" si="28"/>
        <v>126.439575407441</v>
      </c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</row>
    <row r="50" spans="1:249" ht="24" customHeight="1" x14ac:dyDescent="0.2">
      <c r="A50" s="62"/>
      <c r="F50" s="42" t="s">
        <v>108</v>
      </c>
      <c r="H50">
        <f ca="1">(H42/(1+$D$11)^(H38+2))*H48</f>
        <v>0</v>
      </c>
      <c r="I50">
        <f t="shared" ref="I50:AJ50" ca="1" si="29">(I42/(1+$D$11)^(I38+2))*I48</f>
        <v>0</v>
      </c>
      <c r="J50">
        <f t="shared" ca="1" si="29"/>
        <v>0</v>
      </c>
      <c r="K50">
        <f t="shared" ca="1" si="29"/>
        <v>0</v>
      </c>
      <c r="L50">
        <f t="shared" ca="1" si="29"/>
        <v>0</v>
      </c>
      <c r="M50">
        <f t="shared" ca="1" si="29"/>
        <v>0</v>
      </c>
      <c r="N50">
        <f t="shared" ca="1" si="29"/>
        <v>1.2790016890283524E-2</v>
      </c>
      <c r="O50">
        <f t="shared" ca="1" si="29"/>
        <v>0.91553162285463541</v>
      </c>
      <c r="P50">
        <f t="shared" ca="1" si="29"/>
        <v>2.1340430374366082</v>
      </c>
      <c r="Q50">
        <f t="shared" ca="1" si="29"/>
        <v>3.5722202382300758</v>
      </c>
      <c r="R50">
        <f t="shared" ca="1" si="29"/>
        <v>5.078723215862226</v>
      </c>
      <c r="S50">
        <f t="shared" ca="1" si="29"/>
        <v>6.6224669067010185</v>
      </c>
      <c r="T50">
        <f t="shared" ca="1" si="29"/>
        <v>8.0943057808916983</v>
      </c>
      <c r="U50">
        <f t="shared" ca="1" si="29"/>
        <v>10.939161264221248</v>
      </c>
      <c r="V50">
        <f t="shared" ca="1" si="29"/>
        <v>12.402588935488019</v>
      </c>
      <c r="W50">
        <f t="shared" ca="1" si="29"/>
        <v>14.443412628701095</v>
      </c>
      <c r="X50">
        <f t="shared" ca="1" si="29"/>
        <v>15.630241547190412</v>
      </c>
      <c r="Y50">
        <f t="shared" ca="1" si="29"/>
        <v>16.650360850901269</v>
      </c>
      <c r="Z50">
        <f t="shared" ca="1" si="29"/>
        <v>17.471677722659706</v>
      </c>
      <c r="AA50">
        <f t="shared" ca="1" si="29"/>
        <v>90.63550112317759</v>
      </c>
      <c r="AB50">
        <f t="shared" ca="1" si="29"/>
        <v>91.159530794520791</v>
      </c>
      <c r="AC50">
        <f t="shared" ca="1" si="29"/>
        <v>90.860662356698001</v>
      </c>
      <c r="AD50">
        <f t="shared" ca="1" si="29"/>
        <v>89.795250949313584</v>
      </c>
      <c r="AE50">
        <f t="shared" ca="1" si="29"/>
        <v>88.087848494717974</v>
      </c>
      <c r="AF50">
        <f t="shared" ca="1" si="29"/>
        <v>85.838068097666323</v>
      </c>
      <c r="AG50">
        <f t="shared" ca="1" si="29"/>
        <v>83.130755586822517</v>
      </c>
      <c r="AH50">
        <f t="shared" ca="1" si="29"/>
        <v>80.079640048592694</v>
      </c>
      <c r="AI50">
        <f t="shared" ca="1" si="29"/>
        <v>76.727240325484203</v>
      </c>
      <c r="AJ50">
        <f t="shared" ca="1" si="29"/>
        <v>73.194761303817472</v>
      </c>
    </row>
    <row r="51" spans="1:249" ht="24" customHeight="1" x14ac:dyDescent="0.15"/>
    <row r="52" spans="1:249" ht="24" customHeight="1" x14ac:dyDescent="0.15"/>
    <row r="53" spans="1:249" ht="24" customHeight="1" x14ac:dyDescent="0.25">
      <c r="A53" s="36" t="s">
        <v>75</v>
      </c>
      <c r="C53" s="36" t="s">
        <v>76</v>
      </c>
      <c r="F53" s="241" t="s">
        <v>21</v>
      </c>
      <c r="G53" s="34" t="s">
        <v>100</v>
      </c>
    </row>
    <row r="54" spans="1:249" ht="24" customHeight="1" x14ac:dyDescent="0.15">
      <c r="A54" s="44" t="s">
        <v>77</v>
      </c>
      <c r="B54" s="45">
        <f>'Monitor Bonos'!C17</f>
        <v>0.2</v>
      </c>
      <c r="C54" s="46" t="s">
        <v>11</v>
      </c>
      <c r="D54" s="70">
        <f ca="1">SUM(H61:Z61)</f>
        <v>61.933702825738592</v>
      </c>
      <c r="E54" s="37"/>
      <c r="F54" s="8" t="s">
        <v>101</v>
      </c>
      <c r="G54" s="28">
        <f ca="1">B55</f>
        <v>45478</v>
      </c>
      <c r="H54" s="28">
        <v>44386</v>
      </c>
      <c r="I54" s="29">
        <v>44570</v>
      </c>
      <c r="J54" s="29">
        <v>44751</v>
      </c>
      <c r="K54" s="29">
        <v>44935</v>
      </c>
      <c r="L54" s="29">
        <v>45116</v>
      </c>
      <c r="M54" s="29">
        <v>45300</v>
      </c>
      <c r="N54" s="29">
        <v>45482</v>
      </c>
      <c r="O54" s="29">
        <v>45666</v>
      </c>
      <c r="P54" s="29">
        <v>45847</v>
      </c>
      <c r="Q54" s="29">
        <v>46031</v>
      </c>
      <c r="R54" s="29">
        <v>46212</v>
      </c>
      <c r="S54" s="29">
        <v>46396</v>
      </c>
      <c r="T54" s="29">
        <v>46577</v>
      </c>
      <c r="U54" s="29">
        <v>46761</v>
      </c>
      <c r="V54" s="29">
        <v>46943</v>
      </c>
      <c r="W54" s="29">
        <v>47127</v>
      </c>
      <c r="X54" s="29">
        <v>47308</v>
      </c>
      <c r="Y54" s="29">
        <v>47492</v>
      </c>
      <c r="Z54" s="29">
        <v>47673</v>
      </c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30"/>
    </row>
    <row r="55" spans="1:249" ht="24" customHeight="1" x14ac:dyDescent="0.15">
      <c r="A55" s="43" t="s">
        <v>79</v>
      </c>
      <c r="B55" s="38">
        <f ca="1">'Monitor Bonos'!$C$7</f>
        <v>45478</v>
      </c>
      <c r="C55" s="41" t="s">
        <v>80</v>
      </c>
      <c r="D55" s="40">
        <f ca="1">+B59*((B55-B58)/(B57-B58))</f>
        <v>0.75</v>
      </c>
      <c r="E55" s="37"/>
      <c r="F55" s="9" t="s">
        <v>81</v>
      </c>
      <c r="H55" s="16">
        <v>0</v>
      </c>
      <c r="I55" s="17">
        <f ca="1">+(I54-$B$55)/365</f>
        <v>-2.4876712328767123</v>
      </c>
      <c r="J55" s="17">
        <f t="shared" ref="J55:Z55" ca="1" si="30">+(J54-$B$55)/365</f>
        <v>-1.9917808219178081</v>
      </c>
      <c r="K55" s="17">
        <f t="shared" ca="1" si="30"/>
        <v>-1.4876712328767123</v>
      </c>
      <c r="L55" s="17">
        <f t="shared" ca="1" si="30"/>
        <v>-0.99178082191780825</v>
      </c>
      <c r="M55" s="17">
        <f t="shared" ca="1" si="30"/>
        <v>-0.48767123287671232</v>
      </c>
      <c r="N55" s="17">
        <f t="shared" ca="1" si="30"/>
        <v>1.0958904109589041E-2</v>
      </c>
      <c r="O55" s="17">
        <f t="shared" ca="1" si="30"/>
        <v>0.51506849315068493</v>
      </c>
      <c r="P55" s="17">
        <f t="shared" ca="1" si="30"/>
        <v>1.010958904109589</v>
      </c>
      <c r="Q55" s="17">
        <f t="shared" ca="1" si="30"/>
        <v>1.515068493150685</v>
      </c>
      <c r="R55" s="17">
        <f t="shared" ca="1" si="30"/>
        <v>2.010958904109589</v>
      </c>
      <c r="S55" s="17">
        <f t="shared" ca="1" si="30"/>
        <v>2.515068493150685</v>
      </c>
      <c r="T55" s="17">
        <f t="shared" ca="1" si="30"/>
        <v>3.010958904109589</v>
      </c>
      <c r="U55" s="17">
        <f t="shared" ca="1" si="30"/>
        <v>3.515068493150685</v>
      </c>
      <c r="V55" s="17">
        <f t="shared" ca="1" si="30"/>
        <v>4.0136986301369859</v>
      </c>
      <c r="W55" s="17">
        <f t="shared" ca="1" si="30"/>
        <v>4.5178082191780824</v>
      </c>
      <c r="X55" s="17">
        <f t="shared" ca="1" si="30"/>
        <v>5.0136986301369859</v>
      </c>
      <c r="Y55" s="17">
        <f t="shared" ca="1" si="30"/>
        <v>5.5178082191780824</v>
      </c>
      <c r="Z55" s="17">
        <f t="shared" ca="1" si="30"/>
        <v>6.0136986301369859</v>
      </c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8"/>
    </row>
    <row r="56" spans="1:249" ht="24" customHeight="1" x14ac:dyDescent="0.15">
      <c r="A56" s="50" t="s">
        <v>82</v>
      </c>
      <c r="B56" s="51">
        <v>100</v>
      </c>
      <c r="C56" s="41" t="s">
        <v>83</v>
      </c>
      <c r="D56" s="39">
        <f ca="1">SUM(H64:AV64)/D54</f>
        <v>2.5298523005949392</v>
      </c>
      <c r="E56" s="37"/>
      <c r="F56" s="10" t="s">
        <v>87</v>
      </c>
      <c r="H56" s="14"/>
      <c r="I56" s="13"/>
      <c r="J56" s="13"/>
      <c r="K56" s="13"/>
      <c r="L56" s="65">
        <v>5.0000000000000001E-3</v>
      </c>
      <c r="M56" s="66">
        <v>7.4999999999999997E-3</v>
      </c>
      <c r="N56" s="66">
        <v>7.4999999999999997E-3</v>
      </c>
      <c r="O56" s="66">
        <v>7.4999999999999997E-3</v>
      </c>
      <c r="P56" s="66">
        <v>7.4999999999999997E-3</v>
      </c>
      <c r="Q56" s="66">
        <v>7.4999999999999997E-3</v>
      </c>
      <c r="R56" s="66">
        <v>7.4999999999999997E-3</v>
      </c>
      <c r="S56" s="66">
        <v>7.4999999999999997E-3</v>
      </c>
      <c r="T56" s="66">
        <v>7.4999999999999997E-3</v>
      </c>
      <c r="U56" s="66">
        <v>1.7500000000000002E-2</v>
      </c>
      <c r="V56" s="66">
        <v>1.7500000000000002E-2</v>
      </c>
      <c r="W56" s="66">
        <v>1.7500000000000002E-2</v>
      </c>
      <c r="X56" s="66">
        <v>1.7500000000000002E-2</v>
      </c>
      <c r="Y56" s="66">
        <v>1.7500000000000002E-2</v>
      </c>
      <c r="Z56" s="66">
        <v>1.7500000000000002E-2</v>
      </c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8"/>
    </row>
    <row r="57" spans="1:249" ht="24" customHeight="1" x14ac:dyDescent="0.15">
      <c r="A57" s="50" t="s">
        <v>84</v>
      </c>
      <c r="B57" s="38">
        <f>L54</f>
        <v>45116</v>
      </c>
      <c r="C57" s="41" t="s">
        <v>85</v>
      </c>
      <c r="D57" s="39">
        <f ca="1">+D56/(1+B54/2)</f>
        <v>2.299865727813581</v>
      </c>
      <c r="E57" s="37"/>
      <c r="F57" s="10" t="s">
        <v>29</v>
      </c>
      <c r="H57" s="19"/>
      <c r="I57" s="20"/>
      <c r="J57" s="20"/>
      <c r="K57" s="20"/>
      <c r="L57" s="21">
        <f>L56/2*L60</f>
        <v>0.25</v>
      </c>
      <c r="M57" s="21">
        <f t="shared" ref="M57:Z57" si="31">M56/2*M60</f>
        <v>0.375</v>
      </c>
      <c r="N57" s="21">
        <f t="shared" si="31"/>
        <v>0.375</v>
      </c>
      <c r="O57" s="21">
        <f t="shared" si="31"/>
        <v>0.36</v>
      </c>
      <c r="P57" s="21">
        <f t="shared" si="31"/>
        <v>0.32999999999999996</v>
      </c>
      <c r="Q57" s="21">
        <f t="shared" si="31"/>
        <v>0.3</v>
      </c>
      <c r="R57" s="21">
        <f t="shared" si="31"/>
        <v>0.27</v>
      </c>
      <c r="S57" s="21">
        <f t="shared" si="31"/>
        <v>0.24</v>
      </c>
      <c r="T57" s="21">
        <f t="shared" si="31"/>
        <v>0.21</v>
      </c>
      <c r="U57" s="21">
        <f t="shared" si="31"/>
        <v>0.42000000000000004</v>
      </c>
      <c r="V57" s="21">
        <f t="shared" si="31"/>
        <v>0.35000000000000003</v>
      </c>
      <c r="W57" s="21">
        <f t="shared" si="31"/>
        <v>0.28000000000000003</v>
      </c>
      <c r="X57" s="21">
        <f t="shared" si="31"/>
        <v>0.21000000000000002</v>
      </c>
      <c r="Y57" s="21">
        <f t="shared" si="31"/>
        <v>0.14000000000000001</v>
      </c>
      <c r="Z57" s="21">
        <f t="shared" si="31"/>
        <v>7.0000000000000007E-2</v>
      </c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2"/>
    </row>
    <row r="58" spans="1:249" ht="24" customHeight="1" x14ac:dyDescent="0.15">
      <c r="A58" s="50" t="s">
        <v>86</v>
      </c>
      <c r="B58" s="38">
        <f>K54</f>
        <v>44935</v>
      </c>
      <c r="C58" s="41" t="s">
        <v>13</v>
      </c>
      <c r="D58" s="39">
        <f ca="1">SUM(H66:AV66)/D54</f>
        <v>8.3409454523409821</v>
      </c>
      <c r="E58" s="37"/>
      <c r="F58" s="10" t="s">
        <v>28</v>
      </c>
      <c r="H58" s="19">
        <v>0</v>
      </c>
      <c r="I58" s="23">
        <v>0</v>
      </c>
      <c r="J58" s="23">
        <v>0</v>
      </c>
      <c r="K58" s="23">
        <v>0</v>
      </c>
      <c r="L58" s="23">
        <v>0</v>
      </c>
      <c r="M58" s="23">
        <v>0</v>
      </c>
      <c r="N58" s="23">
        <v>4</v>
      </c>
      <c r="O58" s="23">
        <v>8</v>
      </c>
      <c r="P58" s="23">
        <v>8</v>
      </c>
      <c r="Q58" s="23">
        <v>8</v>
      </c>
      <c r="R58" s="23">
        <v>8</v>
      </c>
      <c r="S58" s="23">
        <v>8</v>
      </c>
      <c r="T58" s="23">
        <v>8</v>
      </c>
      <c r="U58" s="23">
        <v>8</v>
      </c>
      <c r="V58" s="23">
        <v>8</v>
      </c>
      <c r="W58" s="23">
        <v>8</v>
      </c>
      <c r="X58" s="23">
        <v>8</v>
      </c>
      <c r="Y58" s="23">
        <v>8</v>
      </c>
      <c r="Z58" s="23">
        <v>8</v>
      </c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</row>
    <row r="59" spans="1:249" ht="24" customHeight="1" x14ac:dyDescent="0.2">
      <c r="A59" s="50" t="s">
        <v>88</v>
      </c>
      <c r="B59" s="61">
        <f>L57</f>
        <v>0.25</v>
      </c>
      <c r="E59" s="37"/>
      <c r="F59" s="11" t="s">
        <v>92</v>
      </c>
      <c r="G59">
        <f>-B61</f>
        <v>-30</v>
      </c>
      <c r="H59" s="19">
        <f t="shared" ref="H59:Z59" si="32">IF(H55&lt;0,0,H58+H57)</f>
        <v>0</v>
      </c>
      <c r="I59" s="23">
        <f t="shared" ca="1" si="32"/>
        <v>0</v>
      </c>
      <c r="J59" s="23">
        <f t="shared" ca="1" si="32"/>
        <v>0</v>
      </c>
      <c r="K59" s="23">
        <f t="shared" ca="1" si="32"/>
        <v>0</v>
      </c>
      <c r="L59" s="23">
        <f t="shared" ca="1" si="32"/>
        <v>0</v>
      </c>
      <c r="M59" s="23">
        <f t="shared" ca="1" si="32"/>
        <v>0</v>
      </c>
      <c r="N59" s="23">
        <f t="shared" ca="1" si="32"/>
        <v>4.375</v>
      </c>
      <c r="O59" s="23">
        <f t="shared" ca="1" si="32"/>
        <v>8.36</v>
      </c>
      <c r="P59" s="23">
        <f t="shared" ca="1" si="32"/>
        <v>8.33</v>
      </c>
      <c r="Q59" s="23">
        <f t="shared" ca="1" si="32"/>
        <v>8.3000000000000007</v>
      </c>
      <c r="R59" s="23">
        <f t="shared" ca="1" si="32"/>
        <v>8.27</v>
      </c>
      <c r="S59" s="23">
        <f t="shared" ca="1" si="32"/>
        <v>8.24</v>
      </c>
      <c r="T59" s="23">
        <f t="shared" ca="1" si="32"/>
        <v>8.2100000000000009</v>
      </c>
      <c r="U59" s="23">
        <f t="shared" ca="1" si="32"/>
        <v>8.42</v>
      </c>
      <c r="V59" s="23">
        <f t="shared" ca="1" si="32"/>
        <v>8.35</v>
      </c>
      <c r="W59" s="23">
        <f t="shared" ca="1" si="32"/>
        <v>8.2799999999999994</v>
      </c>
      <c r="X59" s="23">
        <f t="shared" ca="1" si="32"/>
        <v>8.2100000000000009</v>
      </c>
      <c r="Y59" s="23">
        <f t="shared" ca="1" si="32"/>
        <v>8.14</v>
      </c>
      <c r="Z59" s="23">
        <f t="shared" ca="1" si="32"/>
        <v>8.07</v>
      </c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4"/>
      <c r="AX59" s="242"/>
      <c r="AY59" s="242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42"/>
      <c r="BU59" s="242"/>
      <c r="BV59" s="242"/>
      <c r="BW59" s="242"/>
      <c r="BX59" s="242"/>
      <c r="BY59" s="242"/>
      <c r="BZ59" s="242" t="s">
        <v>110</v>
      </c>
      <c r="CA59" s="242" t="s">
        <v>110</v>
      </c>
      <c r="CB59" s="242" t="s">
        <v>110</v>
      </c>
      <c r="CC59" s="242" t="s">
        <v>110</v>
      </c>
      <c r="CD59" s="242" t="s">
        <v>110</v>
      </c>
      <c r="CE59" s="242" t="s">
        <v>110</v>
      </c>
      <c r="CF59" s="242" t="s">
        <v>110</v>
      </c>
      <c r="CG59" s="242" t="s">
        <v>110</v>
      </c>
      <c r="CH59" s="242" t="s">
        <v>110</v>
      </c>
      <c r="CI59" s="242" t="s">
        <v>110</v>
      </c>
      <c r="CJ59" s="242" t="s">
        <v>110</v>
      </c>
      <c r="CK59" s="242" t="s">
        <v>110</v>
      </c>
      <c r="CL59" s="242" t="s">
        <v>110</v>
      </c>
      <c r="CM59" s="242" t="s">
        <v>110</v>
      </c>
      <c r="CN59" s="242" t="s">
        <v>110</v>
      </c>
      <c r="CO59" s="242" t="s">
        <v>110</v>
      </c>
      <c r="CP59" s="242" t="s">
        <v>110</v>
      </c>
      <c r="CQ59" s="242" t="s">
        <v>110</v>
      </c>
      <c r="CR59" s="242" t="s">
        <v>110</v>
      </c>
      <c r="CS59" s="242" t="s">
        <v>110</v>
      </c>
      <c r="CT59" s="242" t="s">
        <v>110</v>
      </c>
      <c r="CU59" s="242" t="s">
        <v>110</v>
      </c>
      <c r="CV59" s="242" t="s">
        <v>110</v>
      </c>
      <c r="CW59" s="242" t="s">
        <v>110</v>
      </c>
      <c r="CX59" s="242" t="s">
        <v>110</v>
      </c>
      <c r="CY59" s="242" t="s">
        <v>110</v>
      </c>
      <c r="CZ59" s="242" t="s">
        <v>110</v>
      </c>
      <c r="DA59" s="242" t="s">
        <v>110</v>
      </c>
      <c r="DB59" s="242" t="s">
        <v>110</v>
      </c>
      <c r="DC59" s="242" t="s">
        <v>110</v>
      </c>
      <c r="DD59" s="242" t="s">
        <v>110</v>
      </c>
      <c r="DE59" s="242" t="s">
        <v>110</v>
      </c>
      <c r="DF59" s="242" t="s">
        <v>110</v>
      </c>
      <c r="DG59" s="242" t="s">
        <v>110</v>
      </c>
      <c r="DH59" s="242" t="s">
        <v>110</v>
      </c>
      <c r="DI59" s="242" t="s">
        <v>110</v>
      </c>
      <c r="DJ59" s="242" t="s">
        <v>110</v>
      </c>
      <c r="DK59" s="242" t="s">
        <v>110</v>
      </c>
      <c r="DL59" s="242" t="s">
        <v>110</v>
      </c>
      <c r="DM59" s="242" t="s">
        <v>110</v>
      </c>
      <c r="DN59" s="242" t="s">
        <v>110</v>
      </c>
      <c r="DO59" s="242" t="s">
        <v>110</v>
      </c>
      <c r="DP59" s="242" t="s">
        <v>110</v>
      </c>
      <c r="DQ59" s="242" t="s">
        <v>110</v>
      </c>
      <c r="DR59" s="242" t="s">
        <v>110</v>
      </c>
      <c r="DS59" s="242" t="s">
        <v>110</v>
      </c>
      <c r="DT59" s="242" t="s">
        <v>110</v>
      </c>
      <c r="DU59" s="242" t="s">
        <v>110</v>
      </c>
      <c r="DV59" s="242" t="s">
        <v>110</v>
      </c>
      <c r="DW59" s="242" t="s">
        <v>110</v>
      </c>
      <c r="DX59" s="242" t="s">
        <v>110</v>
      </c>
      <c r="DY59" s="242" t="s">
        <v>110</v>
      </c>
      <c r="DZ59" s="242" t="s">
        <v>110</v>
      </c>
      <c r="EA59" s="242" t="s">
        <v>110</v>
      </c>
      <c r="EB59" s="242" t="s">
        <v>110</v>
      </c>
      <c r="EC59" s="242" t="s">
        <v>110</v>
      </c>
      <c r="ED59" s="242" t="s">
        <v>110</v>
      </c>
      <c r="EE59" s="242" t="s">
        <v>110</v>
      </c>
      <c r="EF59" s="242" t="s">
        <v>110</v>
      </c>
      <c r="EG59" s="242" t="s">
        <v>110</v>
      </c>
      <c r="EH59" s="242" t="s">
        <v>110</v>
      </c>
      <c r="EI59" s="242" t="s">
        <v>110</v>
      </c>
      <c r="EJ59" s="242" t="s">
        <v>110</v>
      </c>
      <c r="EK59" s="242" t="s">
        <v>110</v>
      </c>
      <c r="EL59" s="242" t="s">
        <v>110</v>
      </c>
      <c r="EM59" s="242" t="s">
        <v>110</v>
      </c>
      <c r="EN59" s="242" t="s">
        <v>110</v>
      </c>
      <c r="EO59" s="242" t="s">
        <v>110</v>
      </c>
      <c r="EP59" s="242" t="s">
        <v>110</v>
      </c>
      <c r="EQ59" s="242" t="s">
        <v>110</v>
      </c>
      <c r="ER59" s="242" t="s">
        <v>110</v>
      </c>
      <c r="ES59" s="242" t="s">
        <v>110</v>
      </c>
      <c r="ET59" s="242" t="s">
        <v>110</v>
      </c>
      <c r="EU59" s="242" t="s">
        <v>110</v>
      </c>
      <c r="EV59" s="242" t="s">
        <v>110</v>
      </c>
      <c r="EW59" s="242" t="s">
        <v>110</v>
      </c>
      <c r="EX59" s="242" t="s">
        <v>110</v>
      </c>
      <c r="EY59" s="242" t="s">
        <v>110</v>
      </c>
      <c r="EZ59" s="242" t="s">
        <v>110</v>
      </c>
      <c r="FA59" s="242" t="s">
        <v>110</v>
      </c>
      <c r="FB59" s="242" t="s">
        <v>110</v>
      </c>
      <c r="FC59" s="242" t="s">
        <v>110</v>
      </c>
      <c r="FD59" s="242" t="s">
        <v>110</v>
      </c>
      <c r="FE59" s="242" t="s">
        <v>110</v>
      </c>
      <c r="FF59" s="242" t="s">
        <v>110</v>
      </c>
      <c r="FG59" s="242" t="s">
        <v>110</v>
      </c>
      <c r="FH59" s="242" t="s">
        <v>110</v>
      </c>
      <c r="FI59" s="242" t="s">
        <v>110</v>
      </c>
      <c r="FJ59" s="242" t="s">
        <v>110</v>
      </c>
      <c r="FK59" s="242" t="s">
        <v>110</v>
      </c>
      <c r="FL59" s="242" t="s">
        <v>110</v>
      </c>
      <c r="FM59" s="242" t="s">
        <v>110</v>
      </c>
      <c r="FN59" s="242" t="s">
        <v>110</v>
      </c>
      <c r="FO59" s="242" t="s">
        <v>110</v>
      </c>
      <c r="FP59" s="242" t="s">
        <v>110</v>
      </c>
      <c r="FQ59" s="242" t="s">
        <v>110</v>
      </c>
      <c r="FR59" s="242" t="s">
        <v>110</v>
      </c>
      <c r="FS59" s="242" t="s">
        <v>110</v>
      </c>
      <c r="FT59" s="242" t="s">
        <v>110</v>
      </c>
      <c r="FU59" s="242" t="s">
        <v>110</v>
      </c>
      <c r="FV59" s="242" t="s">
        <v>110</v>
      </c>
      <c r="FW59" s="242" t="s">
        <v>110</v>
      </c>
      <c r="FX59" s="242" t="s">
        <v>110</v>
      </c>
      <c r="FY59" s="242" t="s">
        <v>110</v>
      </c>
      <c r="FZ59" s="242" t="s">
        <v>110</v>
      </c>
      <c r="GA59" s="242" t="s">
        <v>110</v>
      </c>
      <c r="GB59" s="242" t="s">
        <v>110</v>
      </c>
      <c r="GC59" s="242" t="s">
        <v>110</v>
      </c>
      <c r="GD59" s="242" t="s">
        <v>110</v>
      </c>
      <c r="GE59" s="242" t="s">
        <v>110</v>
      </c>
      <c r="GF59" s="242" t="s">
        <v>110</v>
      </c>
      <c r="GG59" s="242" t="s">
        <v>110</v>
      </c>
      <c r="GH59" s="242" t="s">
        <v>110</v>
      </c>
      <c r="GI59" s="242" t="s">
        <v>110</v>
      </c>
      <c r="GJ59" s="242" t="s">
        <v>110</v>
      </c>
      <c r="GK59" s="242" t="s">
        <v>110</v>
      </c>
      <c r="GL59" s="242" t="s">
        <v>110</v>
      </c>
      <c r="GM59" s="242" t="s">
        <v>110</v>
      </c>
      <c r="GN59" s="242" t="s">
        <v>110</v>
      </c>
      <c r="GO59" s="242" t="s">
        <v>110</v>
      </c>
      <c r="GP59" s="242" t="s">
        <v>110</v>
      </c>
      <c r="GQ59" s="242" t="s">
        <v>110</v>
      </c>
      <c r="GR59" s="242" t="s">
        <v>110</v>
      </c>
      <c r="GS59" s="242" t="s">
        <v>110</v>
      </c>
      <c r="GT59" s="242" t="s">
        <v>110</v>
      </c>
      <c r="GU59" s="242" t="s">
        <v>110</v>
      </c>
      <c r="GV59" s="242" t="s">
        <v>110</v>
      </c>
      <c r="GW59" s="242" t="s">
        <v>110</v>
      </c>
      <c r="GX59" s="242" t="s">
        <v>110</v>
      </c>
      <c r="GY59" s="242" t="s">
        <v>110</v>
      </c>
      <c r="GZ59" s="242" t="s">
        <v>110</v>
      </c>
      <c r="HA59" s="242" t="s">
        <v>110</v>
      </c>
      <c r="HB59" s="242" t="s">
        <v>110</v>
      </c>
      <c r="HC59" s="242" t="s">
        <v>110</v>
      </c>
      <c r="HD59" s="242" t="s">
        <v>110</v>
      </c>
      <c r="HE59" s="242" t="s">
        <v>110</v>
      </c>
      <c r="HF59" s="242" t="s">
        <v>110</v>
      </c>
      <c r="HG59" s="242" t="s">
        <v>110</v>
      </c>
      <c r="HH59" s="242" t="s">
        <v>110</v>
      </c>
      <c r="HI59" s="242" t="s">
        <v>110</v>
      </c>
      <c r="HJ59" s="242" t="s">
        <v>110</v>
      </c>
      <c r="HK59" s="242" t="s">
        <v>110</v>
      </c>
      <c r="HL59" s="242" t="s">
        <v>110</v>
      </c>
      <c r="HM59" s="242" t="s">
        <v>110</v>
      </c>
      <c r="HN59" s="242" t="s">
        <v>110</v>
      </c>
      <c r="HO59" s="242" t="s">
        <v>110</v>
      </c>
      <c r="HP59" s="242" t="s">
        <v>110</v>
      </c>
      <c r="HQ59" s="242" t="s">
        <v>110</v>
      </c>
      <c r="HR59" s="242" t="s">
        <v>110</v>
      </c>
      <c r="HS59" s="242" t="s">
        <v>110</v>
      </c>
      <c r="HT59" s="242" t="s">
        <v>110</v>
      </c>
      <c r="HU59" s="242" t="s">
        <v>110</v>
      </c>
      <c r="HV59" s="242" t="s">
        <v>110</v>
      </c>
      <c r="HW59" s="242" t="s">
        <v>110</v>
      </c>
      <c r="HX59" s="242" t="s">
        <v>110</v>
      </c>
      <c r="HY59" s="242" t="s">
        <v>110</v>
      </c>
      <c r="HZ59" s="242" t="s">
        <v>110</v>
      </c>
      <c r="IA59" s="242" t="s">
        <v>110</v>
      </c>
      <c r="IB59" s="242" t="s">
        <v>110</v>
      </c>
      <c r="IC59" s="242" t="s">
        <v>110</v>
      </c>
      <c r="ID59" s="242" t="s">
        <v>110</v>
      </c>
      <c r="IE59" s="242" t="s">
        <v>110</v>
      </c>
      <c r="IF59" s="242" t="s">
        <v>110</v>
      </c>
      <c r="IG59" s="242" t="s">
        <v>110</v>
      </c>
      <c r="IH59" s="242" t="s">
        <v>110</v>
      </c>
      <c r="II59" s="242" t="s">
        <v>110</v>
      </c>
      <c r="IJ59" s="242" t="s">
        <v>110</v>
      </c>
    </row>
    <row r="60" spans="1:249" ht="24" customHeight="1" x14ac:dyDescent="0.2">
      <c r="F60" s="12" t="s">
        <v>89</v>
      </c>
      <c r="H60" s="25">
        <f>B56</f>
        <v>100</v>
      </c>
      <c r="I60" s="26">
        <f t="shared" ref="I60:Z60" si="33">H60-H58</f>
        <v>100</v>
      </c>
      <c r="J60" s="26">
        <f t="shared" si="33"/>
        <v>100</v>
      </c>
      <c r="K60" s="26">
        <f t="shared" si="33"/>
        <v>100</v>
      </c>
      <c r="L60" s="26">
        <f t="shared" si="33"/>
        <v>100</v>
      </c>
      <c r="M60" s="26">
        <f t="shared" si="33"/>
        <v>100</v>
      </c>
      <c r="N60" s="26">
        <f t="shared" si="33"/>
        <v>100</v>
      </c>
      <c r="O60" s="26">
        <f t="shared" si="33"/>
        <v>96</v>
      </c>
      <c r="P60" s="26">
        <f t="shared" si="33"/>
        <v>88</v>
      </c>
      <c r="Q60" s="26">
        <f t="shared" si="33"/>
        <v>80</v>
      </c>
      <c r="R60" s="26">
        <f t="shared" si="33"/>
        <v>72</v>
      </c>
      <c r="S60" s="26">
        <f t="shared" si="33"/>
        <v>64</v>
      </c>
      <c r="T60" s="26">
        <f t="shared" si="33"/>
        <v>56</v>
      </c>
      <c r="U60" s="26">
        <f t="shared" si="33"/>
        <v>48</v>
      </c>
      <c r="V60" s="26">
        <f t="shared" si="33"/>
        <v>40</v>
      </c>
      <c r="W60" s="26">
        <f t="shared" si="33"/>
        <v>32</v>
      </c>
      <c r="X60" s="26">
        <f t="shared" si="33"/>
        <v>24</v>
      </c>
      <c r="Y60" s="26">
        <f t="shared" si="33"/>
        <v>16</v>
      </c>
      <c r="Z60" s="26">
        <f t="shared" si="33"/>
        <v>8</v>
      </c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7"/>
      <c r="AX60" s="242"/>
      <c r="AY60" s="242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42"/>
      <c r="BU60" s="242"/>
      <c r="BV60" s="242"/>
      <c r="BW60" s="242"/>
      <c r="BX60" s="242"/>
      <c r="BY60" s="242"/>
      <c r="BZ60" s="242"/>
      <c r="CA60" s="242"/>
      <c r="CB60" s="242"/>
      <c r="CC60" s="242"/>
      <c r="CD60" s="242"/>
      <c r="CE60" s="242" t="s">
        <v>39</v>
      </c>
      <c r="CF60" s="242" t="s">
        <v>39</v>
      </c>
      <c r="CG60" s="242" t="s">
        <v>39</v>
      </c>
      <c r="CH60" s="242" t="s">
        <v>39</v>
      </c>
      <c r="CI60" s="242" t="s">
        <v>39</v>
      </c>
      <c r="CJ60" s="242" t="s">
        <v>39</v>
      </c>
      <c r="CK60" s="242" t="s">
        <v>39</v>
      </c>
      <c r="CL60" s="242" t="s">
        <v>39</v>
      </c>
      <c r="CM60" s="242" t="s">
        <v>39</v>
      </c>
      <c r="CN60" s="242" t="s">
        <v>39</v>
      </c>
      <c r="CO60" s="242" t="s">
        <v>39</v>
      </c>
      <c r="CP60" s="242" t="s">
        <v>39</v>
      </c>
      <c r="CQ60" s="242" t="s">
        <v>39</v>
      </c>
      <c r="CR60" s="242" t="s">
        <v>39</v>
      </c>
      <c r="CS60" s="242" t="s">
        <v>39</v>
      </c>
      <c r="CT60" s="242" t="s">
        <v>39</v>
      </c>
      <c r="CU60" s="242" t="s">
        <v>39</v>
      </c>
      <c r="CV60" s="242" t="s">
        <v>39</v>
      </c>
      <c r="CW60" s="242" t="s">
        <v>39</v>
      </c>
      <c r="CX60" s="242" t="s">
        <v>39</v>
      </c>
      <c r="CY60" s="242" t="s">
        <v>39</v>
      </c>
      <c r="CZ60" s="242" t="s">
        <v>39</v>
      </c>
      <c r="DA60" s="242" t="s">
        <v>39</v>
      </c>
      <c r="DB60" s="242" t="s">
        <v>39</v>
      </c>
      <c r="DC60" s="242" t="s">
        <v>39</v>
      </c>
      <c r="DD60" s="242" t="s">
        <v>39</v>
      </c>
      <c r="DE60" s="242" t="s">
        <v>39</v>
      </c>
      <c r="DF60" s="242" t="s">
        <v>39</v>
      </c>
      <c r="DG60" s="242" t="s">
        <v>39</v>
      </c>
      <c r="DH60" s="242" t="s">
        <v>39</v>
      </c>
      <c r="DI60" s="242" t="s">
        <v>39</v>
      </c>
      <c r="DJ60" s="242" t="s">
        <v>39</v>
      </c>
      <c r="DK60" s="242" t="s">
        <v>39</v>
      </c>
      <c r="DL60" s="242" t="s">
        <v>39</v>
      </c>
      <c r="DM60" s="242" t="s">
        <v>39</v>
      </c>
      <c r="DN60" s="242" t="s">
        <v>39</v>
      </c>
      <c r="DO60" s="242" t="s">
        <v>39</v>
      </c>
      <c r="DP60" s="242" t="s">
        <v>39</v>
      </c>
      <c r="DQ60" s="242" t="s">
        <v>39</v>
      </c>
      <c r="DR60" s="242" t="s">
        <v>39</v>
      </c>
      <c r="DS60" s="242" t="s">
        <v>39</v>
      </c>
      <c r="DT60" s="242" t="s">
        <v>39</v>
      </c>
      <c r="DU60" s="242" t="s">
        <v>39</v>
      </c>
      <c r="DV60" s="242" t="s">
        <v>39</v>
      </c>
      <c r="DW60" s="242" t="s">
        <v>39</v>
      </c>
      <c r="DX60" s="242" t="s">
        <v>39</v>
      </c>
      <c r="DY60" s="242" t="s">
        <v>39</v>
      </c>
      <c r="DZ60" s="242" t="s">
        <v>39</v>
      </c>
      <c r="EA60" s="242" t="s">
        <v>39</v>
      </c>
      <c r="EB60" s="242" t="s">
        <v>39</v>
      </c>
      <c r="EC60" s="242" t="s">
        <v>39</v>
      </c>
      <c r="ED60" s="242" t="s">
        <v>39</v>
      </c>
      <c r="EE60" s="242" t="s">
        <v>39</v>
      </c>
      <c r="EF60" s="242" t="s">
        <v>39</v>
      </c>
      <c r="EG60" s="242" t="s">
        <v>39</v>
      </c>
      <c r="EH60" s="242" t="s">
        <v>39</v>
      </c>
      <c r="EI60" s="242" t="s">
        <v>39</v>
      </c>
      <c r="EJ60" s="242" t="s">
        <v>39</v>
      </c>
      <c r="EK60" s="242" t="s">
        <v>39</v>
      </c>
      <c r="EL60" s="242" t="s">
        <v>39</v>
      </c>
      <c r="EM60" s="242" t="s">
        <v>39</v>
      </c>
      <c r="EN60" s="242" t="s">
        <v>39</v>
      </c>
      <c r="EO60" s="242" t="s">
        <v>39</v>
      </c>
      <c r="EP60" s="242" t="s">
        <v>39</v>
      </c>
      <c r="EQ60" s="242" t="s">
        <v>39</v>
      </c>
      <c r="ER60" s="242" t="s">
        <v>39</v>
      </c>
      <c r="ES60" s="242" t="s">
        <v>39</v>
      </c>
      <c r="ET60" s="242" t="s">
        <v>39</v>
      </c>
      <c r="EU60" s="242" t="s">
        <v>39</v>
      </c>
      <c r="EV60" s="242" t="s">
        <v>39</v>
      </c>
      <c r="EW60" s="242" t="s">
        <v>39</v>
      </c>
      <c r="EX60" s="242" t="s">
        <v>39</v>
      </c>
      <c r="EY60" s="242" t="s">
        <v>39</v>
      </c>
      <c r="EZ60" s="242" t="s">
        <v>39</v>
      </c>
      <c r="FA60" s="242" t="s">
        <v>39</v>
      </c>
      <c r="FB60" s="242" t="s">
        <v>39</v>
      </c>
      <c r="FC60" s="242" t="s">
        <v>39</v>
      </c>
      <c r="FD60" s="242" t="s">
        <v>39</v>
      </c>
      <c r="FE60" s="242" t="s">
        <v>39</v>
      </c>
      <c r="FF60" s="242" t="s">
        <v>39</v>
      </c>
      <c r="FG60" s="242" t="s">
        <v>39</v>
      </c>
      <c r="FH60" s="242" t="s">
        <v>39</v>
      </c>
      <c r="FI60" s="242" t="s">
        <v>39</v>
      </c>
      <c r="FJ60" s="242" t="s">
        <v>39</v>
      </c>
      <c r="FK60" s="242" t="s">
        <v>39</v>
      </c>
      <c r="FL60" s="242" t="s">
        <v>39</v>
      </c>
      <c r="FM60" s="242" t="s">
        <v>39</v>
      </c>
      <c r="FN60" s="242" t="s">
        <v>39</v>
      </c>
      <c r="FO60" s="242" t="s">
        <v>39</v>
      </c>
      <c r="FP60" s="242" t="s">
        <v>39</v>
      </c>
      <c r="FQ60" s="242" t="s">
        <v>39</v>
      </c>
      <c r="FR60" s="242" t="s">
        <v>39</v>
      </c>
      <c r="FS60" s="242" t="s">
        <v>39</v>
      </c>
      <c r="FT60" s="242" t="s">
        <v>39</v>
      </c>
      <c r="FU60" s="242" t="s">
        <v>39</v>
      </c>
      <c r="FV60" s="242" t="s">
        <v>39</v>
      </c>
      <c r="FW60" s="242" t="s">
        <v>39</v>
      </c>
      <c r="FX60" s="242" t="s">
        <v>39</v>
      </c>
      <c r="FY60" s="242" t="s">
        <v>39</v>
      </c>
      <c r="FZ60" s="242" t="s">
        <v>39</v>
      </c>
      <c r="GA60" s="242" t="s">
        <v>39</v>
      </c>
      <c r="GB60" s="242" t="s">
        <v>39</v>
      </c>
      <c r="GC60" s="242" t="s">
        <v>39</v>
      </c>
      <c r="GD60" s="242" t="s">
        <v>39</v>
      </c>
      <c r="GE60" s="242" t="s">
        <v>39</v>
      </c>
      <c r="GF60" s="242" t="s">
        <v>39</v>
      </c>
      <c r="GG60" s="242" t="s">
        <v>39</v>
      </c>
      <c r="GH60" s="242" t="s">
        <v>39</v>
      </c>
      <c r="GI60" s="242" t="s">
        <v>39</v>
      </c>
      <c r="GJ60" s="242" t="s">
        <v>39</v>
      </c>
      <c r="GK60" s="242" t="s">
        <v>39</v>
      </c>
      <c r="GL60" s="242" t="s">
        <v>39</v>
      </c>
      <c r="GM60" s="242" t="s">
        <v>39</v>
      </c>
      <c r="GN60" s="242" t="s">
        <v>39</v>
      </c>
      <c r="GO60" s="242" t="s">
        <v>39</v>
      </c>
      <c r="GP60" s="242" t="s">
        <v>39</v>
      </c>
      <c r="GQ60" s="242" t="s">
        <v>39</v>
      </c>
      <c r="GR60" s="242" t="s">
        <v>39</v>
      </c>
      <c r="GS60" s="242" t="s">
        <v>39</v>
      </c>
      <c r="GT60" s="242" t="s">
        <v>39</v>
      </c>
      <c r="GU60" s="242" t="s">
        <v>39</v>
      </c>
      <c r="GV60" s="242" t="s">
        <v>39</v>
      </c>
      <c r="GW60" s="242" t="s">
        <v>39</v>
      </c>
      <c r="GX60" s="242" t="s">
        <v>39</v>
      </c>
      <c r="GY60" s="242" t="s">
        <v>39</v>
      </c>
      <c r="GZ60" s="242" t="s">
        <v>39</v>
      </c>
      <c r="HA60" s="242" t="s">
        <v>39</v>
      </c>
      <c r="HB60" s="242" t="s">
        <v>39</v>
      </c>
      <c r="HC60" s="242" t="s">
        <v>39</v>
      </c>
      <c r="HD60" s="242" t="s">
        <v>39</v>
      </c>
      <c r="HE60" s="242" t="s">
        <v>39</v>
      </c>
      <c r="HF60" s="242" t="s">
        <v>39</v>
      </c>
      <c r="HG60" s="242" t="s">
        <v>39</v>
      </c>
      <c r="HH60" s="242" t="s">
        <v>39</v>
      </c>
      <c r="HI60" s="242" t="s">
        <v>39</v>
      </c>
      <c r="HJ60" s="242" t="s">
        <v>39</v>
      </c>
      <c r="HK60" s="242" t="s">
        <v>39</v>
      </c>
      <c r="HL60" s="242" t="s">
        <v>39</v>
      </c>
      <c r="HM60" s="242" t="s">
        <v>39</v>
      </c>
      <c r="HN60" s="242" t="s">
        <v>39</v>
      </c>
      <c r="HO60" s="242" t="s">
        <v>39</v>
      </c>
      <c r="HP60" s="242" t="s">
        <v>39</v>
      </c>
      <c r="HQ60" s="242" t="s">
        <v>39</v>
      </c>
      <c r="HR60" s="242" t="s">
        <v>39</v>
      </c>
      <c r="HS60" s="242" t="s">
        <v>39</v>
      </c>
      <c r="HT60" s="242" t="s">
        <v>39</v>
      </c>
      <c r="HU60" s="242" t="s">
        <v>39</v>
      </c>
      <c r="HV60" s="242" t="s">
        <v>39</v>
      </c>
      <c r="HW60" s="242" t="s">
        <v>39</v>
      </c>
      <c r="HX60" s="242" t="s">
        <v>39</v>
      </c>
      <c r="HY60" s="242" t="s">
        <v>39</v>
      </c>
      <c r="HZ60" s="242" t="s">
        <v>39</v>
      </c>
      <c r="IA60" s="242" t="s">
        <v>39</v>
      </c>
      <c r="IB60" s="242" t="s">
        <v>39</v>
      </c>
      <c r="IC60" s="242" t="s">
        <v>39</v>
      </c>
      <c r="ID60" s="242" t="s">
        <v>39</v>
      </c>
      <c r="IE60" s="242" t="s">
        <v>39</v>
      </c>
      <c r="IF60" s="242" t="s">
        <v>39</v>
      </c>
      <c r="IG60" s="242" t="s">
        <v>39</v>
      </c>
      <c r="IH60" s="242" t="s">
        <v>39</v>
      </c>
      <c r="II60" s="242" t="s">
        <v>39</v>
      </c>
      <c r="IJ60" s="242" t="s">
        <v>39</v>
      </c>
      <c r="IK60" s="242" t="s">
        <v>39</v>
      </c>
      <c r="IL60" s="242" t="s">
        <v>39</v>
      </c>
      <c r="IM60" s="242" t="s">
        <v>39</v>
      </c>
      <c r="IN60" s="242" t="s">
        <v>39</v>
      </c>
      <c r="IO60" s="242" t="s">
        <v>39</v>
      </c>
    </row>
    <row r="61" spans="1:249" ht="24" customHeight="1" x14ac:dyDescent="0.15">
      <c r="A61" s="44" t="s">
        <v>11</v>
      </c>
      <c r="B61" s="71">
        <f>'Monitor Bonos'!M17</f>
        <v>30</v>
      </c>
      <c r="C61" s="48" t="s">
        <v>77</v>
      </c>
      <c r="D61" s="49">
        <f ca="1">XIRR(G59:AV59,G54:AV54)</f>
        <v>0.71272310018539464</v>
      </c>
      <c r="E61" s="31"/>
      <c r="F61" s="11" t="s">
        <v>102</v>
      </c>
      <c r="H61" s="52">
        <f>+H59/(1+$B$21)^(H55)</f>
        <v>0</v>
      </c>
      <c r="I61" s="53">
        <f ca="1">+I59/(1+$B$21)^(I55)</f>
        <v>0</v>
      </c>
      <c r="J61" s="53">
        <f ca="1">+J59/(1+$B$21)^(J55)</f>
        <v>0</v>
      </c>
      <c r="K61" s="53">
        <f ca="1">+K59/(1+$B$21)^(K55)</f>
        <v>0</v>
      </c>
      <c r="L61" s="75">
        <f ca="1">+L59/(1+$B$54)^(L55)</f>
        <v>0</v>
      </c>
      <c r="M61" s="75">
        <f t="shared" ref="M61:Z61" ca="1" si="34">+M59/(1+$B$54)^(M55)</f>
        <v>0</v>
      </c>
      <c r="N61" s="75">
        <f t="shared" ca="1" si="34"/>
        <v>4.3662672825802176</v>
      </c>
      <c r="O61" s="75">
        <f t="shared" ca="1" si="34"/>
        <v>7.6106633598592808</v>
      </c>
      <c r="P61" s="75">
        <f t="shared" ca="1" si="34"/>
        <v>6.9278107550272807</v>
      </c>
      <c r="Q61" s="75">
        <f t="shared" ca="1" si="34"/>
        <v>6.2967011450191421</v>
      </c>
      <c r="R61" s="75">
        <f t="shared" ca="1" si="34"/>
        <v>5.7315921312600642</v>
      </c>
      <c r="S61" s="75">
        <f t="shared" ca="1" si="34"/>
        <v>5.2093190195740693</v>
      </c>
      <c r="T61" s="75">
        <f t="shared" ca="1" si="34"/>
        <v>4.741673861108942</v>
      </c>
      <c r="U61" s="75">
        <f t="shared" ca="1" si="34"/>
        <v>4.4359290194997634</v>
      </c>
      <c r="V61" s="75">
        <f t="shared" ca="1" si="34"/>
        <v>4.0167686304250791</v>
      </c>
      <c r="W61" s="75">
        <f t="shared" ca="1" si="34"/>
        <v>3.6333283920509873</v>
      </c>
      <c r="X61" s="75">
        <f t="shared" ca="1" si="34"/>
        <v>3.2911846762265373</v>
      </c>
      <c r="Y61" s="75">
        <f t="shared" ca="1" si="34"/>
        <v>2.9765794194137518</v>
      </c>
      <c r="Z61" s="75">
        <f t="shared" ca="1" si="34"/>
        <v>2.6958851336934795</v>
      </c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5"/>
    </row>
    <row r="62" spans="1:249" ht="24" customHeight="1" x14ac:dyDescent="0.15">
      <c r="C62" s="41" t="s">
        <v>83</v>
      </c>
      <c r="D62" s="39">
        <f ca="1">SUM(H64:AV64)/B61</f>
        <v>5.2227706859352692</v>
      </c>
      <c r="F62" s="11" t="s">
        <v>103</v>
      </c>
      <c r="H62" s="56">
        <f t="shared" ref="H62:Z62" ca="1" si="35">+H59/(1+$D$28)^(H55)</f>
        <v>0</v>
      </c>
      <c r="I62" s="57">
        <f t="shared" ca="1" si="35"/>
        <v>0</v>
      </c>
      <c r="J62" s="57">
        <f t="shared" ca="1" si="35"/>
        <v>0</v>
      </c>
      <c r="K62" s="57">
        <f t="shared" ca="1" si="35"/>
        <v>0</v>
      </c>
      <c r="L62" s="57">
        <f t="shared" ca="1" si="35"/>
        <v>0</v>
      </c>
      <c r="M62" s="57">
        <f t="shared" ca="1" si="35"/>
        <v>0</v>
      </c>
      <c r="N62" s="57">
        <f t="shared" ca="1" si="35"/>
        <v>4.3613674230893125</v>
      </c>
      <c r="O62" s="57">
        <f t="shared" ca="1" si="35"/>
        <v>7.2194368479027862</v>
      </c>
      <c r="P62" s="57">
        <f t="shared" ca="1" si="35"/>
        <v>6.2461298517138353</v>
      </c>
      <c r="Q62" s="57">
        <f t="shared" ca="1" si="35"/>
        <v>5.3913375772539522</v>
      </c>
      <c r="R62" s="57">
        <f t="shared" ca="1" si="35"/>
        <v>4.6643690608284842</v>
      </c>
      <c r="S62" s="57">
        <f t="shared" ca="1" si="35"/>
        <v>4.0259375556044565</v>
      </c>
      <c r="T62" s="57">
        <f t="shared" ca="1" si="35"/>
        <v>3.48298771603555</v>
      </c>
      <c r="U62" s="57">
        <f t="shared" ca="1" si="35"/>
        <v>3.0943775637872832</v>
      </c>
      <c r="V62" s="57">
        <f t="shared" ca="1" si="35"/>
        <v>2.662427588452823</v>
      </c>
      <c r="W62" s="57">
        <f t="shared" ca="1" si="35"/>
        <v>2.2870417488019754</v>
      </c>
      <c r="X62" s="57">
        <f t="shared" ca="1" si="35"/>
        <v>1.9690460619497907</v>
      </c>
      <c r="Y62" s="57">
        <f t="shared" ca="1" si="35"/>
        <v>1.6911788934595482</v>
      </c>
      <c r="Z62" s="57">
        <f t="shared" ca="1" si="35"/>
        <v>1.4558198697540923</v>
      </c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8"/>
    </row>
    <row r="63" spans="1:249" ht="24" customHeight="1" x14ac:dyDescent="0.15">
      <c r="C63" s="41" t="s">
        <v>85</v>
      </c>
      <c r="D63" s="39">
        <f ca="1">+D62/(1+D61/2)</f>
        <v>3.8505741227907349</v>
      </c>
      <c r="F63" s="60" t="s">
        <v>104</v>
      </c>
      <c r="N63" s="1"/>
      <c r="O63" s="1"/>
      <c r="AC63" s="4"/>
    </row>
    <row r="64" spans="1:249" ht="24" customHeight="1" x14ac:dyDescent="0.15">
      <c r="C64" s="41" t="s">
        <v>13</v>
      </c>
      <c r="D64" s="39">
        <f ca="1">SUM(H67:AV67)/B61</f>
        <v>2.1251473591094663</v>
      </c>
      <c r="F64" s="59" t="s">
        <v>105</v>
      </c>
      <c r="H64">
        <f t="shared" ref="H64:Z64" si="36">H61*H55</f>
        <v>0</v>
      </c>
      <c r="I64">
        <f t="shared" ca="1" si="36"/>
        <v>0</v>
      </c>
      <c r="J64">
        <f t="shared" ca="1" si="36"/>
        <v>0</v>
      </c>
      <c r="K64">
        <f t="shared" ca="1" si="36"/>
        <v>0</v>
      </c>
      <c r="L64">
        <f t="shared" ca="1" si="36"/>
        <v>0</v>
      </c>
      <c r="M64">
        <f t="shared" ca="1" si="36"/>
        <v>0</v>
      </c>
      <c r="N64">
        <f t="shared" ca="1" si="36"/>
        <v>4.7849504466632518E-2</v>
      </c>
      <c r="O64">
        <f t="shared" ca="1" si="36"/>
        <v>3.9200129086398485</v>
      </c>
      <c r="P64">
        <f t="shared" ca="1" si="36"/>
        <v>7.003731968781004</v>
      </c>
      <c r="Q64">
        <f t="shared" ca="1" si="36"/>
        <v>9.5399335156043445</v>
      </c>
      <c r="R64">
        <f t="shared" ca="1" si="36"/>
        <v>11.525996231081882</v>
      </c>
      <c r="S64">
        <f t="shared" ca="1" si="36"/>
        <v>13.101794136901358</v>
      </c>
      <c r="T64">
        <f t="shared" ca="1" si="36"/>
        <v>14.276985132489663</v>
      </c>
      <c r="U64">
        <f t="shared" ca="1" si="36"/>
        <v>15.592594334296429</v>
      </c>
      <c r="V64">
        <f t="shared" ca="1" si="36"/>
        <v>16.122098749514358</v>
      </c>
      <c r="W64">
        <f t="shared" ca="1" si="36"/>
        <v>16.414680872581037</v>
      </c>
      <c r="X64">
        <f t="shared" ca="1" si="36"/>
        <v>16.501008102724828</v>
      </c>
      <c r="Y64">
        <f t="shared" ca="1" si="36"/>
        <v>16.424194385477524</v>
      </c>
      <c r="Z64">
        <f t="shared" ca="1" si="36"/>
        <v>16.212240735499144</v>
      </c>
    </row>
    <row r="65" spans="1:48" ht="24" customHeight="1" x14ac:dyDescent="0.15">
      <c r="F65" s="2" t="s">
        <v>106</v>
      </c>
      <c r="H65">
        <f t="shared" ref="H65:Z65" si="37">H55*(H55+1)</f>
        <v>0</v>
      </c>
      <c r="I65">
        <f t="shared" ca="1" si="37"/>
        <v>3.7008369300056296</v>
      </c>
      <c r="J65">
        <f t="shared" ca="1" si="37"/>
        <v>1.9754100206417713</v>
      </c>
      <c r="K65">
        <f t="shared" ca="1" si="37"/>
        <v>0.72549446425220487</v>
      </c>
      <c r="L65">
        <f t="shared" ca="1" si="37"/>
        <v>-8.1516231938449663E-3</v>
      </c>
      <c r="M65">
        <f t="shared" ca="1" si="37"/>
        <v>-0.24984800150121975</v>
      </c>
      <c r="N65">
        <f t="shared" ca="1" si="37"/>
        <v>1.1079001688872209E-2</v>
      </c>
      <c r="O65">
        <f t="shared" ca="1" si="37"/>
        <v>0.7803640457872022</v>
      </c>
      <c r="P65">
        <f t="shared" ca="1" si="37"/>
        <v>2.0329968099080502</v>
      </c>
      <c r="Q65">
        <f t="shared" ca="1" si="37"/>
        <v>3.8105010320885726</v>
      </c>
      <c r="R65">
        <f t="shared" ca="1" si="37"/>
        <v>6.0549146181272278</v>
      </c>
      <c r="S65">
        <f t="shared" ca="1" si="37"/>
        <v>8.8406380183899422</v>
      </c>
      <c r="T65">
        <f t="shared" ca="1" si="37"/>
        <v>12.076832426346407</v>
      </c>
      <c r="U65">
        <f t="shared" ca="1" si="37"/>
        <v>15.870775004691312</v>
      </c>
      <c r="V65">
        <f t="shared" ca="1" si="37"/>
        <v>20.123475323700504</v>
      </c>
      <c r="W65">
        <f t="shared" ca="1" si="37"/>
        <v>24.928399324451117</v>
      </c>
      <c r="X65">
        <f t="shared" ca="1" si="37"/>
        <v>30.150872583974476</v>
      </c>
      <c r="Y65">
        <f t="shared" ca="1" si="37"/>
        <v>35.964015762807286</v>
      </c>
      <c r="Z65">
        <f t="shared" ca="1" si="37"/>
        <v>42.178269844248447</v>
      </c>
    </row>
    <row r="66" spans="1:48" ht="24" customHeight="1" x14ac:dyDescent="0.2">
      <c r="A66" s="6"/>
      <c r="F66" s="42" t="s">
        <v>107</v>
      </c>
      <c r="H66" s="77">
        <f>(H59/(1+$B$54)^(H55+2))*H65</f>
        <v>0</v>
      </c>
      <c r="I66" s="77">
        <f t="shared" ref="I66:Z66" ca="1" si="38">(I59/(1+$B$54)^(I55+2))*I65</f>
        <v>0</v>
      </c>
      <c r="J66" s="77">
        <f t="shared" ca="1" si="38"/>
        <v>0</v>
      </c>
      <c r="K66" s="77">
        <f t="shared" ca="1" si="38"/>
        <v>0</v>
      </c>
      <c r="L66" s="77">
        <f t="shared" ca="1" si="38"/>
        <v>0</v>
      </c>
      <c r="M66" s="77">
        <f t="shared" ca="1" si="38"/>
        <v>0</v>
      </c>
      <c r="N66" s="77">
        <f t="shared" ca="1" si="38"/>
        <v>3.3592974026231744E-2</v>
      </c>
      <c r="O66" s="77">
        <f t="shared" ca="1" si="38"/>
        <v>4.1243667018223675</v>
      </c>
      <c r="P66" s="77">
        <f t="shared" ca="1" si="38"/>
        <v>9.7807063643174601</v>
      </c>
      <c r="Q66" s="77">
        <f t="shared" ca="1" si="38"/>
        <v>16.66221264711718</v>
      </c>
      <c r="R66" s="77">
        <f t="shared" ca="1" si="38"/>
        <v>24.100209014381637</v>
      </c>
      <c r="S66" s="77">
        <f t="shared" ca="1" si="38"/>
        <v>31.981738732200235</v>
      </c>
      <c r="T66" s="77">
        <f t="shared" ca="1" si="38"/>
        <v>39.766944889583087</v>
      </c>
      <c r="U66" s="77">
        <f t="shared" ca="1" si="38"/>
        <v>48.890021809209514</v>
      </c>
      <c r="V66" s="77">
        <f t="shared" ca="1" si="38"/>
        <v>56.132878066231498</v>
      </c>
      <c r="W66" s="77">
        <f t="shared" ca="1" si="38"/>
        <v>62.897959051328407</v>
      </c>
      <c r="X66" s="77">
        <f t="shared" ca="1" si="38"/>
        <v>68.911173488358074</v>
      </c>
      <c r="Y66" s="77">
        <f t="shared" ca="1" si="38"/>
        <v>74.3401035826694</v>
      </c>
      <c r="Z66" s="77">
        <f t="shared" ca="1" si="38"/>
        <v>78.963729609737058</v>
      </c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</row>
    <row r="67" spans="1:48" ht="24" customHeight="1" x14ac:dyDescent="0.15">
      <c r="F67" s="42" t="s">
        <v>108</v>
      </c>
      <c r="H67">
        <f ca="1">(H59/(1+$D$61)^(H55+2))*H65</f>
        <v>0</v>
      </c>
      <c r="I67">
        <f t="shared" ref="I67:Z67" ca="1" si="39">(I59/(1+$D$61)^(I55+2))*I65</f>
        <v>0</v>
      </c>
      <c r="J67">
        <f t="shared" ca="1" si="39"/>
        <v>0</v>
      </c>
      <c r="K67">
        <f t="shared" ca="1" si="39"/>
        <v>0</v>
      </c>
      <c r="L67">
        <f t="shared" ca="1" si="39"/>
        <v>0</v>
      </c>
      <c r="M67">
        <f t="shared" ca="1" si="39"/>
        <v>0</v>
      </c>
      <c r="N67">
        <f t="shared" ca="1" si="39"/>
        <v>1.642643881122163E-2</v>
      </c>
      <c r="O67">
        <f t="shared" ca="1" si="39"/>
        <v>1.6856380560412572</v>
      </c>
      <c r="P67">
        <f t="shared" ca="1" si="39"/>
        <v>3.3508831036369049</v>
      </c>
      <c r="Q67">
        <f t="shared" ca="1" si="39"/>
        <v>4.7712680862738646</v>
      </c>
      <c r="R67">
        <f t="shared" ca="1" si="39"/>
        <v>5.7850079054856911</v>
      </c>
      <c r="S67">
        <f t="shared" ca="1" si="39"/>
        <v>6.4164868468864826</v>
      </c>
      <c r="T67">
        <f t="shared" ca="1" si="39"/>
        <v>6.6880493014247593</v>
      </c>
      <c r="U67">
        <f t="shared" ca="1" si="39"/>
        <v>6.8724178795193946</v>
      </c>
      <c r="V67">
        <f t="shared" ca="1" si="39"/>
        <v>6.607928505114109</v>
      </c>
      <c r="W67">
        <f t="shared" ca="1" si="39"/>
        <v>6.1886606389462164</v>
      </c>
      <c r="X67">
        <f t="shared" ca="1" si="39"/>
        <v>5.6837080487902796</v>
      </c>
      <c r="Y67">
        <f t="shared" ca="1" si="39"/>
        <v>5.1248052665252279</v>
      </c>
      <c r="Z67">
        <f t="shared" ca="1" si="39"/>
        <v>4.5631406958285794</v>
      </c>
    </row>
    <row r="68" spans="1:48" ht="24" customHeight="1" x14ac:dyDescent="0.15"/>
    <row r="69" spans="1:48" ht="24" customHeight="1" x14ac:dyDescent="0.25">
      <c r="A69" s="36" t="s">
        <v>75</v>
      </c>
      <c r="C69" s="36" t="s">
        <v>76</v>
      </c>
      <c r="F69" s="241" t="s">
        <v>20</v>
      </c>
      <c r="G69" s="34" t="s">
        <v>100</v>
      </c>
    </row>
    <row r="70" spans="1:48" ht="24" customHeight="1" x14ac:dyDescent="0.15">
      <c r="A70" s="44" t="s">
        <v>77</v>
      </c>
      <c r="B70" s="45">
        <f>'Monitor Bonos'!C16</f>
        <v>0.2</v>
      </c>
      <c r="C70" s="46" t="s">
        <v>11</v>
      </c>
      <c r="D70" s="70">
        <f ca="1">SUM(H77:AP77)</f>
        <v>64.960421138689938</v>
      </c>
      <c r="E70" s="37"/>
      <c r="F70" s="8" t="s">
        <v>101</v>
      </c>
      <c r="G70" s="28">
        <f ca="1">B71</f>
        <v>45478</v>
      </c>
      <c r="H70" s="28">
        <v>44386</v>
      </c>
      <c r="I70" s="29">
        <v>44570</v>
      </c>
      <c r="J70" s="29">
        <v>44751</v>
      </c>
      <c r="K70" s="29">
        <v>44935</v>
      </c>
      <c r="L70" s="29">
        <v>45116</v>
      </c>
      <c r="M70" s="29">
        <v>45300</v>
      </c>
      <c r="N70" s="29">
        <v>45482</v>
      </c>
      <c r="O70" s="29">
        <v>45666</v>
      </c>
      <c r="P70" s="29">
        <v>45847</v>
      </c>
      <c r="Q70" s="29">
        <v>46031</v>
      </c>
      <c r="R70" s="29">
        <v>46212</v>
      </c>
      <c r="S70" s="29">
        <v>46396</v>
      </c>
      <c r="T70" s="29">
        <v>46577</v>
      </c>
      <c r="U70" s="29">
        <v>46761</v>
      </c>
      <c r="V70" s="29">
        <v>46943</v>
      </c>
      <c r="W70" s="29">
        <v>47127</v>
      </c>
      <c r="X70" s="29">
        <v>47308</v>
      </c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</row>
    <row r="71" spans="1:48" ht="24" customHeight="1" x14ac:dyDescent="0.15">
      <c r="A71" s="43" t="s">
        <v>79</v>
      </c>
      <c r="B71" s="38">
        <f ca="1">'Monitor Bonos'!$C$7</f>
        <v>45478</v>
      </c>
      <c r="C71" s="41" t="s">
        <v>80</v>
      </c>
      <c r="D71" s="40">
        <f ca="1">+B75*((B71-B74)/(B73-B74))</f>
        <v>1.5</v>
      </c>
      <c r="E71" s="37"/>
      <c r="F71" s="9" t="s">
        <v>81</v>
      </c>
      <c r="H71" s="16">
        <v>0</v>
      </c>
      <c r="I71" s="17">
        <f t="shared" ref="I71:X71" ca="1" si="40">+(I70-$B$71)/365</f>
        <v>-2.4876712328767123</v>
      </c>
      <c r="J71" s="17">
        <f t="shared" ca="1" si="40"/>
        <v>-1.9917808219178081</v>
      </c>
      <c r="K71" s="17">
        <f t="shared" ca="1" si="40"/>
        <v>-1.4876712328767123</v>
      </c>
      <c r="L71" s="17">
        <f t="shared" ca="1" si="40"/>
        <v>-0.99178082191780825</v>
      </c>
      <c r="M71" s="17">
        <f t="shared" ca="1" si="40"/>
        <v>-0.48767123287671232</v>
      </c>
      <c r="N71" s="17">
        <f t="shared" ca="1" si="40"/>
        <v>1.0958904109589041E-2</v>
      </c>
      <c r="O71" s="17">
        <f t="shared" ca="1" si="40"/>
        <v>0.51506849315068493</v>
      </c>
      <c r="P71" s="17">
        <f t="shared" ca="1" si="40"/>
        <v>1.010958904109589</v>
      </c>
      <c r="Q71" s="17">
        <f t="shared" ca="1" si="40"/>
        <v>1.515068493150685</v>
      </c>
      <c r="R71" s="17">
        <f t="shared" ca="1" si="40"/>
        <v>2.010958904109589</v>
      </c>
      <c r="S71" s="17">
        <f t="shared" ca="1" si="40"/>
        <v>2.515068493150685</v>
      </c>
      <c r="T71" s="17">
        <f t="shared" ca="1" si="40"/>
        <v>3.010958904109589</v>
      </c>
      <c r="U71" s="17">
        <f t="shared" ca="1" si="40"/>
        <v>3.515068493150685</v>
      </c>
      <c r="V71" s="17">
        <f t="shared" ca="1" si="40"/>
        <v>4.0136986301369859</v>
      </c>
      <c r="W71" s="17">
        <f t="shared" ca="1" si="40"/>
        <v>4.5178082191780824</v>
      </c>
      <c r="X71" s="17">
        <f t="shared" ca="1" si="40"/>
        <v>5.0136986301369859</v>
      </c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</row>
    <row r="72" spans="1:48" ht="24" customHeight="1" x14ac:dyDescent="0.15">
      <c r="A72" s="50" t="s">
        <v>82</v>
      </c>
      <c r="B72" s="51">
        <v>100</v>
      </c>
      <c r="C72" s="41" t="s">
        <v>83</v>
      </c>
      <c r="D72" s="39">
        <f ca="1">SUM(H80:AP80)/D70</f>
        <v>2.3553379269374806</v>
      </c>
      <c r="E72" s="37"/>
      <c r="F72" s="10" t="s">
        <v>87</v>
      </c>
      <c r="H72" s="14"/>
      <c r="I72" s="13"/>
      <c r="J72" s="13"/>
      <c r="K72" s="13"/>
      <c r="L72" s="74">
        <v>0.01</v>
      </c>
      <c r="M72" s="74">
        <v>0.01</v>
      </c>
      <c r="N72" s="74">
        <v>0.01</v>
      </c>
      <c r="O72" s="74">
        <v>0.01</v>
      </c>
      <c r="P72" s="74">
        <v>0.01</v>
      </c>
      <c r="Q72" s="74">
        <v>0.01</v>
      </c>
      <c r="R72" s="74">
        <v>0.01</v>
      </c>
      <c r="S72" s="74">
        <v>0.01</v>
      </c>
      <c r="T72" s="74">
        <v>0.01</v>
      </c>
      <c r="U72" s="74">
        <v>0.01</v>
      </c>
      <c r="V72" s="74">
        <v>0.01</v>
      </c>
      <c r="W72" s="74">
        <v>0.01</v>
      </c>
      <c r="X72" s="74">
        <v>0.01</v>
      </c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</row>
    <row r="73" spans="1:48" ht="24" customHeight="1" x14ac:dyDescent="0.15">
      <c r="A73" s="50" t="s">
        <v>84</v>
      </c>
      <c r="B73" s="38">
        <f>L70</f>
        <v>45116</v>
      </c>
      <c r="C73" s="41" t="s">
        <v>85</v>
      </c>
      <c r="D73" s="39">
        <f ca="1">+D72/(1+B70/2)</f>
        <v>2.1412162972158915</v>
      </c>
      <c r="E73" s="37"/>
      <c r="F73" s="10" t="s">
        <v>29</v>
      </c>
      <c r="H73" s="19"/>
      <c r="I73" s="20"/>
      <c r="J73" s="20"/>
      <c r="K73" s="20"/>
      <c r="L73" s="21">
        <f t="shared" ref="L73:X73" si="41">L72/2*L76</f>
        <v>0.5</v>
      </c>
      <c r="M73" s="21">
        <f t="shared" si="41"/>
        <v>0.5</v>
      </c>
      <c r="N73" s="21">
        <f t="shared" si="41"/>
        <v>0.5</v>
      </c>
      <c r="O73" s="21">
        <f t="shared" si="41"/>
        <v>0.5</v>
      </c>
      <c r="P73" s="21">
        <f t="shared" si="41"/>
        <v>0.45</v>
      </c>
      <c r="Q73" s="21">
        <f t="shared" si="41"/>
        <v>0.4</v>
      </c>
      <c r="R73" s="21">
        <f t="shared" si="41"/>
        <v>0.35000000000000003</v>
      </c>
      <c r="S73" s="21">
        <f t="shared" si="41"/>
        <v>0.3</v>
      </c>
      <c r="T73" s="21">
        <f t="shared" si="41"/>
        <v>0.25</v>
      </c>
      <c r="U73" s="21">
        <f t="shared" si="41"/>
        <v>0.2</v>
      </c>
      <c r="V73" s="21">
        <f t="shared" si="41"/>
        <v>0.15</v>
      </c>
      <c r="W73" s="21">
        <f t="shared" si="41"/>
        <v>0.1</v>
      </c>
      <c r="X73" s="21">
        <f t="shared" si="41"/>
        <v>0.05</v>
      </c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</row>
    <row r="74" spans="1:48" ht="24" customHeight="1" x14ac:dyDescent="0.15">
      <c r="A74" s="50" t="s">
        <v>86</v>
      </c>
      <c r="B74" s="38">
        <f>K70</f>
        <v>44935</v>
      </c>
      <c r="C74" s="41" t="s">
        <v>13</v>
      </c>
      <c r="D74" s="39">
        <f ca="1">SUM(H82:AP82)/D70</f>
        <v>6.8758227124507849</v>
      </c>
      <c r="E74" s="37"/>
      <c r="F74" s="10" t="s">
        <v>28</v>
      </c>
      <c r="H74" s="19">
        <v>0</v>
      </c>
      <c r="I74" s="23">
        <v>0</v>
      </c>
      <c r="J74" s="23">
        <v>0</v>
      </c>
      <c r="K74" s="23">
        <v>0</v>
      </c>
      <c r="L74" s="23">
        <v>0</v>
      </c>
      <c r="M74" s="23">
        <v>0</v>
      </c>
      <c r="N74" s="23">
        <v>0</v>
      </c>
      <c r="O74" s="23">
        <v>10</v>
      </c>
      <c r="P74" s="23">
        <v>10</v>
      </c>
      <c r="Q74" s="23">
        <v>10</v>
      </c>
      <c r="R74" s="23">
        <v>10</v>
      </c>
      <c r="S74" s="23">
        <v>10</v>
      </c>
      <c r="T74" s="23">
        <v>10</v>
      </c>
      <c r="U74" s="23">
        <v>10</v>
      </c>
      <c r="V74" s="23">
        <v>10</v>
      </c>
      <c r="W74" s="23">
        <v>10</v>
      </c>
      <c r="X74" s="23">
        <v>10</v>
      </c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</row>
    <row r="75" spans="1:48" ht="24" customHeight="1" x14ac:dyDescent="0.15">
      <c r="A75" s="50" t="s">
        <v>88</v>
      </c>
      <c r="B75" s="61">
        <f>L73</f>
        <v>0.5</v>
      </c>
      <c r="E75" s="37"/>
      <c r="F75" s="11" t="s">
        <v>92</v>
      </c>
      <c r="G75">
        <f>-B77</f>
        <v>-30</v>
      </c>
      <c r="H75" s="19">
        <f t="shared" ref="H75:X75" si="42">IF(H71&lt;0,0,H74+H73)</f>
        <v>0</v>
      </c>
      <c r="I75" s="23">
        <f t="shared" ca="1" si="42"/>
        <v>0</v>
      </c>
      <c r="J75" s="23">
        <f t="shared" ca="1" si="42"/>
        <v>0</v>
      </c>
      <c r="K75" s="23">
        <f t="shared" ca="1" si="42"/>
        <v>0</v>
      </c>
      <c r="L75" s="23">
        <f t="shared" ca="1" si="42"/>
        <v>0</v>
      </c>
      <c r="M75" s="23">
        <f t="shared" ca="1" si="42"/>
        <v>0</v>
      </c>
      <c r="N75" s="23">
        <f t="shared" ca="1" si="42"/>
        <v>0.5</v>
      </c>
      <c r="O75" s="23">
        <f t="shared" ca="1" si="42"/>
        <v>10.5</v>
      </c>
      <c r="P75" s="23">
        <f t="shared" ca="1" si="42"/>
        <v>10.45</v>
      </c>
      <c r="Q75" s="23">
        <f t="shared" ca="1" si="42"/>
        <v>10.4</v>
      </c>
      <c r="R75" s="23">
        <f t="shared" ca="1" si="42"/>
        <v>10.35</v>
      </c>
      <c r="S75" s="23">
        <f t="shared" ca="1" si="42"/>
        <v>10.3</v>
      </c>
      <c r="T75" s="23">
        <f t="shared" ca="1" si="42"/>
        <v>10.25</v>
      </c>
      <c r="U75" s="23">
        <f t="shared" ca="1" si="42"/>
        <v>10.199999999999999</v>
      </c>
      <c r="V75" s="23">
        <f t="shared" ca="1" si="42"/>
        <v>10.15</v>
      </c>
      <c r="W75" s="23">
        <f t="shared" ca="1" si="42"/>
        <v>10.1</v>
      </c>
      <c r="X75" s="23">
        <f t="shared" ca="1" si="42"/>
        <v>10.050000000000001</v>
      </c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</row>
    <row r="76" spans="1:48" ht="24" customHeight="1" x14ac:dyDescent="0.15">
      <c r="F76" s="12" t="s">
        <v>89</v>
      </c>
      <c r="H76" s="25">
        <f>B72</f>
        <v>100</v>
      </c>
      <c r="I76" s="26">
        <f t="shared" ref="I76:X76" si="43">H76-H74</f>
        <v>100</v>
      </c>
      <c r="J76" s="26">
        <f t="shared" si="43"/>
        <v>100</v>
      </c>
      <c r="K76" s="26">
        <f t="shared" si="43"/>
        <v>100</v>
      </c>
      <c r="L76" s="26">
        <f t="shared" si="43"/>
        <v>100</v>
      </c>
      <c r="M76" s="26">
        <f t="shared" si="43"/>
        <v>100</v>
      </c>
      <c r="N76" s="26">
        <f t="shared" si="43"/>
        <v>100</v>
      </c>
      <c r="O76" s="26">
        <f t="shared" si="43"/>
        <v>100</v>
      </c>
      <c r="P76" s="26">
        <f t="shared" si="43"/>
        <v>90</v>
      </c>
      <c r="Q76" s="26">
        <f t="shared" si="43"/>
        <v>80</v>
      </c>
      <c r="R76" s="26">
        <f t="shared" si="43"/>
        <v>70</v>
      </c>
      <c r="S76" s="26">
        <f t="shared" si="43"/>
        <v>60</v>
      </c>
      <c r="T76" s="26">
        <f t="shared" si="43"/>
        <v>50</v>
      </c>
      <c r="U76" s="26">
        <f t="shared" si="43"/>
        <v>40</v>
      </c>
      <c r="V76" s="26">
        <f t="shared" si="43"/>
        <v>30</v>
      </c>
      <c r="W76" s="26">
        <f t="shared" si="43"/>
        <v>20</v>
      </c>
      <c r="X76" s="26">
        <f t="shared" si="43"/>
        <v>10</v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</row>
    <row r="77" spans="1:48" ht="24" customHeight="1" x14ac:dyDescent="0.15">
      <c r="A77" s="44" t="s">
        <v>11</v>
      </c>
      <c r="B77" s="71">
        <f>'Monitor Bonos'!M16</f>
        <v>30</v>
      </c>
      <c r="C77" s="48" t="s">
        <v>77</v>
      </c>
      <c r="D77" s="69">
        <f ca="1">XIRR(G75:AP75,G70:AP70)</f>
        <v>0.76556354761123657</v>
      </c>
      <c r="E77" s="31"/>
      <c r="F77" s="11" t="s">
        <v>102</v>
      </c>
      <c r="H77" s="52">
        <f t="shared" ref="H77:X77" si="44">+H75/(1+$B$70)^(H71)</f>
        <v>0</v>
      </c>
      <c r="I77" s="53">
        <f t="shared" ca="1" si="44"/>
        <v>0</v>
      </c>
      <c r="J77" s="53">
        <f t="shared" ca="1" si="44"/>
        <v>0</v>
      </c>
      <c r="K77" s="53">
        <f t="shared" ca="1" si="44"/>
        <v>0</v>
      </c>
      <c r="L77" s="54">
        <f t="shared" ca="1" si="44"/>
        <v>0</v>
      </c>
      <c r="M77" s="54">
        <f t="shared" ca="1" si="44"/>
        <v>0</v>
      </c>
      <c r="N77" s="54">
        <f t="shared" ca="1" si="44"/>
        <v>0.49900197515202488</v>
      </c>
      <c r="O77" s="54">
        <f t="shared" ca="1" si="44"/>
        <v>9.5588475213543607</v>
      </c>
      <c r="P77" s="54">
        <f t="shared" ca="1" si="44"/>
        <v>8.6909510672311008</v>
      </c>
      <c r="Q77" s="54">
        <f t="shared" ca="1" si="44"/>
        <v>7.8898423985782022</v>
      </c>
      <c r="R77" s="54">
        <f t="shared" ca="1" si="44"/>
        <v>7.1731533928103586</v>
      </c>
      <c r="S77" s="54">
        <f t="shared" ca="1" si="44"/>
        <v>6.5116487744675871</v>
      </c>
      <c r="T77" s="54">
        <f t="shared" ca="1" si="44"/>
        <v>5.9198729691067786</v>
      </c>
      <c r="U77" s="54">
        <f t="shared" ca="1" si="44"/>
        <v>5.3736907362111141</v>
      </c>
      <c r="V77" s="54">
        <f t="shared" ca="1" si="44"/>
        <v>4.882658874109528</v>
      </c>
      <c r="W77" s="54">
        <f t="shared" ca="1" si="44"/>
        <v>4.4319585458592963</v>
      </c>
      <c r="X77" s="54">
        <f t="shared" ca="1" si="44"/>
        <v>4.0287948838095859</v>
      </c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</row>
    <row r="78" spans="1:48" ht="24" customHeight="1" x14ac:dyDescent="0.15">
      <c r="C78" s="41" t="s">
        <v>83</v>
      </c>
      <c r="D78" s="39">
        <f ca="1">SUM(H80:AP80)/B77</f>
        <v>5.1001247885929217</v>
      </c>
      <c r="F78" s="11" t="s">
        <v>103</v>
      </c>
      <c r="H78" s="56">
        <f t="shared" ref="H78:X78" ca="1" si="45">+H75/(1+$D$77)^(H71)</f>
        <v>0</v>
      </c>
      <c r="I78" s="57">
        <f t="shared" ca="1" si="45"/>
        <v>0</v>
      </c>
      <c r="J78" s="57">
        <f t="shared" ca="1" si="45"/>
        <v>0</v>
      </c>
      <c r="K78" s="57">
        <f t="shared" ca="1" si="45"/>
        <v>0</v>
      </c>
      <c r="L78" s="57">
        <f t="shared" ca="1" si="45"/>
        <v>0</v>
      </c>
      <c r="M78" s="57">
        <f t="shared" ca="1" si="45"/>
        <v>0</v>
      </c>
      <c r="N78" s="57">
        <f t="shared" ca="1" si="45"/>
        <v>0.49689477878283456</v>
      </c>
      <c r="O78" s="57">
        <f t="shared" ca="1" si="45"/>
        <v>7.8347918360920517</v>
      </c>
      <c r="P78" s="57">
        <f t="shared" ca="1" si="45"/>
        <v>5.8820317686168941</v>
      </c>
      <c r="Q78" s="57">
        <f t="shared" ca="1" si="45"/>
        <v>4.3952962109382785</v>
      </c>
      <c r="R78" s="57">
        <f t="shared" ca="1" si="45"/>
        <v>3.2996514858688406</v>
      </c>
      <c r="S78" s="57">
        <f t="shared" ca="1" si="45"/>
        <v>2.4655208549480476</v>
      </c>
      <c r="T78" s="57">
        <f t="shared" ca="1" si="45"/>
        <v>1.8508372579425592</v>
      </c>
      <c r="U78" s="57">
        <f t="shared" ca="1" si="45"/>
        <v>1.3828920304637815</v>
      </c>
      <c r="V78" s="57">
        <f t="shared" ca="1" si="45"/>
        <v>1.0364555080151583</v>
      </c>
      <c r="W78" s="57">
        <f t="shared" ca="1" si="45"/>
        <v>0.77437215727071362</v>
      </c>
      <c r="X78" s="57">
        <f t="shared" ca="1" si="45"/>
        <v>0.58125584043022438</v>
      </c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</row>
    <row r="79" spans="1:48" ht="24" customHeight="1" x14ac:dyDescent="0.15">
      <c r="C79" s="41" t="s">
        <v>85</v>
      </c>
      <c r="D79" s="39">
        <f ca="1">+D78/(1+D77/2)</f>
        <v>3.6883077902861201</v>
      </c>
      <c r="F79" s="60" t="s">
        <v>104</v>
      </c>
      <c r="N79" s="1"/>
      <c r="O79" s="1"/>
      <c r="AC79" s="4"/>
    </row>
    <row r="80" spans="1:48" ht="24" customHeight="1" x14ac:dyDescent="0.15">
      <c r="C80" s="41" t="s">
        <v>13</v>
      </c>
      <c r="D80" s="39">
        <f ca="1">SUM(H83:AP83)/B77</f>
        <v>1.9096957722527981</v>
      </c>
      <c r="F80" s="59" t="s">
        <v>105</v>
      </c>
      <c r="H80">
        <f t="shared" ref="H80:X80" si="46">H77*H71</f>
        <v>0</v>
      </c>
      <c r="I80">
        <f t="shared" ca="1" si="46"/>
        <v>0</v>
      </c>
      <c r="J80">
        <f t="shared" ca="1" si="46"/>
        <v>0</v>
      </c>
      <c r="K80">
        <f t="shared" ca="1" si="46"/>
        <v>0</v>
      </c>
      <c r="L80">
        <f t="shared" ca="1" si="46"/>
        <v>0</v>
      </c>
      <c r="M80">
        <f t="shared" ca="1" si="46"/>
        <v>0</v>
      </c>
      <c r="N80">
        <f t="shared" ca="1" si="46"/>
        <v>5.468514796186574E-3</v>
      </c>
      <c r="O80">
        <f t="shared" ca="1" si="46"/>
        <v>4.9234611890811504</v>
      </c>
      <c r="P80">
        <f t="shared" ca="1" si="46"/>
        <v>8.786194366598016</v>
      </c>
      <c r="Q80">
        <f t="shared" ca="1" si="46"/>
        <v>11.953651634010264</v>
      </c>
      <c r="R80">
        <f t="shared" ca="1" si="46"/>
        <v>14.4249166858159</v>
      </c>
      <c r="S80">
        <f t="shared" ca="1" si="46"/>
        <v>16.377242671126698</v>
      </c>
      <c r="T80">
        <f t="shared" ca="1" si="46"/>
        <v>17.824494227529726</v>
      </c>
      <c r="U80">
        <f t="shared" ca="1" si="46"/>
        <v>18.888890998791396</v>
      </c>
      <c r="V80">
        <f t="shared" ca="1" si="46"/>
        <v>19.597521234439611</v>
      </c>
      <c r="W80">
        <f t="shared" ca="1" si="46"/>
        <v>20.022738745539669</v>
      </c>
      <c r="X80">
        <f t="shared" ca="1" si="46"/>
        <v>20.199163390059017</v>
      </c>
    </row>
    <row r="81" spans="1:42" ht="24" customHeight="1" x14ac:dyDescent="0.15">
      <c r="F81" s="2" t="s">
        <v>106</v>
      </c>
      <c r="H81">
        <f t="shared" ref="H81:X81" si="47">H71*(H71+1)</f>
        <v>0</v>
      </c>
      <c r="I81">
        <f t="shared" ca="1" si="47"/>
        <v>3.7008369300056296</v>
      </c>
      <c r="J81">
        <f t="shared" ca="1" si="47"/>
        <v>1.9754100206417713</v>
      </c>
      <c r="K81">
        <f t="shared" ca="1" si="47"/>
        <v>0.72549446425220487</v>
      </c>
      <c r="L81">
        <f t="shared" ca="1" si="47"/>
        <v>-8.1516231938449663E-3</v>
      </c>
      <c r="M81">
        <f t="shared" ca="1" si="47"/>
        <v>-0.24984800150121975</v>
      </c>
      <c r="N81">
        <f t="shared" ca="1" si="47"/>
        <v>1.1079001688872209E-2</v>
      </c>
      <c r="O81">
        <f t="shared" ca="1" si="47"/>
        <v>0.7803640457872022</v>
      </c>
      <c r="P81">
        <f t="shared" ca="1" si="47"/>
        <v>2.0329968099080502</v>
      </c>
      <c r="Q81">
        <f t="shared" ca="1" si="47"/>
        <v>3.8105010320885726</v>
      </c>
      <c r="R81">
        <f t="shared" ca="1" si="47"/>
        <v>6.0549146181272278</v>
      </c>
      <c r="S81">
        <f t="shared" ca="1" si="47"/>
        <v>8.8406380183899422</v>
      </c>
      <c r="T81">
        <f t="shared" ca="1" si="47"/>
        <v>12.076832426346407</v>
      </c>
      <c r="U81">
        <f t="shared" ca="1" si="47"/>
        <v>15.870775004691312</v>
      </c>
      <c r="V81">
        <f t="shared" ca="1" si="47"/>
        <v>20.123475323700504</v>
      </c>
      <c r="W81">
        <f t="shared" ca="1" si="47"/>
        <v>24.928399324451117</v>
      </c>
      <c r="X81">
        <f t="shared" ca="1" si="47"/>
        <v>30.150872583974476</v>
      </c>
    </row>
    <row r="82" spans="1:42" ht="24" customHeight="1" x14ac:dyDescent="0.2">
      <c r="A82" s="6"/>
      <c r="F82" s="42" t="s">
        <v>107</v>
      </c>
      <c r="H82" s="7">
        <f>(H75/(1+$B$70)^(H71+2))*H81</f>
        <v>0</v>
      </c>
      <c r="I82" s="7">
        <f t="shared" ref="I82:X82" ca="1" si="48">(I75/(1+$B$70)^(I71+2))*I81</f>
        <v>0</v>
      </c>
      <c r="J82" s="7">
        <f t="shared" ca="1" si="48"/>
        <v>0</v>
      </c>
      <c r="K82" s="7">
        <f t="shared" ca="1" si="48"/>
        <v>0</v>
      </c>
      <c r="L82" s="7">
        <f t="shared" ca="1" si="48"/>
        <v>0</v>
      </c>
      <c r="M82" s="7">
        <f t="shared" ca="1" si="48"/>
        <v>0</v>
      </c>
      <c r="N82" s="7">
        <f t="shared" ca="1" si="48"/>
        <v>3.8391970315693421E-3</v>
      </c>
      <c r="O82" s="7">
        <f t="shared" ca="1" si="48"/>
        <v>5.1801256422410118</v>
      </c>
      <c r="P82" s="7">
        <f t="shared" ca="1" si="48"/>
        <v>12.269913746352636</v>
      </c>
      <c r="Q82" s="7">
        <f t="shared" ca="1" si="48"/>
        <v>20.877953196387789</v>
      </c>
      <c r="R82" s="7">
        <f t="shared" ca="1" si="48"/>
        <v>30.161688427914143</v>
      </c>
      <c r="S82" s="7">
        <f t="shared" ca="1" si="48"/>
        <v>39.977173415250292</v>
      </c>
      <c r="T82" s="7">
        <f t="shared" ca="1" si="48"/>
        <v>49.648134606361339</v>
      </c>
      <c r="U82" s="7">
        <f t="shared" ca="1" si="48"/>
        <v>59.225442096667109</v>
      </c>
      <c r="V82" s="7">
        <f t="shared" ca="1" si="48"/>
        <v>68.233378727215538</v>
      </c>
      <c r="W82" s="7">
        <f t="shared" ca="1" si="48"/>
        <v>76.723355847634892</v>
      </c>
      <c r="X82" s="7">
        <f t="shared" ca="1" si="48"/>
        <v>84.355334172716027</v>
      </c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</row>
    <row r="83" spans="1:42" ht="24" customHeight="1" x14ac:dyDescent="0.15">
      <c r="F83" s="42" t="s">
        <v>108</v>
      </c>
      <c r="H83">
        <f ca="1">(H75/(1+$D$77)^(H71+2))*H81</f>
        <v>0</v>
      </c>
      <c r="I83">
        <f t="shared" ref="I83:X83" ca="1" si="49">(I75/(1+$D$77)^(I71+2))*I81</f>
        <v>0</v>
      </c>
      <c r="J83">
        <f t="shared" ca="1" si="49"/>
        <v>0</v>
      </c>
      <c r="K83">
        <f t="shared" ca="1" si="49"/>
        <v>0</v>
      </c>
      <c r="L83">
        <f t="shared" ca="1" si="49"/>
        <v>0</v>
      </c>
      <c r="M83">
        <f t="shared" ca="1" si="49"/>
        <v>0</v>
      </c>
      <c r="N83">
        <f t="shared" ca="1" si="49"/>
        <v>1.7660311296922983E-3</v>
      </c>
      <c r="O83">
        <f t="shared" ca="1" si="49"/>
        <v>1.9613631269970671</v>
      </c>
      <c r="P83">
        <f t="shared" ca="1" si="49"/>
        <v>3.8361656799060624</v>
      </c>
      <c r="Q83">
        <f t="shared" ca="1" si="49"/>
        <v>5.372835264434582</v>
      </c>
      <c r="R83">
        <f t="shared" ca="1" si="49"/>
        <v>6.4092821058749792</v>
      </c>
      <c r="S83">
        <f t="shared" ca="1" si="49"/>
        <v>6.9923890132945532</v>
      </c>
      <c r="T83">
        <f t="shared" ca="1" si="49"/>
        <v>7.1705846370348887</v>
      </c>
      <c r="U83">
        <f t="shared" ca="1" si="49"/>
        <v>7.0407626042298226</v>
      </c>
      <c r="V83">
        <f t="shared" ca="1" si="49"/>
        <v>6.6909370203918552</v>
      </c>
      <c r="W83">
        <f t="shared" ca="1" si="49"/>
        <v>6.1926625489394098</v>
      </c>
      <c r="X83">
        <f t="shared" ca="1" si="49"/>
        <v>5.6221251353510295</v>
      </c>
    </row>
    <row r="84" spans="1:42" ht="24" customHeight="1" x14ac:dyDescent="0.15">
      <c r="A84" s="5"/>
      <c r="H84" s="1"/>
      <c r="I84" s="1"/>
      <c r="J84" s="1"/>
      <c r="K84" s="1"/>
      <c r="X84" s="3"/>
    </row>
    <row r="85" spans="1:42" ht="24" customHeight="1" x14ac:dyDescent="0.15">
      <c r="A85" s="5"/>
      <c r="H85" s="1"/>
      <c r="I85" s="1"/>
      <c r="J85" s="1"/>
      <c r="K85" s="1"/>
      <c r="X85" s="3"/>
    </row>
    <row r="86" spans="1:42" ht="24" customHeight="1" x14ac:dyDescent="0.15">
      <c r="A86" s="5"/>
      <c r="H86" s="1"/>
      <c r="I86" s="1"/>
      <c r="J86" s="1"/>
      <c r="K86" s="1"/>
      <c r="X86" s="3"/>
    </row>
    <row r="87" spans="1:42" ht="24" customHeight="1" x14ac:dyDescent="0.15">
      <c r="A87" s="5"/>
      <c r="H87" s="1"/>
      <c r="I87" s="1"/>
      <c r="J87" s="1"/>
      <c r="K87" s="1"/>
      <c r="X87" s="3"/>
    </row>
    <row r="88" spans="1:42" ht="24" customHeight="1" x14ac:dyDescent="0.15">
      <c r="A88" s="5"/>
      <c r="H88" s="1"/>
      <c r="I88" s="1"/>
      <c r="J88" s="1"/>
      <c r="K88" s="1"/>
      <c r="X88" s="3"/>
    </row>
    <row r="89" spans="1:42" ht="24" customHeight="1" x14ac:dyDescent="0.15">
      <c r="A89" s="5"/>
      <c r="H89" s="1"/>
      <c r="I89" s="1"/>
      <c r="J89" s="1"/>
      <c r="K89" s="1"/>
      <c r="X89" s="3"/>
    </row>
    <row r="90" spans="1:42" ht="24" customHeight="1" x14ac:dyDescent="0.15">
      <c r="A90" s="5"/>
      <c r="H90" s="1"/>
      <c r="I90" s="1"/>
      <c r="J90" s="1"/>
      <c r="K90" s="1"/>
      <c r="X90" s="3"/>
    </row>
    <row r="91" spans="1:42" ht="24" customHeight="1" x14ac:dyDescent="0.15">
      <c r="A91" s="5"/>
      <c r="H91" s="1"/>
      <c r="I91" s="1"/>
      <c r="J91" s="1"/>
      <c r="K91" s="1"/>
      <c r="X91" s="3"/>
    </row>
    <row r="92" spans="1:42" ht="24" customHeight="1" x14ac:dyDescent="0.15">
      <c r="A92" s="5"/>
      <c r="H92" s="1"/>
      <c r="I92" s="1"/>
      <c r="J92" s="1"/>
      <c r="K92" s="1"/>
      <c r="X92" s="3"/>
    </row>
    <row r="93" spans="1:42" ht="24" customHeight="1" x14ac:dyDescent="0.15">
      <c r="A93" s="5"/>
      <c r="H93" s="1"/>
      <c r="I93" s="1"/>
      <c r="J93" s="1"/>
      <c r="K93" s="1"/>
      <c r="X93" s="3"/>
    </row>
    <row r="94" spans="1:42" ht="24" customHeight="1" x14ac:dyDescent="0.15">
      <c r="A94" s="5"/>
      <c r="H94" s="1"/>
      <c r="I94" s="1"/>
      <c r="J94" s="1"/>
      <c r="K94" s="1"/>
      <c r="X94" s="3"/>
    </row>
    <row r="95" spans="1:42" ht="24" customHeight="1" x14ac:dyDescent="0.15">
      <c r="A95" s="5"/>
      <c r="H95" s="1"/>
      <c r="I95" s="1"/>
      <c r="J95" s="1"/>
      <c r="K95" s="1"/>
      <c r="X95" s="3"/>
    </row>
    <row r="96" spans="1:42" ht="24" customHeight="1" x14ac:dyDescent="0.15">
      <c r="A96" s="5"/>
      <c r="H96" s="1"/>
      <c r="I96" s="1"/>
      <c r="J96" s="1"/>
      <c r="K96" s="1"/>
      <c r="X96" s="3"/>
    </row>
    <row r="97" spans="1:24" ht="24" customHeight="1" x14ac:dyDescent="0.15">
      <c r="A97" s="5"/>
      <c r="H97" s="1"/>
      <c r="I97" s="1"/>
      <c r="J97" s="1"/>
      <c r="K97" s="1"/>
      <c r="X97" s="3"/>
    </row>
    <row r="98" spans="1:24" ht="24" customHeight="1" x14ac:dyDescent="0.15">
      <c r="A98" s="5"/>
      <c r="H98" s="1"/>
      <c r="I98" s="1"/>
      <c r="J98" s="1"/>
      <c r="K98" s="1"/>
      <c r="X98" s="3"/>
    </row>
    <row r="99" spans="1:24" ht="24" customHeight="1" x14ac:dyDescent="0.15">
      <c r="A99" s="5"/>
      <c r="H99" s="1"/>
      <c r="I99" s="1"/>
      <c r="J99" s="1"/>
      <c r="K99" s="1"/>
    </row>
    <row r="100" spans="1:24" ht="24" customHeight="1" x14ac:dyDescent="0.15">
      <c r="A100" s="5"/>
      <c r="H100" s="1"/>
      <c r="I100" s="1"/>
      <c r="J100" s="1"/>
      <c r="K100" s="1"/>
    </row>
    <row r="101" spans="1:24" ht="24" customHeight="1" x14ac:dyDescent="0.15">
      <c r="A101" s="5"/>
      <c r="H101" s="1"/>
      <c r="I101" s="1"/>
      <c r="J101" s="1"/>
      <c r="K101" s="1"/>
    </row>
    <row r="102" spans="1:24" ht="24" customHeight="1" x14ac:dyDescent="0.15">
      <c r="A102" s="5"/>
      <c r="H102" s="1"/>
      <c r="I102" s="1"/>
      <c r="J102" s="1"/>
      <c r="K102" s="1"/>
    </row>
    <row r="103" spans="1:24" ht="24" customHeight="1" x14ac:dyDescent="0.15">
      <c r="A103" s="5"/>
      <c r="H103" s="1"/>
      <c r="I103" s="1"/>
      <c r="J103" s="1"/>
      <c r="K103" s="1"/>
    </row>
    <row r="104" spans="1:24" ht="24" customHeight="1" x14ac:dyDescent="0.15">
      <c r="A104" s="5"/>
      <c r="H104" s="1"/>
      <c r="I104" s="1"/>
      <c r="J104" s="1"/>
      <c r="K104" s="1"/>
    </row>
    <row r="105" spans="1:24" ht="24" customHeight="1" x14ac:dyDescent="0.15">
      <c r="A105" s="5"/>
      <c r="H105" s="1"/>
      <c r="I105" s="1"/>
      <c r="J105" s="1"/>
      <c r="K105" s="1"/>
    </row>
    <row r="106" spans="1:24" ht="24" customHeight="1" x14ac:dyDescent="0.15">
      <c r="A106" s="5"/>
      <c r="H106" s="1"/>
      <c r="I106" s="1"/>
      <c r="J106" s="1"/>
      <c r="K106" s="1"/>
    </row>
    <row r="107" spans="1:24" ht="24" customHeight="1" x14ac:dyDescent="0.15">
      <c r="A107" s="5"/>
      <c r="H107" s="1"/>
      <c r="I107" s="1"/>
      <c r="J107" s="1"/>
      <c r="K107" s="1"/>
    </row>
    <row r="108" spans="1:24" ht="24" customHeight="1" x14ac:dyDescent="0.15">
      <c r="A108" s="5"/>
      <c r="H108" s="1"/>
      <c r="I108" s="1"/>
      <c r="J108" s="1"/>
      <c r="K108" s="1"/>
    </row>
    <row r="109" spans="1:24" ht="24" customHeight="1" x14ac:dyDescent="0.15">
      <c r="A109" s="5"/>
      <c r="H109" s="1"/>
      <c r="I109" s="1"/>
      <c r="J109" s="1"/>
      <c r="K109" s="1"/>
    </row>
    <row r="110" spans="1:24" ht="24" customHeight="1" x14ac:dyDescent="0.15">
      <c r="A110" s="5"/>
      <c r="H110" s="1"/>
      <c r="I110" s="1"/>
      <c r="J110" s="1"/>
      <c r="K110" s="1"/>
    </row>
    <row r="111" spans="1:24" ht="24" customHeight="1" x14ac:dyDescent="0.15">
      <c r="A111" s="5"/>
      <c r="H111" s="1"/>
      <c r="I111" s="1"/>
      <c r="J111" s="1"/>
      <c r="K111" s="1"/>
    </row>
    <row r="112" spans="1:24" ht="24" customHeight="1" x14ac:dyDescent="0.15">
      <c r="A112" s="5"/>
      <c r="H112" s="1"/>
      <c r="I112" s="1"/>
      <c r="J112" s="1"/>
      <c r="K112" s="1"/>
    </row>
    <row r="113" spans="1:11" ht="24" customHeight="1" x14ac:dyDescent="0.15">
      <c r="A113" s="5"/>
      <c r="H113" s="1"/>
      <c r="I113" s="1"/>
      <c r="J113" s="1"/>
      <c r="K113" s="1"/>
    </row>
    <row r="114" spans="1:11" ht="24" customHeight="1" x14ac:dyDescent="0.15">
      <c r="A114" s="5"/>
      <c r="H114" s="1"/>
      <c r="I114" s="1"/>
      <c r="J114" s="1"/>
      <c r="K114" s="1"/>
    </row>
    <row r="115" spans="1:11" ht="24" customHeight="1" x14ac:dyDescent="0.15">
      <c r="A115" s="5"/>
      <c r="H115" s="1"/>
      <c r="I115" s="1"/>
      <c r="J115" s="1"/>
      <c r="K115" s="1"/>
    </row>
    <row r="116" spans="1:11" ht="24" customHeight="1" x14ac:dyDescent="0.15">
      <c r="A116" s="5"/>
      <c r="H116" s="1"/>
      <c r="I116" s="1"/>
      <c r="J116" s="1"/>
      <c r="K116" s="1"/>
    </row>
    <row r="117" spans="1:11" ht="24" customHeight="1" x14ac:dyDescent="0.15">
      <c r="A117" s="5"/>
      <c r="H117" s="1"/>
      <c r="I117" s="1"/>
      <c r="J117" s="1"/>
      <c r="K117" s="1"/>
    </row>
    <row r="118" spans="1:11" ht="24" customHeight="1" x14ac:dyDescent="0.15">
      <c r="A118" s="5"/>
      <c r="H118" s="1"/>
      <c r="I118" s="1"/>
      <c r="J118" s="1"/>
      <c r="K118" s="1"/>
    </row>
    <row r="119" spans="1:11" ht="24" customHeight="1" x14ac:dyDescent="0.15">
      <c r="A119" s="5"/>
      <c r="H119" s="1"/>
      <c r="I119" s="1"/>
      <c r="J119" s="1"/>
      <c r="K119" s="1"/>
    </row>
    <row r="120" spans="1:11" ht="24" customHeight="1" x14ac:dyDescent="0.15">
      <c r="A120" s="5"/>
      <c r="H120" s="1"/>
      <c r="I120" s="1"/>
      <c r="J120" s="1"/>
      <c r="K120" s="1"/>
    </row>
    <row r="121" spans="1:11" ht="24" customHeight="1" x14ac:dyDescent="0.15">
      <c r="A121" s="5"/>
      <c r="H121" s="1"/>
      <c r="I121" s="1"/>
      <c r="J121" s="1"/>
      <c r="K121" s="1"/>
    </row>
    <row r="122" spans="1:11" ht="24" customHeight="1" x14ac:dyDescent="0.15">
      <c r="A122" s="5"/>
      <c r="H122" s="1"/>
      <c r="I122" s="1"/>
      <c r="J122" s="1"/>
      <c r="K122" s="1"/>
    </row>
    <row r="123" spans="1:11" ht="24" customHeight="1" x14ac:dyDescent="0.15">
      <c r="A123" s="5"/>
      <c r="H123" s="1"/>
      <c r="I123" s="1"/>
      <c r="J123" s="1"/>
      <c r="K123" s="1"/>
    </row>
    <row r="124" spans="1:11" ht="24" customHeight="1" x14ac:dyDescent="0.15">
      <c r="A124" s="5"/>
      <c r="H124" s="1"/>
      <c r="I124" s="1"/>
      <c r="J124" s="1"/>
      <c r="K124" s="1"/>
    </row>
    <row r="125" spans="1:11" ht="24" customHeight="1" x14ac:dyDescent="0.15">
      <c r="A125" s="5"/>
      <c r="H125" s="1"/>
      <c r="I125" s="1"/>
      <c r="J125" s="1"/>
      <c r="K125" s="1"/>
    </row>
    <row r="126" spans="1:11" ht="24" customHeight="1" x14ac:dyDescent="0.15">
      <c r="A126" s="5"/>
      <c r="H126" s="1"/>
      <c r="I126" s="1"/>
      <c r="J126" s="1"/>
      <c r="K126" s="1"/>
    </row>
    <row r="127" spans="1:11" ht="24" customHeight="1" x14ac:dyDescent="0.15">
      <c r="A127" s="5"/>
      <c r="H127" s="1"/>
      <c r="I127" s="1"/>
      <c r="J127" s="1"/>
      <c r="K127" s="1"/>
    </row>
    <row r="128" spans="1:11" ht="24" customHeight="1" x14ac:dyDescent="0.15">
      <c r="A128" s="5"/>
      <c r="H128" s="1"/>
      <c r="I128" s="1"/>
      <c r="J128" s="1"/>
      <c r="K128" s="1"/>
    </row>
    <row r="129" spans="1:11" ht="24" customHeight="1" x14ac:dyDescent="0.15">
      <c r="A129" s="5"/>
      <c r="H129" s="1"/>
      <c r="I129" s="1"/>
      <c r="J129" s="1"/>
      <c r="K129" s="1"/>
    </row>
    <row r="130" spans="1:11" ht="24" customHeight="1" x14ac:dyDescent="0.15">
      <c r="A130" s="5"/>
      <c r="H130" s="1"/>
      <c r="I130" s="1"/>
      <c r="J130" s="1"/>
      <c r="K130" s="1"/>
    </row>
    <row r="131" spans="1:11" ht="24" customHeight="1" x14ac:dyDescent="0.15">
      <c r="A131" s="5"/>
      <c r="H131" s="1"/>
      <c r="I131" s="1"/>
      <c r="J131" s="1"/>
      <c r="K131" s="1"/>
    </row>
    <row r="132" spans="1:11" ht="24" customHeight="1" x14ac:dyDescent="0.15">
      <c r="A132" s="5"/>
      <c r="H132" s="1"/>
      <c r="I132" s="1"/>
      <c r="J132" s="1"/>
      <c r="K132" s="1"/>
    </row>
    <row r="133" spans="1:11" ht="24" customHeight="1" x14ac:dyDescent="0.15">
      <c r="A133" s="5"/>
      <c r="H133" s="1"/>
      <c r="I133" s="1"/>
      <c r="J133" s="1"/>
      <c r="K133" s="1"/>
    </row>
    <row r="134" spans="1:11" ht="24" customHeight="1" x14ac:dyDescent="0.15">
      <c r="A134" s="5"/>
      <c r="H134" s="1"/>
      <c r="I134" s="1"/>
      <c r="J134" s="1"/>
      <c r="K134" s="1"/>
    </row>
    <row r="135" spans="1:11" ht="24" customHeight="1" x14ac:dyDescent="0.15">
      <c r="A135" s="5"/>
      <c r="H135" s="1"/>
      <c r="I135" s="1"/>
      <c r="J135" s="1"/>
      <c r="K135" s="1"/>
    </row>
    <row r="136" spans="1:11" ht="24" customHeight="1" x14ac:dyDescent="0.15">
      <c r="A136" s="5"/>
      <c r="H136" s="1"/>
      <c r="I136" s="1"/>
      <c r="J136" s="1"/>
      <c r="K136" s="1"/>
    </row>
    <row r="137" spans="1:11" ht="24" customHeight="1" x14ac:dyDescent="0.15">
      <c r="A137" s="5"/>
      <c r="H137" s="1"/>
      <c r="I137" s="1"/>
      <c r="J137" s="1"/>
      <c r="K137" s="1"/>
    </row>
    <row r="138" spans="1:11" ht="24" customHeight="1" x14ac:dyDescent="0.15">
      <c r="A138" s="5"/>
      <c r="H138" s="1"/>
      <c r="I138" s="1"/>
      <c r="J138" s="1"/>
      <c r="K138" s="1"/>
    </row>
    <row r="139" spans="1:11" ht="24" customHeight="1" x14ac:dyDescent="0.15">
      <c r="A139" s="5"/>
      <c r="H139" s="1"/>
      <c r="I139" s="1"/>
      <c r="J139" s="1"/>
      <c r="K139" s="1"/>
    </row>
    <row r="140" spans="1:11" ht="24" customHeight="1" x14ac:dyDescent="0.15">
      <c r="A140" s="5"/>
      <c r="H140" s="1"/>
      <c r="I140" s="1"/>
      <c r="J140" s="1"/>
      <c r="K140" s="1"/>
    </row>
    <row r="141" spans="1:11" ht="24" customHeight="1" x14ac:dyDescent="0.15">
      <c r="A141" s="5"/>
      <c r="H141" s="1"/>
      <c r="I141" s="1"/>
      <c r="J141" s="1"/>
      <c r="K141" s="1"/>
    </row>
    <row r="142" spans="1:11" ht="24" customHeight="1" x14ac:dyDescent="0.15">
      <c r="A142" s="5"/>
      <c r="H142" s="1"/>
      <c r="I142" s="1"/>
      <c r="J142" s="1"/>
      <c r="K142" s="1"/>
    </row>
    <row r="143" spans="1:11" ht="24" customHeight="1" x14ac:dyDescent="0.15">
      <c r="A143" s="5"/>
      <c r="H143" s="1"/>
      <c r="I143" s="1"/>
      <c r="J143" s="1"/>
      <c r="K143" s="1"/>
    </row>
    <row r="144" spans="1:11" ht="24" customHeight="1" x14ac:dyDescent="0.15">
      <c r="A144" s="5"/>
      <c r="H144" s="1"/>
      <c r="I144" s="1"/>
      <c r="J144" s="1"/>
      <c r="K144" s="1"/>
    </row>
    <row r="145" spans="1:11" ht="24" customHeight="1" x14ac:dyDescent="0.15">
      <c r="A145" s="5"/>
      <c r="H145" s="1"/>
      <c r="I145" s="1"/>
      <c r="J145" s="1"/>
      <c r="K145" s="1"/>
    </row>
    <row r="146" spans="1:11" ht="24" customHeight="1" x14ac:dyDescent="0.15">
      <c r="A146" s="5"/>
      <c r="H146" s="1"/>
      <c r="I146" s="1"/>
      <c r="J146" s="1"/>
      <c r="K146" s="1"/>
    </row>
    <row r="147" spans="1:11" ht="24" customHeight="1" x14ac:dyDescent="0.15">
      <c r="A147" s="5"/>
      <c r="H147" s="1"/>
      <c r="I147" s="1"/>
      <c r="J147" s="1"/>
      <c r="K147" s="1"/>
    </row>
    <row r="148" spans="1:11" ht="24" customHeight="1" x14ac:dyDescent="0.15">
      <c r="A148" s="5"/>
      <c r="H148" s="1"/>
      <c r="I148" s="1"/>
      <c r="J148" s="1"/>
      <c r="K148" s="1"/>
    </row>
    <row r="149" spans="1:11" ht="24" customHeight="1" x14ac:dyDescent="0.15">
      <c r="A149" s="5"/>
      <c r="H149" s="1"/>
      <c r="I149" s="1"/>
      <c r="J149" s="1"/>
      <c r="K149" s="1"/>
    </row>
    <row r="150" spans="1:11" ht="24" customHeight="1" x14ac:dyDescent="0.15">
      <c r="A150" s="5"/>
      <c r="H150" s="1"/>
      <c r="I150" s="1"/>
      <c r="J150" s="1"/>
      <c r="K150" s="1"/>
    </row>
    <row r="151" spans="1:11" ht="24" customHeight="1" x14ac:dyDescent="0.15">
      <c r="A151" s="5"/>
      <c r="H151" s="1"/>
      <c r="I151" s="1"/>
      <c r="J151" s="1"/>
      <c r="K151" s="1"/>
    </row>
    <row r="152" spans="1:11" ht="24" customHeight="1" x14ac:dyDescent="0.15">
      <c r="A152" s="5"/>
      <c r="H152" s="1"/>
      <c r="I152" s="1"/>
      <c r="J152" s="1"/>
      <c r="K152" s="1"/>
    </row>
    <row r="153" spans="1:11" ht="24" customHeight="1" x14ac:dyDescent="0.15">
      <c r="A153" s="5"/>
      <c r="H153" s="1"/>
      <c r="I153" s="1"/>
      <c r="J153" s="1"/>
      <c r="K153" s="1"/>
    </row>
    <row r="154" spans="1:11" ht="24" customHeight="1" x14ac:dyDescent="0.15">
      <c r="A154" s="5"/>
      <c r="H154" s="1"/>
      <c r="I154" s="1"/>
      <c r="J154" s="1"/>
      <c r="K154" s="1"/>
    </row>
    <row r="155" spans="1:11" ht="24" customHeight="1" x14ac:dyDescent="0.15">
      <c r="A155" s="5"/>
      <c r="H155" s="1"/>
      <c r="I155" s="1"/>
      <c r="J155" s="1"/>
      <c r="K155" s="1"/>
    </row>
    <row r="156" spans="1:11" ht="24" customHeight="1" x14ac:dyDescent="0.15">
      <c r="A156" s="5"/>
      <c r="H156" s="1"/>
      <c r="I156" s="1"/>
      <c r="J156" s="1"/>
      <c r="K156" s="1"/>
    </row>
    <row r="157" spans="1:11" ht="24" customHeight="1" x14ac:dyDescent="0.15">
      <c r="A157" s="5"/>
      <c r="H157" s="1"/>
      <c r="I157" s="1"/>
      <c r="J157" s="1"/>
      <c r="K157" s="1"/>
    </row>
    <row r="158" spans="1:11" ht="24" customHeight="1" x14ac:dyDescent="0.15">
      <c r="A158" s="5"/>
      <c r="H158" s="1"/>
      <c r="I158" s="1"/>
      <c r="J158" s="1"/>
      <c r="K158" s="1"/>
    </row>
    <row r="159" spans="1:11" ht="24" customHeight="1" x14ac:dyDescent="0.15">
      <c r="A159" s="5"/>
      <c r="H159" s="1"/>
      <c r="I159" s="1"/>
      <c r="J159" s="1"/>
      <c r="K159" s="1"/>
    </row>
    <row r="160" spans="1:11" ht="24" customHeight="1" x14ac:dyDescent="0.15">
      <c r="A160" s="5"/>
      <c r="H160" s="1"/>
      <c r="I160" s="1"/>
      <c r="J160" s="1"/>
      <c r="K160" s="1"/>
    </row>
    <row r="161" spans="1:11" ht="24" customHeight="1" x14ac:dyDescent="0.15">
      <c r="A161" s="5"/>
      <c r="H161" s="1"/>
      <c r="I161" s="1"/>
      <c r="J161" s="1"/>
      <c r="K161" s="1"/>
    </row>
    <row r="162" spans="1:11" ht="24" customHeight="1" x14ac:dyDescent="0.15">
      <c r="A162" s="5"/>
      <c r="H162" s="1"/>
      <c r="I162" s="1"/>
      <c r="J162" s="1"/>
      <c r="K162" s="1"/>
    </row>
    <row r="163" spans="1:11" ht="24" customHeight="1" x14ac:dyDescent="0.15">
      <c r="A163" s="5"/>
      <c r="H163" s="1"/>
      <c r="I163" s="1"/>
      <c r="J163" s="1"/>
      <c r="K163" s="1"/>
    </row>
    <row r="164" spans="1:11" ht="24" customHeight="1" x14ac:dyDescent="0.15">
      <c r="A164" s="5"/>
      <c r="H164" s="1"/>
      <c r="I164" s="1"/>
      <c r="J164" s="1"/>
      <c r="K164" s="1"/>
    </row>
    <row r="165" spans="1:11" ht="24" customHeight="1" x14ac:dyDescent="0.15">
      <c r="A165" s="5"/>
      <c r="H165" s="1"/>
      <c r="I165" s="1"/>
      <c r="J165" s="1"/>
      <c r="K165" s="1"/>
    </row>
    <row r="166" spans="1:11" ht="24" customHeight="1" x14ac:dyDescent="0.15">
      <c r="A166" s="5"/>
      <c r="H166" s="1"/>
      <c r="I166" s="1"/>
      <c r="J166" s="1"/>
      <c r="K166" s="1"/>
    </row>
    <row r="167" spans="1:11" ht="24" customHeight="1" x14ac:dyDescent="0.15">
      <c r="A167" s="5"/>
      <c r="H167" s="1"/>
      <c r="I167" s="1"/>
      <c r="J167" s="1"/>
      <c r="K167" s="1"/>
    </row>
    <row r="168" spans="1:11" ht="24" customHeight="1" x14ac:dyDescent="0.15">
      <c r="A168" s="5"/>
      <c r="H168" s="1"/>
      <c r="I168" s="1"/>
      <c r="J168" s="1"/>
      <c r="K168" s="1"/>
    </row>
    <row r="169" spans="1:11" ht="24" customHeight="1" x14ac:dyDescent="0.15">
      <c r="A169" s="5"/>
      <c r="H169" s="1"/>
      <c r="I169" s="1"/>
      <c r="J169" s="1"/>
      <c r="K169" s="1"/>
    </row>
    <row r="170" spans="1:11" ht="24" customHeight="1" x14ac:dyDescent="0.15">
      <c r="A170" s="5"/>
      <c r="H170" s="1"/>
      <c r="I170" s="1"/>
      <c r="J170" s="1"/>
      <c r="K170" s="1"/>
    </row>
    <row r="171" spans="1:11" ht="24" customHeight="1" x14ac:dyDescent="0.15">
      <c r="A171" s="5"/>
      <c r="H171" s="1"/>
      <c r="I171" s="1"/>
      <c r="J171" s="1"/>
      <c r="K171" s="1"/>
    </row>
    <row r="172" spans="1:11" ht="24" customHeight="1" x14ac:dyDescent="0.15">
      <c r="A172" s="5"/>
      <c r="H172" s="1"/>
      <c r="I172" s="1"/>
      <c r="J172" s="1"/>
      <c r="K172" s="1"/>
    </row>
    <row r="173" spans="1:11" ht="24" customHeight="1" x14ac:dyDescent="0.15">
      <c r="A173" s="5"/>
      <c r="H173" s="1"/>
      <c r="I173" s="1"/>
      <c r="J173" s="1"/>
      <c r="K173" s="1"/>
    </row>
    <row r="174" spans="1:11" ht="24" customHeight="1" x14ac:dyDescent="0.15">
      <c r="A174" s="5"/>
      <c r="H174" s="1"/>
      <c r="I174" s="1"/>
      <c r="J174" s="1"/>
      <c r="K174" s="1"/>
    </row>
    <row r="175" spans="1:11" ht="24" customHeight="1" x14ac:dyDescent="0.15">
      <c r="A175" s="5"/>
      <c r="H175" s="1"/>
      <c r="I175" s="1"/>
      <c r="J175" s="1"/>
      <c r="K175" s="1"/>
    </row>
    <row r="176" spans="1:11" ht="24" customHeight="1" x14ac:dyDescent="0.15">
      <c r="A176" s="5"/>
      <c r="H176" s="1"/>
      <c r="I176" s="1"/>
      <c r="J176" s="1"/>
      <c r="K176" s="1"/>
    </row>
    <row r="177" spans="1:11" ht="24" customHeight="1" x14ac:dyDescent="0.15">
      <c r="A177" s="5"/>
      <c r="H177" s="1"/>
      <c r="I177" s="1"/>
      <c r="J177" s="1"/>
      <c r="K177" s="1"/>
    </row>
    <row r="178" spans="1:11" ht="24" customHeight="1" x14ac:dyDescent="0.15">
      <c r="A178" s="5"/>
      <c r="H178" s="1"/>
      <c r="I178" s="1"/>
      <c r="J178" s="1"/>
      <c r="K178" s="1"/>
    </row>
    <row r="179" spans="1:11" ht="24" customHeight="1" x14ac:dyDescent="0.15">
      <c r="A179" s="5"/>
      <c r="H179" s="1"/>
      <c r="I179" s="1"/>
      <c r="J179" s="1"/>
      <c r="K179" s="1"/>
    </row>
    <row r="180" spans="1:11" ht="24" customHeight="1" x14ac:dyDescent="0.15">
      <c r="A180" s="5"/>
      <c r="H180" s="1"/>
      <c r="I180" s="1"/>
      <c r="J180" s="1"/>
      <c r="K180" s="1"/>
    </row>
    <row r="181" spans="1:11" ht="24" customHeight="1" x14ac:dyDescent="0.15">
      <c r="A181" s="5"/>
      <c r="H181" s="1"/>
      <c r="I181" s="1"/>
      <c r="J181" s="1"/>
      <c r="K181" s="1"/>
    </row>
    <row r="182" spans="1:11" ht="24" customHeight="1" x14ac:dyDescent="0.15">
      <c r="A182" s="5"/>
      <c r="H182" s="1"/>
      <c r="I182" s="1"/>
      <c r="J182" s="1"/>
      <c r="K182" s="1"/>
    </row>
    <row r="183" spans="1:11" ht="24" customHeight="1" x14ac:dyDescent="0.15">
      <c r="A183" s="5"/>
      <c r="H183" s="1"/>
      <c r="I183" s="1"/>
      <c r="J183" s="1"/>
      <c r="K183" s="1"/>
    </row>
    <row r="184" spans="1:11" ht="24" customHeight="1" x14ac:dyDescent="0.15">
      <c r="A184" s="5"/>
      <c r="H184" s="1"/>
      <c r="I184" s="1"/>
      <c r="J184" s="1"/>
      <c r="K184" s="1"/>
    </row>
    <row r="185" spans="1:11" ht="24" customHeight="1" x14ac:dyDescent="0.15">
      <c r="A185" s="5"/>
      <c r="H185" s="1"/>
      <c r="I185" s="1"/>
      <c r="J185" s="1"/>
      <c r="K185" s="1"/>
    </row>
    <row r="186" spans="1:11" ht="24" customHeight="1" x14ac:dyDescent="0.15">
      <c r="A186" s="5"/>
      <c r="H186" s="1"/>
      <c r="I186" s="1"/>
      <c r="J186" s="1"/>
      <c r="K186" s="1"/>
    </row>
    <row r="187" spans="1:11" ht="24" customHeight="1" x14ac:dyDescent="0.15">
      <c r="A187" s="5"/>
      <c r="H187" s="1"/>
      <c r="I187" s="1"/>
      <c r="J187" s="1"/>
      <c r="K187" s="1"/>
    </row>
    <row r="188" spans="1:11" ht="24" customHeight="1" x14ac:dyDescent="0.15">
      <c r="A188" s="5"/>
      <c r="H188" s="1"/>
      <c r="I188" s="1"/>
      <c r="J188" s="1"/>
      <c r="K188" s="1"/>
    </row>
    <row r="189" spans="1:11" ht="24" customHeight="1" x14ac:dyDescent="0.15">
      <c r="A189" s="5"/>
      <c r="H189" s="1"/>
      <c r="I189" s="1"/>
      <c r="J189" s="1"/>
      <c r="K189" s="1"/>
    </row>
    <row r="190" spans="1:11" ht="24" customHeight="1" x14ac:dyDescent="0.15">
      <c r="A190" s="5"/>
      <c r="H190" s="1"/>
      <c r="I190" s="1"/>
      <c r="J190" s="1"/>
      <c r="K190" s="1"/>
    </row>
    <row r="191" spans="1:11" ht="24" customHeight="1" x14ac:dyDescent="0.15">
      <c r="A191" s="5"/>
      <c r="H191" s="1"/>
      <c r="I191" s="1"/>
      <c r="J191" s="1"/>
      <c r="K191" s="1"/>
    </row>
    <row r="192" spans="1:11" ht="24" customHeight="1" x14ac:dyDescent="0.15">
      <c r="A192" s="5"/>
      <c r="H192" s="1"/>
      <c r="I192" s="1"/>
      <c r="J192" s="1"/>
      <c r="K192" s="1"/>
    </row>
    <row r="193" spans="1:11" ht="24" customHeight="1" x14ac:dyDescent="0.15">
      <c r="A193" s="5"/>
      <c r="H193" s="1"/>
      <c r="I193" s="1"/>
      <c r="J193" s="1"/>
      <c r="K193" s="1"/>
    </row>
    <row r="194" spans="1:11" ht="24" customHeight="1" x14ac:dyDescent="0.15">
      <c r="A194" s="5"/>
      <c r="H194" s="1"/>
      <c r="I194" s="1"/>
      <c r="J194" s="1"/>
      <c r="K194" s="1"/>
    </row>
    <row r="195" spans="1:11" ht="24" customHeight="1" x14ac:dyDescent="0.15">
      <c r="A195" s="5"/>
      <c r="H195" s="1"/>
      <c r="I195" s="1"/>
      <c r="J195" s="1"/>
      <c r="K195" s="1"/>
    </row>
    <row r="196" spans="1:11" ht="24" customHeight="1" x14ac:dyDescent="0.15">
      <c r="A196" s="5"/>
      <c r="H196" s="1"/>
      <c r="I196" s="1"/>
      <c r="J196" s="1"/>
      <c r="K196" s="1"/>
    </row>
    <row r="197" spans="1:11" ht="24" customHeight="1" x14ac:dyDescent="0.15">
      <c r="A197" s="5"/>
      <c r="H197" s="1"/>
      <c r="I197" s="1"/>
      <c r="J197" s="1"/>
      <c r="K197" s="1"/>
    </row>
    <row r="198" spans="1:11" ht="24" customHeight="1" x14ac:dyDescent="0.15">
      <c r="A198" s="5"/>
      <c r="H198" s="1"/>
      <c r="I198" s="1"/>
      <c r="J198" s="1"/>
      <c r="K198" s="1"/>
    </row>
    <row r="199" spans="1:11" ht="24" customHeight="1" x14ac:dyDescent="0.15">
      <c r="A199" s="5"/>
      <c r="H199" s="1"/>
      <c r="I199" s="1"/>
      <c r="J199" s="1"/>
      <c r="K199" s="1"/>
    </row>
    <row r="200" spans="1:11" ht="24" customHeight="1" x14ac:dyDescent="0.15">
      <c r="A200" s="5"/>
      <c r="H200" s="1"/>
      <c r="I200" s="1"/>
      <c r="J200" s="1"/>
      <c r="K200" s="1"/>
    </row>
    <row r="201" spans="1:11" ht="24" customHeight="1" x14ac:dyDescent="0.15">
      <c r="A201" s="5"/>
      <c r="H201" s="1"/>
      <c r="I201" s="1"/>
      <c r="J201" s="1"/>
      <c r="K201" s="1"/>
    </row>
    <row r="202" spans="1:11" ht="24" customHeight="1" x14ac:dyDescent="0.15">
      <c r="A202" s="5"/>
      <c r="H202" s="1"/>
      <c r="I202" s="1"/>
      <c r="J202" s="1"/>
      <c r="K202" s="1"/>
    </row>
    <row r="203" spans="1:11" ht="24" customHeight="1" x14ac:dyDescent="0.15">
      <c r="A203" s="5"/>
      <c r="H203" s="1"/>
      <c r="I203" s="1"/>
      <c r="J203" s="1"/>
      <c r="K203" s="1"/>
    </row>
    <row r="204" spans="1:11" ht="24" customHeight="1" x14ac:dyDescent="0.15">
      <c r="A204" s="5"/>
      <c r="H204" s="1"/>
      <c r="I204" s="1"/>
      <c r="J204" s="1"/>
      <c r="K204" s="1"/>
    </row>
    <row r="205" spans="1:11" ht="24" customHeight="1" x14ac:dyDescent="0.15">
      <c r="A205" s="5"/>
      <c r="H205" s="1"/>
      <c r="I205" s="1"/>
      <c r="J205" s="1"/>
      <c r="K205" s="1"/>
    </row>
    <row r="206" spans="1:11" ht="24" customHeight="1" x14ac:dyDescent="0.15">
      <c r="A206" s="5"/>
      <c r="H206" s="1"/>
      <c r="I206" s="1"/>
      <c r="J206" s="1"/>
      <c r="K206" s="1"/>
    </row>
    <row r="207" spans="1:11" ht="24" customHeight="1" x14ac:dyDescent="0.15">
      <c r="A207" s="5"/>
      <c r="H207" s="1"/>
      <c r="I207" s="1"/>
      <c r="J207" s="1"/>
      <c r="K207" s="1"/>
    </row>
    <row r="208" spans="1:11" ht="24" customHeight="1" x14ac:dyDescent="0.15">
      <c r="A208" s="5"/>
      <c r="H208" s="1"/>
      <c r="I208" s="1"/>
      <c r="J208" s="1"/>
      <c r="K208" s="1"/>
    </row>
    <row r="209" spans="1:11" ht="24" customHeight="1" x14ac:dyDescent="0.15">
      <c r="A209" s="5"/>
      <c r="H209" s="1"/>
      <c r="I209" s="1"/>
      <c r="J209" s="1"/>
      <c r="K209" s="1"/>
    </row>
    <row r="210" spans="1:11" ht="24" customHeight="1" x14ac:dyDescent="0.15">
      <c r="A210" s="5"/>
      <c r="H210" s="1"/>
      <c r="I210" s="1"/>
      <c r="J210" s="1"/>
      <c r="K210" s="1"/>
    </row>
    <row r="211" spans="1:11" ht="24" customHeight="1" x14ac:dyDescent="0.15">
      <c r="A211" s="5"/>
      <c r="H211" s="1"/>
      <c r="I211" s="1"/>
      <c r="J211" s="1"/>
      <c r="K211" s="1"/>
    </row>
    <row r="212" spans="1:11" ht="24" customHeight="1" x14ac:dyDescent="0.15">
      <c r="A212" s="5"/>
      <c r="H212" s="1"/>
      <c r="I212" s="1"/>
      <c r="J212" s="1"/>
      <c r="K212" s="1"/>
    </row>
    <row r="213" spans="1:11" ht="24" customHeight="1" x14ac:dyDescent="0.15">
      <c r="A213" s="5"/>
      <c r="H213" s="1"/>
      <c r="I213" s="1"/>
      <c r="J213" s="1"/>
      <c r="K213" s="1"/>
    </row>
    <row r="214" spans="1:11" ht="24" customHeight="1" x14ac:dyDescent="0.15">
      <c r="A214" s="5"/>
      <c r="H214" s="1"/>
      <c r="I214" s="1"/>
      <c r="J214" s="1"/>
      <c r="K214" s="1"/>
    </row>
    <row r="215" spans="1:11" ht="24" customHeight="1" x14ac:dyDescent="0.15">
      <c r="A215" s="5"/>
      <c r="H215" s="1"/>
      <c r="I215" s="1"/>
      <c r="J215" s="1"/>
      <c r="K215" s="1"/>
    </row>
    <row r="216" spans="1:11" ht="24" customHeight="1" x14ac:dyDescent="0.15">
      <c r="A216" s="5"/>
      <c r="H216" s="1"/>
      <c r="I216" s="1"/>
      <c r="J216" s="1"/>
      <c r="K216" s="1"/>
    </row>
    <row r="217" spans="1:11" ht="24" customHeight="1" x14ac:dyDescent="0.15">
      <c r="A217" s="5"/>
      <c r="H217" s="1"/>
      <c r="I217" s="1"/>
      <c r="J217" s="1"/>
      <c r="K217" s="1"/>
    </row>
    <row r="218" spans="1:11" ht="24" customHeight="1" x14ac:dyDescent="0.15">
      <c r="A218" s="5"/>
      <c r="H218" s="1"/>
      <c r="I218" s="1"/>
      <c r="J218" s="1"/>
      <c r="K218" s="1"/>
    </row>
    <row r="219" spans="1:11" ht="24" customHeight="1" x14ac:dyDescent="0.15">
      <c r="A219" s="5"/>
      <c r="H219" s="1"/>
      <c r="I219" s="1"/>
      <c r="J219" s="1"/>
      <c r="K219" s="1"/>
    </row>
    <row r="220" spans="1:11" ht="24" customHeight="1" x14ac:dyDescent="0.15">
      <c r="A220" s="5"/>
      <c r="H220" s="1"/>
      <c r="I220" s="1"/>
      <c r="J220" s="1"/>
      <c r="K220" s="1"/>
    </row>
    <row r="221" spans="1:11" ht="24" customHeight="1" x14ac:dyDescent="0.15">
      <c r="A221" s="5"/>
      <c r="H221" s="1"/>
      <c r="I221" s="1"/>
      <c r="J221" s="1"/>
      <c r="K221" s="1"/>
    </row>
    <row r="222" spans="1:11" ht="24" customHeight="1" x14ac:dyDescent="0.15">
      <c r="A222" s="5"/>
      <c r="H222" s="1"/>
      <c r="I222" s="1"/>
      <c r="J222" s="1"/>
      <c r="K222" s="1"/>
    </row>
    <row r="223" spans="1:11" ht="24" customHeight="1" x14ac:dyDescent="0.15">
      <c r="A223" s="5"/>
      <c r="H223" s="1"/>
      <c r="I223" s="1"/>
      <c r="J223" s="1"/>
      <c r="K223" s="1"/>
    </row>
    <row r="224" spans="1:11" ht="24" customHeight="1" x14ac:dyDescent="0.15">
      <c r="A224" s="5"/>
      <c r="H224" s="1"/>
      <c r="I224" s="1"/>
      <c r="J224" s="1"/>
      <c r="K224" s="1"/>
    </row>
    <row r="225" spans="1:11" ht="24" customHeight="1" x14ac:dyDescent="0.15">
      <c r="A225" s="5"/>
      <c r="H225" s="1"/>
      <c r="I225" s="1"/>
      <c r="J225" s="1"/>
      <c r="K225" s="1"/>
    </row>
    <row r="226" spans="1:11" ht="24" customHeight="1" x14ac:dyDescent="0.15">
      <c r="A226" s="5"/>
      <c r="H226" s="1"/>
      <c r="I226" s="1"/>
      <c r="J226" s="1"/>
      <c r="K226" s="1"/>
    </row>
    <row r="227" spans="1:11" ht="12.75" customHeight="1" x14ac:dyDescent="0.15">
      <c r="A227" s="5"/>
      <c r="H227" s="1"/>
      <c r="I227" s="1"/>
      <c r="J227" s="1"/>
      <c r="K227" s="1"/>
    </row>
    <row r="228" spans="1:11" ht="12.75" customHeight="1" x14ac:dyDescent="0.15">
      <c r="A228" s="5"/>
      <c r="H228" s="1"/>
      <c r="I228" s="1"/>
      <c r="J228" s="1"/>
      <c r="K228" s="1"/>
    </row>
    <row r="229" spans="1:11" ht="12.75" customHeight="1" x14ac:dyDescent="0.15">
      <c r="A229" s="5"/>
      <c r="H229" s="1"/>
      <c r="I229" s="1"/>
      <c r="J229" s="1"/>
      <c r="K229" s="1"/>
    </row>
    <row r="230" spans="1:11" ht="12.75" customHeight="1" x14ac:dyDescent="0.15">
      <c r="A230" s="5"/>
      <c r="H230" s="1"/>
      <c r="I230" s="1"/>
      <c r="J230" s="1"/>
      <c r="K230" s="1"/>
    </row>
    <row r="231" spans="1:11" ht="12.75" customHeight="1" x14ac:dyDescent="0.15">
      <c r="A231" s="5"/>
      <c r="H231" s="1"/>
      <c r="I231" s="1"/>
      <c r="J231" s="1"/>
      <c r="K231" s="1"/>
    </row>
    <row r="232" spans="1:11" ht="12.75" customHeight="1" x14ac:dyDescent="0.15">
      <c r="A232" s="5"/>
      <c r="H232" s="1"/>
      <c r="I232" s="1"/>
      <c r="J232" s="1"/>
      <c r="K232" s="1"/>
    </row>
    <row r="233" spans="1:11" ht="12.75" customHeight="1" x14ac:dyDescent="0.15">
      <c r="A233" s="5"/>
      <c r="H233" s="1"/>
      <c r="I233" s="1"/>
      <c r="J233" s="1"/>
      <c r="K233" s="1"/>
    </row>
    <row r="234" spans="1:11" ht="12.75" customHeight="1" x14ac:dyDescent="0.15">
      <c r="A234" s="5"/>
      <c r="H234" s="1"/>
      <c r="I234" s="1"/>
      <c r="J234" s="1"/>
      <c r="K234" s="1"/>
    </row>
    <row r="235" spans="1:11" ht="12.75" customHeight="1" x14ac:dyDescent="0.15">
      <c r="A235" s="5"/>
      <c r="H235" s="1"/>
      <c r="I235" s="1"/>
      <c r="J235" s="1"/>
      <c r="K235" s="1"/>
    </row>
    <row r="236" spans="1:11" ht="12.75" customHeight="1" x14ac:dyDescent="0.15">
      <c r="A236" s="5"/>
      <c r="H236" s="1"/>
      <c r="I236" s="1"/>
      <c r="J236" s="1"/>
      <c r="K236" s="1"/>
    </row>
    <row r="237" spans="1:11" ht="12.75" customHeight="1" x14ac:dyDescent="0.15">
      <c r="A237" s="5"/>
      <c r="H237" s="1"/>
      <c r="I237" s="1"/>
      <c r="J237" s="1"/>
      <c r="K237" s="1"/>
    </row>
    <row r="238" spans="1:11" ht="12.75" customHeight="1" x14ac:dyDescent="0.15">
      <c r="A238" s="5"/>
      <c r="H238" s="1"/>
      <c r="I238" s="1"/>
      <c r="J238" s="1"/>
      <c r="K238" s="1"/>
    </row>
    <row r="239" spans="1:11" ht="12.75" customHeight="1" x14ac:dyDescent="0.15">
      <c r="A239" s="5"/>
      <c r="H239" s="1"/>
      <c r="I239" s="1"/>
      <c r="J239" s="1"/>
      <c r="K239" s="1"/>
    </row>
    <row r="240" spans="1:11" ht="12.75" customHeight="1" x14ac:dyDescent="0.15">
      <c r="A240" s="5"/>
      <c r="H240" s="1"/>
      <c r="I240" s="1"/>
      <c r="J240" s="1"/>
      <c r="K240" s="1"/>
    </row>
    <row r="241" spans="1:11" ht="12.75" customHeight="1" x14ac:dyDescent="0.15">
      <c r="A241" s="5"/>
      <c r="H241" s="1"/>
      <c r="I241" s="1"/>
      <c r="J241" s="1"/>
      <c r="K241" s="1"/>
    </row>
    <row r="242" spans="1:11" ht="12.75" customHeight="1" x14ac:dyDescent="0.15">
      <c r="A242" s="5"/>
      <c r="H242" s="1"/>
      <c r="I242" s="1"/>
      <c r="J242" s="1"/>
      <c r="K242" s="1"/>
    </row>
    <row r="243" spans="1:11" ht="12.75" customHeight="1" x14ac:dyDescent="0.15">
      <c r="A243" s="5"/>
      <c r="H243" s="1"/>
      <c r="I243" s="1"/>
      <c r="J243" s="1"/>
      <c r="K243" s="1"/>
    </row>
    <row r="244" spans="1:11" ht="12.75" customHeight="1" x14ac:dyDescent="0.15">
      <c r="A244" s="5"/>
      <c r="H244" s="1"/>
      <c r="I244" s="1"/>
      <c r="J244" s="1"/>
      <c r="K244" s="1"/>
    </row>
    <row r="245" spans="1:11" ht="12.75" customHeight="1" x14ac:dyDescent="0.15">
      <c r="A245" s="5"/>
      <c r="H245" s="1"/>
      <c r="I245" s="1"/>
      <c r="J245" s="1"/>
      <c r="K245" s="1"/>
    </row>
    <row r="246" spans="1:11" ht="12.75" customHeight="1" x14ac:dyDescent="0.15">
      <c r="A246" s="5"/>
      <c r="H246" s="1"/>
      <c r="I246" s="1"/>
      <c r="J246" s="1"/>
      <c r="K246" s="1"/>
    </row>
    <row r="247" spans="1:11" ht="12.75" customHeight="1" x14ac:dyDescent="0.15">
      <c r="A247" s="5"/>
      <c r="H247" s="1"/>
      <c r="I247" s="1"/>
      <c r="J247" s="1"/>
      <c r="K247" s="1"/>
    </row>
    <row r="248" spans="1:11" ht="12.75" customHeight="1" x14ac:dyDescent="0.15">
      <c r="A248" s="5"/>
      <c r="H248" s="1"/>
      <c r="I248" s="1"/>
      <c r="J248" s="1"/>
      <c r="K248" s="1"/>
    </row>
    <row r="249" spans="1:11" ht="12.75" customHeight="1" x14ac:dyDescent="0.15">
      <c r="A249" s="5"/>
      <c r="H249" s="1"/>
      <c r="I249" s="1"/>
      <c r="J249" s="1"/>
      <c r="K249" s="1"/>
    </row>
    <row r="250" spans="1:11" ht="12.75" customHeight="1" x14ac:dyDescent="0.15">
      <c r="A250" s="5"/>
      <c r="H250" s="1"/>
      <c r="I250" s="1"/>
      <c r="J250" s="1"/>
      <c r="K250" s="1"/>
    </row>
    <row r="251" spans="1:11" ht="12.75" customHeight="1" x14ac:dyDescent="0.15">
      <c r="A251" s="5"/>
      <c r="H251" s="1"/>
      <c r="I251" s="1"/>
      <c r="J251" s="1"/>
      <c r="K251" s="1"/>
    </row>
    <row r="252" spans="1:11" ht="12.75" customHeight="1" x14ac:dyDescent="0.15">
      <c r="A252" s="5"/>
      <c r="H252" s="1"/>
      <c r="I252" s="1"/>
      <c r="J252" s="1"/>
      <c r="K252" s="1"/>
    </row>
    <row r="253" spans="1:11" ht="12.75" customHeight="1" x14ac:dyDescent="0.15">
      <c r="A253" s="5"/>
      <c r="H253" s="1"/>
      <c r="I253" s="1"/>
      <c r="J253" s="1"/>
      <c r="K253" s="1"/>
    </row>
    <row r="254" spans="1:11" ht="12.75" customHeight="1" x14ac:dyDescent="0.15">
      <c r="A254" s="5"/>
      <c r="H254" s="1"/>
      <c r="I254" s="1"/>
      <c r="J254" s="1"/>
      <c r="K254" s="1"/>
    </row>
    <row r="255" spans="1:11" ht="12.75" customHeight="1" x14ac:dyDescent="0.15">
      <c r="A255" s="5"/>
      <c r="H255" s="1"/>
      <c r="I255" s="1"/>
      <c r="J255" s="1"/>
      <c r="K255" s="1"/>
    </row>
    <row r="256" spans="1:11" ht="12.75" customHeight="1" x14ac:dyDescent="0.15">
      <c r="A256" s="5"/>
      <c r="H256" s="1"/>
      <c r="I256" s="1"/>
      <c r="J256" s="1"/>
      <c r="K256" s="1"/>
    </row>
    <row r="257" spans="1:11" ht="12.75" customHeight="1" x14ac:dyDescent="0.15">
      <c r="A257" s="5"/>
      <c r="H257" s="1"/>
      <c r="I257" s="1"/>
      <c r="J257" s="1"/>
      <c r="K257" s="1"/>
    </row>
    <row r="258" spans="1:11" ht="12.75" customHeight="1" x14ac:dyDescent="0.15">
      <c r="A258" s="5"/>
      <c r="H258" s="1"/>
      <c r="I258" s="1"/>
      <c r="J258" s="1"/>
      <c r="K258" s="1"/>
    </row>
    <row r="259" spans="1:11" ht="12.75" customHeight="1" x14ac:dyDescent="0.15">
      <c r="A259" s="5"/>
      <c r="H259" s="1"/>
      <c r="I259" s="1"/>
      <c r="J259" s="1"/>
      <c r="K259" s="1"/>
    </row>
    <row r="260" spans="1:11" ht="12.75" customHeight="1" x14ac:dyDescent="0.15">
      <c r="A260" s="5"/>
      <c r="H260" s="1"/>
      <c r="I260" s="1"/>
      <c r="J260" s="1"/>
      <c r="K260" s="1"/>
    </row>
    <row r="261" spans="1:11" ht="12.75" customHeight="1" x14ac:dyDescent="0.15">
      <c r="A261" s="5"/>
      <c r="H261" s="1"/>
      <c r="I261" s="1"/>
      <c r="J261" s="1"/>
      <c r="K261" s="1"/>
    </row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FFF91-566B-494D-9A97-17AA5E750484}">
  <sheetPr codeName="Hoja7"/>
  <dimension ref="A2:O567"/>
  <sheetViews>
    <sheetView topLeftCell="A40" zoomScale="95" workbookViewId="0">
      <selection activeCell="I4" sqref="I4"/>
    </sheetView>
  </sheetViews>
  <sheetFormatPr baseColWidth="10" defaultColWidth="8.83203125" defaultRowHeight="13" x14ac:dyDescent="0.15"/>
  <cols>
    <col min="1" max="1" width="28.83203125" bestFit="1" customWidth="1"/>
    <col min="2" max="2" width="10.5" bestFit="1" customWidth="1"/>
    <col min="4" max="4" width="18.1640625" bestFit="1" customWidth="1"/>
    <col min="7" max="7" width="12.5" customWidth="1"/>
    <col min="10" max="10" width="8.83203125" bestFit="1" customWidth="1"/>
    <col min="13" max="13" width="13.5" bestFit="1" customWidth="1"/>
  </cols>
  <sheetData>
    <row r="2" spans="1:15" x14ac:dyDescent="0.15">
      <c r="J2" t="s">
        <v>71</v>
      </c>
      <c r="M2" t="s">
        <v>72</v>
      </c>
      <c r="N2" t="s">
        <v>73</v>
      </c>
    </row>
    <row r="3" spans="1:15" ht="14" thickBot="1" x14ac:dyDescent="0.2"/>
    <row r="4" spans="1:15" ht="14" thickBot="1" x14ac:dyDescent="0.2">
      <c r="I4" t="e" cm="1">
        <f t="array" ref="I4">MONT</f>
        <v>#NAME?</v>
      </c>
      <c r="J4" s="98">
        <v>44927</v>
      </c>
      <c r="K4" s="99">
        <v>73.611699999999999</v>
      </c>
      <c r="M4" s="101">
        <v>45078</v>
      </c>
      <c r="N4" s="64">
        <f>'Monitor Letras'!C4</f>
        <v>7.0000000000000007E-2</v>
      </c>
      <c r="O4">
        <f>(1+N4)^(1/30)</f>
        <v>1.0022578333580123</v>
      </c>
    </row>
    <row r="5" spans="1:15" ht="14" thickBot="1" x14ac:dyDescent="0.2">
      <c r="A5" s="35" t="s">
        <v>112</v>
      </c>
      <c r="J5" s="98">
        <v>44928</v>
      </c>
      <c r="K5" s="99">
        <v>73.725300000000004</v>
      </c>
      <c r="M5" s="101">
        <v>45108</v>
      </c>
      <c r="N5" s="64">
        <f>'Monitor Letras'!C5</f>
        <v>0.08</v>
      </c>
      <c r="O5">
        <f>(1+N5)^(1/31)</f>
        <v>1.0024856984687023</v>
      </c>
    </row>
    <row r="6" spans="1:15" ht="14" thickBot="1" x14ac:dyDescent="0.2">
      <c r="J6" s="98">
        <v>44929</v>
      </c>
      <c r="K6" s="99">
        <v>73.839200000000005</v>
      </c>
      <c r="M6" s="101">
        <v>45139</v>
      </c>
      <c r="N6" s="64">
        <f>'Monitor Letras'!C6</f>
        <v>0.08</v>
      </c>
      <c r="O6">
        <f t="shared" ref="O6" si="0">(1+N6)^(1/31)</f>
        <v>1.0024856984687023</v>
      </c>
    </row>
    <row r="7" spans="1:15" ht="14" thickBot="1" x14ac:dyDescent="0.2">
      <c r="A7" s="114" t="s">
        <v>113</v>
      </c>
      <c r="B7" s="115" t="s">
        <v>114</v>
      </c>
      <c r="D7" s="126" t="s">
        <v>56</v>
      </c>
      <c r="E7" s="13"/>
      <c r="G7" s="126" t="s">
        <v>57</v>
      </c>
      <c r="H7" s="13"/>
      <c r="J7" s="98">
        <v>44930</v>
      </c>
      <c r="K7" s="99">
        <v>73.953199999999995</v>
      </c>
      <c r="M7" s="101">
        <v>45170</v>
      </c>
      <c r="N7" s="64">
        <f>'Monitor Letras'!C7</f>
        <v>0.09</v>
      </c>
      <c r="O7">
        <f t="shared" ref="O7:O16" si="1">(1+N7)^(1/30)</f>
        <v>1.0028767197144943</v>
      </c>
    </row>
    <row r="8" spans="1:15" ht="14" thickBot="1" x14ac:dyDescent="0.2">
      <c r="A8" s="116" t="s">
        <v>115</v>
      </c>
      <c r="B8" s="102">
        <f>'Monitor Letras'!F10</f>
        <v>127.51</v>
      </c>
      <c r="D8" s="133" t="s">
        <v>116</v>
      </c>
      <c r="E8" s="127">
        <f ca="1">B16/B8-1</f>
        <v>2.1407172965018262E-2</v>
      </c>
      <c r="G8" s="133" t="s">
        <v>116</v>
      </c>
      <c r="H8" s="127">
        <f>B17/B8-1</f>
        <v>3.4273880055933237E-2</v>
      </c>
      <c r="J8" s="98">
        <v>44931</v>
      </c>
      <c r="K8" s="99">
        <v>74.067400000000006</v>
      </c>
      <c r="M8" s="101">
        <v>45200</v>
      </c>
      <c r="N8" s="64">
        <f>'Monitor Letras'!C8</f>
        <v>0.09</v>
      </c>
      <c r="O8">
        <f>(1+N8)^(1/31)</f>
        <v>1.0027837932616308</v>
      </c>
    </row>
    <row r="9" spans="1:15" ht="14" thickBot="1" x14ac:dyDescent="0.2">
      <c r="A9" s="117" t="s">
        <v>55</v>
      </c>
      <c r="B9" s="107">
        <f>'Monitor Letras'!$F$6</f>
        <v>0</v>
      </c>
      <c r="D9" s="134" t="s">
        <v>59</v>
      </c>
      <c r="E9" s="128">
        <f ca="1">E8*(365/(B12-B11))</f>
        <v>1.5627236264463331</v>
      </c>
      <c r="G9" s="134" t="s">
        <v>59</v>
      </c>
      <c r="H9" s="128">
        <f ca="1">H8*(365/(B12-B11))</f>
        <v>2.5019932440831263</v>
      </c>
      <c r="J9" s="98">
        <v>44932</v>
      </c>
      <c r="K9" s="99">
        <v>74.181799999999996</v>
      </c>
      <c r="M9" s="101">
        <v>45231</v>
      </c>
      <c r="N9" s="64">
        <f>'Monitor Letras'!C9</f>
        <v>0.08</v>
      </c>
      <c r="O9">
        <f t="shared" si="1"/>
        <v>1.0025686614100908</v>
      </c>
    </row>
    <row r="10" spans="1:15" ht="14" thickBot="1" x14ac:dyDescent="0.2">
      <c r="A10" s="118" t="s">
        <v>117</v>
      </c>
      <c r="B10" s="108">
        <v>0</v>
      </c>
      <c r="D10" s="134" t="s">
        <v>58</v>
      </c>
      <c r="E10" s="128">
        <f ca="1">(1+E8)^(365/(B12-B11))-1</f>
        <v>3.6937499492061825</v>
      </c>
      <c r="G10" s="134" t="s">
        <v>58</v>
      </c>
      <c r="H10" s="128">
        <f ca="1">(1+H8)^(365/(B12-B11))-1</f>
        <v>10.705653379884927</v>
      </c>
      <c r="J10" s="98">
        <v>44933</v>
      </c>
      <c r="K10" s="99">
        <v>74.296400000000006</v>
      </c>
      <c r="M10" s="101">
        <v>45261</v>
      </c>
      <c r="N10" s="64">
        <f>'Monitor Letras'!C10</f>
        <v>7.0000000000000007E-2</v>
      </c>
      <c r="O10">
        <f>(1+N10)^(1/31)</f>
        <v>1.0021849205152111</v>
      </c>
    </row>
    <row r="11" spans="1:15" ht="14" thickBot="1" x14ac:dyDescent="0.2">
      <c r="A11" s="119" t="s">
        <v>118</v>
      </c>
      <c r="B11" s="109">
        <f ca="1">'Monitor Letras'!$F$4+'Monitor Letras'!$F$5</f>
        <v>45120</v>
      </c>
      <c r="D11" s="135" t="s">
        <v>60</v>
      </c>
      <c r="E11" s="129">
        <f ca="1">E9*30/365</f>
        <v>0.12844303779010957</v>
      </c>
      <c r="G11" s="135" t="s">
        <v>60</v>
      </c>
      <c r="H11" s="129">
        <f ca="1">H9*30/365</f>
        <v>0.20564328033559942</v>
      </c>
      <c r="J11" s="98">
        <v>44934</v>
      </c>
      <c r="K11" s="99">
        <v>74.411100000000005</v>
      </c>
      <c r="M11" s="101">
        <v>45292</v>
      </c>
      <c r="N11" s="64">
        <f>'Monitor Letras'!C11</f>
        <v>0.06</v>
      </c>
      <c r="O11">
        <f>(1+N11)^(1/31)</f>
        <v>1.0018814098322764</v>
      </c>
    </row>
    <row r="12" spans="1:15" ht="14" thickBot="1" x14ac:dyDescent="0.2">
      <c r="A12" s="120" t="s">
        <v>119</v>
      </c>
      <c r="B12" s="110">
        <v>45125</v>
      </c>
      <c r="J12" s="98">
        <v>44935</v>
      </c>
      <c r="K12" s="99">
        <v>74.525999999999996</v>
      </c>
      <c r="M12" s="101">
        <v>45323</v>
      </c>
      <c r="N12" s="64">
        <f>'Monitor Letras'!C12</f>
        <v>0.05</v>
      </c>
      <c r="O12">
        <f>(1+N12)^(1/28)</f>
        <v>1.0017440249087228</v>
      </c>
    </row>
    <row r="13" spans="1:15" ht="14" thickBot="1" x14ac:dyDescent="0.2">
      <c r="A13" s="122" t="s">
        <v>120</v>
      </c>
      <c r="B13" s="136">
        <v>82.931363626031043</v>
      </c>
      <c r="D13" s="126" t="s">
        <v>121</v>
      </c>
      <c r="E13" s="163" t="s">
        <v>56</v>
      </c>
      <c r="J13" s="98">
        <v>44936</v>
      </c>
      <c r="K13" s="99">
        <v>74.641099999999994</v>
      </c>
      <c r="M13" s="101">
        <v>45352</v>
      </c>
      <c r="N13" s="64">
        <f>'Monitor Letras'!C13</f>
        <v>0.05</v>
      </c>
      <c r="O13">
        <f>(1+N13)^(1/31)</f>
        <v>1.0015751154568036</v>
      </c>
    </row>
    <row r="14" spans="1:15" ht="14" thickBot="1" x14ac:dyDescent="0.2">
      <c r="A14" s="121" t="s">
        <v>122</v>
      </c>
      <c r="B14" s="111">
        <f ca="1">_xlfn.XLOOKUP(B11-(14+B9),$J$4:$J$1000,$K$4:$K$1000)</f>
        <v>108.0095</v>
      </c>
      <c r="D14" s="133" t="s">
        <v>123</v>
      </c>
      <c r="E14" s="166">
        <f ca="1">'Monitor Letras'!$F$17+'Monitor Letras'!$F$18</f>
        <v>45120</v>
      </c>
      <c r="J14" s="98">
        <v>44937</v>
      </c>
      <c r="K14" s="99">
        <v>74.756399999999999</v>
      </c>
      <c r="M14" s="101">
        <v>45383</v>
      </c>
      <c r="N14" s="64">
        <f>'Monitor Letras'!C14</f>
        <v>0.05</v>
      </c>
      <c r="O14">
        <f t="shared" si="1"/>
        <v>1.0016276620118332</v>
      </c>
    </row>
    <row r="15" spans="1:15" ht="14" thickBot="1" x14ac:dyDescent="0.2">
      <c r="A15" s="118" t="s">
        <v>124</v>
      </c>
      <c r="B15" s="112">
        <f>_xlfn.XLOOKUP(B12-(14+B10),$J$4:$J$1000,$K$4:$K$1000)</f>
        <v>109.37009999999999</v>
      </c>
      <c r="D15" s="134" t="s">
        <v>58</v>
      </c>
      <c r="E15" s="168">
        <f>'Monitor Letras'!$F$25</f>
        <v>0.1</v>
      </c>
      <c r="J15" s="98">
        <v>44938</v>
      </c>
      <c r="K15" s="99">
        <v>74.871899999999997</v>
      </c>
      <c r="M15" s="101">
        <v>45413</v>
      </c>
      <c r="N15" s="64">
        <f>'Monitor Letras'!C15</f>
        <v>0.04</v>
      </c>
      <c r="O15">
        <f>(1+N15)^(1/31)</f>
        <v>1.0012659849785526</v>
      </c>
    </row>
    <row r="16" spans="1:15" ht="14" thickBot="1" x14ac:dyDescent="0.2">
      <c r="A16" s="117" t="s">
        <v>125</v>
      </c>
      <c r="B16" s="113">
        <f ca="1">B14/B13*100</f>
        <v>130.23962862476949</v>
      </c>
      <c r="D16" s="134" t="s">
        <v>126</v>
      </c>
      <c r="E16" s="131">
        <f ca="1">_xlfn.XLOOKUP(E14-(14+'Monitor Letras'!$F$19),$J$4:$J$1000,$K$4:$K$1000)/B13*100</f>
        <v>130.23962862476949</v>
      </c>
      <c r="J16" s="98">
        <v>44939</v>
      </c>
      <c r="K16" s="99">
        <v>74.987499999999997</v>
      </c>
      <c r="M16" s="101">
        <v>45444</v>
      </c>
      <c r="N16" s="64">
        <f>'Monitor Letras'!C16</f>
        <v>0.03</v>
      </c>
      <c r="O16">
        <f t="shared" si="1"/>
        <v>1.0009857789690617</v>
      </c>
    </row>
    <row r="17" spans="1:15" ht="14" thickBot="1" x14ac:dyDescent="0.2">
      <c r="A17" s="118" t="s">
        <v>127</v>
      </c>
      <c r="B17" s="112">
        <f>B15/B13*100</f>
        <v>131.88026244593206</v>
      </c>
      <c r="D17" s="135" t="s">
        <v>14</v>
      </c>
      <c r="E17" s="132">
        <f ca="1">E16/((1+E15)^((B12-E14)/365))</f>
        <v>130.06969626151408</v>
      </c>
      <c r="J17" s="98">
        <v>44940</v>
      </c>
      <c r="K17" s="99">
        <v>75.103300000000004</v>
      </c>
      <c r="M17" s="101">
        <v>45474</v>
      </c>
      <c r="N17" s="64">
        <f>'Monitor Letras'!C17</f>
        <v>0.03</v>
      </c>
      <c r="O17">
        <f>(1+N17)^(1/31)</f>
        <v>1.0009539644846686</v>
      </c>
    </row>
    <row r="18" spans="1:15" ht="14" thickBot="1" x14ac:dyDescent="0.2">
      <c r="J18" s="98">
        <v>44941</v>
      </c>
      <c r="K18" s="99">
        <v>75.219300000000004</v>
      </c>
    </row>
    <row r="19" spans="1:15" ht="14" thickBot="1" x14ac:dyDescent="0.2">
      <c r="J19" s="98">
        <v>44942</v>
      </c>
      <c r="K19" s="99">
        <v>75.340100000000007</v>
      </c>
    </row>
    <row r="20" spans="1:15" ht="14" thickBot="1" x14ac:dyDescent="0.2">
      <c r="A20" s="114" t="s">
        <v>128</v>
      </c>
      <c r="B20" s="115" t="s">
        <v>129</v>
      </c>
      <c r="D20" s="126" t="s">
        <v>56</v>
      </c>
      <c r="E20" s="13"/>
      <c r="G20" s="126" t="s">
        <v>57</v>
      </c>
      <c r="H20" s="13"/>
      <c r="J20" s="98">
        <v>44943</v>
      </c>
      <c r="K20" s="99">
        <v>75.461100000000002</v>
      </c>
    </row>
    <row r="21" spans="1:15" ht="14" thickBot="1" x14ac:dyDescent="0.2">
      <c r="A21" s="116" t="s">
        <v>115</v>
      </c>
      <c r="B21" s="102">
        <f>'Monitor Letras'!F11</f>
        <v>127.51</v>
      </c>
      <c r="D21" s="133" t="s">
        <v>116</v>
      </c>
      <c r="E21" s="127">
        <f ca="1">B29/B21-1</f>
        <v>0.423725591781001</v>
      </c>
      <c r="G21" s="133" t="s">
        <v>116</v>
      </c>
      <c r="H21" s="127">
        <f>B30/B21-1</f>
        <v>0.67012867685472233</v>
      </c>
      <c r="J21" s="98">
        <v>44944</v>
      </c>
      <c r="K21" s="99">
        <v>75.5822</v>
      </c>
    </row>
    <row r="22" spans="1:15" ht="14" thickBot="1" x14ac:dyDescent="0.2">
      <c r="A22" s="117" t="s">
        <v>55</v>
      </c>
      <c r="B22" s="107">
        <f>'Monitor Letras'!$F$6</f>
        <v>0</v>
      </c>
      <c r="D22" s="134" t="s">
        <v>59</v>
      </c>
      <c r="E22" s="128">
        <f ca="1">E21*(365/(B25-B24))</f>
        <v>2.308355835821871</v>
      </c>
      <c r="G22" s="134" t="s">
        <v>59</v>
      </c>
      <c r="H22" s="128">
        <f ca="1">H21*(365/(B25-B24))</f>
        <v>3.6507010007757259</v>
      </c>
      <c r="J22" s="98">
        <v>44945</v>
      </c>
      <c r="K22" s="99">
        <v>75.703599999999994</v>
      </c>
    </row>
    <row r="23" spans="1:15" ht="14" thickBot="1" x14ac:dyDescent="0.2">
      <c r="A23" s="118" t="s">
        <v>117</v>
      </c>
      <c r="B23" s="108">
        <v>0</v>
      </c>
      <c r="D23" s="134" t="s">
        <v>58</v>
      </c>
      <c r="E23" s="128">
        <f ca="1">(1+E21)^(365/(B25-B24))-1</f>
        <v>5.8521963275542479</v>
      </c>
      <c r="G23" s="134" t="s">
        <v>58</v>
      </c>
      <c r="H23" s="128">
        <f ca="1">(1+H21)^(365/(B25-B24))-1</f>
        <v>15.348896393758196</v>
      </c>
      <c r="J23" s="98">
        <v>44946</v>
      </c>
      <c r="K23" s="99">
        <v>75.825199999999995</v>
      </c>
    </row>
    <row r="24" spans="1:15" ht="14" thickBot="1" x14ac:dyDescent="0.2">
      <c r="A24" s="119" t="s">
        <v>118</v>
      </c>
      <c r="B24" s="109">
        <f ca="1">'Monitor Letras'!$F$4+'Monitor Letras'!$F$5</f>
        <v>45120</v>
      </c>
      <c r="D24" s="135" t="s">
        <v>60</v>
      </c>
      <c r="E24" s="129">
        <f ca="1">E22*30/365</f>
        <v>0.1897278769168661</v>
      </c>
      <c r="G24" s="135" t="s">
        <v>60</v>
      </c>
      <c r="H24" s="129">
        <f ca="1">H22*30/365</f>
        <v>0.30005761650211443</v>
      </c>
      <c r="J24" s="98">
        <v>44947</v>
      </c>
      <c r="K24" s="99">
        <v>75.946899999999999</v>
      </c>
    </row>
    <row r="25" spans="1:15" ht="14" thickBot="1" x14ac:dyDescent="0.2">
      <c r="A25" s="120" t="s">
        <v>119</v>
      </c>
      <c r="B25" s="110">
        <v>45187</v>
      </c>
      <c r="J25" s="98">
        <v>44948</v>
      </c>
      <c r="K25" s="99">
        <v>76.068899999999999</v>
      </c>
    </row>
    <row r="26" spans="1:15" ht="14" thickBot="1" x14ac:dyDescent="0.2">
      <c r="A26" s="122" t="s">
        <v>120</v>
      </c>
      <c r="B26" s="136">
        <v>59.496499999999997</v>
      </c>
      <c r="D26" s="126" t="s">
        <v>121</v>
      </c>
      <c r="E26" s="163" t="s">
        <v>56</v>
      </c>
      <c r="J26" s="98">
        <v>44949</v>
      </c>
      <c r="K26" s="99">
        <v>76.191100000000006</v>
      </c>
    </row>
    <row r="27" spans="1:15" ht="14" thickBot="1" x14ac:dyDescent="0.2">
      <c r="A27" s="121" t="s">
        <v>122</v>
      </c>
      <c r="B27" s="111">
        <f ca="1">_xlfn.XLOOKUP(B24-(14+B22),$J$4:$J$1000,$K$4:$K$1000)</f>
        <v>108.0095</v>
      </c>
      <c r="D27" s="133" t="s">
        <v>123</v>
      </c>
      <c r="E27" s="166">
        <f ca="1">'Monitor Letras'!$F$17+'Monitor Letras'!$F$18</f>
        <v>45120</v>
      </c>
      <c r="J27" s="98">
        <v>44950</v>
      </c>
      <c r="K27" s="99">
        <v>76.313400000000001</v>
      </c>
    </row>
    <row r="28" spans="1:15" ht="14" thickBot="1" x14ac:dyDescent="0.2">
      <c r="A28" s="118" t="s">
        <v>124</v>
      </c>
      <c r="B28" s="112">
        <f>_xlfn.XLOOKUP(B25-(14+B23),$J$4:$J$1000,$K$4:$K$1000)</f>
        <v>126.70262047975316</v>
      </c>
      <c r="D28" s="134" t="s">
        <v>58</v>
      </c>
      <c r="E28" s="168">
        <f>'Monitor Letras'!$F$25</f>
        <v>0.1</v>
      </c>
      <c r="J28" s="98">
        <v>44951</v>
      </c>
      <c r="K28" s="99">
        <v>76.436000000000007</v>
      </c>
    </row>
    <row r="29" spans="1:15" ht="14" thickBot="1" x14ac:dyDescent="0.2">
      <c r="A29" s="117" t="s">
        <v>125</v>
      </c>
      <c r="B29" s="113">
        <f ca="1">B27/B26*100</f>
        <v>181.53925020799545</v>
      </c>
      <c r="D29" s="134" t="s">
        <v>126</v>
      </c>
      <c r="E29" s="131">
        <f ca="1">_xlfn.XLOOKUP(E27-(14+'Monitor Letras'!$F$19),$J$4:$J$1000,$K$4:$K$1000)/B26*100</f>
        <v>181.53925020799545</v>
      </c>
      <c r="J29" s="98">
        <v>44952</v>
      </c>
      <c r="K29" s="99">
        <v>76.558700000000002</v>
      </c>
    </row>
    <row r="30" spans="1:15" ht="14" thickBot="1" x14ac:dyDescent="0.2">
      <c r="A30" s="118" t="s">
        <v>127</v>
      </c>
      <c r="B30" s="112">
        <f>B28/B26*100</f>
        <v>212.95810758574567</v>
      </c>
      <c r="D30" s="135" t="s">
        <v>14</v>
      </c>
      <c r="E30" s="132">
        <f ca="1">E29/((1+E28)^((B25-E27)/365))</f>
        <v>178.39078971152122</v>
      </c>
      <c r="J30" s="98">
        <v>44953</v>
      </c>
      <c r="K30" s="99">
        <v>76.681700000000006</v>
      </c>
    </row>
    <row r="31" spans="1:15" ht="14" thickBot="1" x14ac:dyDescent="0.2">
      <c r="J31" s="98">
        <v>44954</v>
      </c>
      <c r="K31" s="99">
        <v>76.8048</v>
      </c>
    </row>
    <row r="32" spans="1:15" ht="14" thickBot="1" x14ac:dyDescent="0.2">
      <c r="J32" s="98">
        <v>44955</v>
      </c>
      <c r="K32" s="99">
        <v>76.928100000000001</v>
      </c>
    </row>
    <row r="33" spans="1:11" ht="14" thickBot="1" x14ac:dyDescent="0.2">
      <c r="A33" s="114" t="s">
        <v>130</v>
      </c>
      <c r="B33" s="115" t="s">
        <v>131</v>
      </c>
      <c r="D33" s="126" t="s">
        <v>56</v>
      </c>
      <c r="E33" s="13"/>
      <c r="G33" s="126" t="s">
        <v>57</v>
      </c>
      <c r="H33" s="13"/>
      <c r="J33" s="98">
        <v>44956</v>
      </c>
      <c r="K33" s="99">
        <v>77.051699999999997</v>
      </c>
    </row>
    <row r="34" spans="1:11" ht="14" thickBot="1" x14ac:dyDescent="0.2">
      <c r="A34" s="116" t="s">
        <v>115</v>
      </c>
      <c r="B34" s="102">
        <f>'Monitor Letras'!F12</f>
        <v>127.51</v>
      </c>
      <c r="D34" s="133" t="s">
        <v>116</v>
      </c>
      <c r="E34" s="127">
        <f ca="1">B42/B34-1</f>
        <v>-9.7503224954611833E-2</v>
      </c>
      <c r="G34" s="133" t="s">
        <v>116</v>
      </c>
      <c r="H34" s="127">
        <f>B43/B34-1</f>
        <v>0.14055142114345243</v>
      </c>
      <c r="J34" s="98">
        <v>44957</v>
      </c>
      <c r="K34" s="99">
        <v>77.175399999999996</v>
      </c>
    </row>
    <row r="35" spans="1:11" ht="14" thickBot="1" x14ac:dyDescent="0.2">
      <c r="A35" s="117" t="s">
        <v>55</v>
      </c>
      <c r="B35" s="107">
        <f>'Monitor Letras'!$F$6</f>
        <v>0</v>
      </c>
      <c r="D35" s="134" t="s">
        <v>59</v>
      </c>
      <c r="E35" s="128">
        <f ca="1">E34*(365/(B38-B37))</f>
        <v>-0.3668935784374569</v>
      </c>
      <c r="G35" s="134" t="s">
        <v>59</v>
      </c>
      <c r="H35" s="128">
        <f ca="1">H34*(365/(B38-B37))</f>
        <v>0.52887905894185705</v>
      </c>
      <c r="J35" s="98">
        <v>44958</v>
      </c>
      <c r="K35" s="99">
        <v>77.299300000000002</v>
      </c>
    </row>
    <row r="36" spans="1:11" ht="14" thickBot="1" x14ac:dyDescent="0.2">
      <c r="A36" s="118" t="s">
        <v>117</v>
      </c>
      <c r="B36" s="108">
        <v>0</v>
      </c>
      <c r="D36" s="134" t="s">
        <v>58</v>
      </c>
      <c r="E36" s="128">
        <f ca="1">(1+E34)^(365/(B38-B37))-1</f>
        <v>-0.32025336524448378</v>
      </c>
      <c r="G36" s="134" t="s">
        <v>58</v>
      </c>
      <c r="H36" s="128">
        <f ca="1">(1+H34)^(365/(B38-B37))-1</f>
        <v>0.6402754271627924</v>
      </c>
      <c r="J36" s="98">
        <v>44959</v>
      </c>
      <c r="K36" s="99">
        <v>77.423500000000004</v>
      </c>
    </row>
    <row r="37" spans="1:11" ht="14" thickBot="1" x14ac:dyDescent="0.2">
      <c r="A37" s="119" t="s">
        <v>118</v>
      </c>
      <c r="B37" s="109">
        <f ca="1">'Monitor Letras'!$F$4+'Monitor Letras'!$F$5</f>
        <v>45120</v>
      </c>
      <c r="D37" s="135" t="s">
        <v>60</v>
      </c>
      <c r="E37" s="129">
        <f ca="1">E35*30/365</f>
        <v>-3.0155636583900566E-2</v>
      </c>
      <c r="G37" s="135" t="s">
        <v>60</v>
      </c>
      <c r="H37" s="129">
        <f ca="1">H35*30/365</f>
        <v>4.3469511693851264E-2</v>
      </c>
      <c r="J37" s="98">
        <v>44960</v>
      </c>
      <c r="K37" s="99">
        <v>77.547799999999995</v>
      </c>
    </row>
    <row r="38" spans="1:11" ht="14" thickBot="1" x14ac:dyDescent="0.2">
      <c r="A38" s="120" t="s">
        <v>119</v>
      </c>
      <c r="B38" s="110">
        <v>45217</v>
      </c>
      <c r="J38" s="98">
        <v>44961</v>
      </c>
      <c r="K38" s="99">
        <v>77.672300000000007</v>
      </c>
    </row>
    <row r="39" spans="1:11" ht="14" thickBot="1" x14ac:dyDescent="0.2">
      <c r="A39" s="122" t="s">
        <v>120</v>
      </c>
      <c r="B39" s="136">
        <v>93.858163279462431</v>
      </c>
      <c r="D39" s="126" t="s">
        <v>121</v>
      </c>
      <c r="E39" s="163" t="s">
        <v>56</v>
      </c>
      <c r="J39" s="98">
        <v>44962</v>
      </c>
      <c r="K39" s="99">
        <v>77.7971</v>
      </c>
    </row>
    <row r="40" spans="1:11" ht="14" thickBot="1" x14ac:dyDescent="0.2">
      <c r="A40" s="121" t="s">
        <v>122</v>
      </c>
      <c r="B40" s="111">
        <f ca="1">_xlfn.XLOOKUP(B37-(14+B35),$J$4:$J$1000,$K$4:$K$1000)</f>
        <v>108.0095</v>
      </c>
      <c r="D40" s="133" t="s">
        <v>123</v>
      </c>
      <c r="E40" s="166">
        <f ca="1">'Monitor Letras'!$F$17+'Monitor Letras'!$F$18</f>
        <v>45120</v>
      </c>
      <c r="J40" s="98">
        <v>44963</v>
      </c>
      <c r="K40" s="99">
        <v>77.921999999999997</v>
      </c>
    </row>
    <row r="41" spans="1:11" ht="14" thickBot="1" x14ac:dyDescent="0.2">
      <c r="A41" s="118" t="s">
        <v>124</v>
      </c>
      <c r="B41" s="112">
        <f>_xlfn.XLOOKUP(B38-(14+B36),$J$4:$J$1000,$K$4:$K$1000)</f>
        <v>136.4995334368904</v>
      </c>
      <c r="D41" s="134" t="s">
        <v>58</v>
      </c>
      <c r="E41" s="168">
        <f>'Monitor Letras'!$F$25</f>
        <v>0.1</v>
      </c>
      <c r="J41" s="98">
        <v>44964</v>
      </c>
      <c r="K41" s="99">
        <v>78.0471</v>
      </c>
    </row>
    <row r="42" spans="1:11" ht="14" thickBot="1" x14ac:dyDescent="0.2">
      <c r="A42" s="117" t="s">
        <v>125</v>
      </c>
      <c r="B42" s="113">
        <f ca="1">B40/B39*100</f>
        <v>115.07736378603745</v>
      </c>
      <c r="D42" s="134" t="s">
        <v>126</v>
      </c>
      <c r="E42" s="131">
        <f ca="1">_xlfn.XLOOKUP(E40-(14+'Monitor Letras'!$F$19),$J$4:$J$1000,$K$4:$K$1000)/B39*100</f>
        <v>115.07736378603745</v>
      </c>
      <c r="J42" s="98">
        <v>44965</v>
      </c>
      <c r="K42" s="99">
        <v>78.172499999999999</v>
      </c>
    </row>
    <row r="43" spans="1:11" ht="14" thickBot="1" x14ac:dyDescent="0.2">
      <c r="A43" s="118" t="s">
        <v>127</v>
      </c>
      <c r="B43" s="112">
        <f>B41/B39*100</f>
        <v>145.43171171000162</v>
      </c>
      <c r="D43" s="135" t="s">
        <v>14</v>
      </c>
      <c r="E43" s="132">
        <f ca="1">E42/((1+E41)^((B38-E40)/365))</f>
        <v>112.1991731990847</v>
      </c>
      <c r="J43" s="98">
        <v>44966</v>
      </c>
      <c r="K43" s="99">
        <v>78.298000000000002</v>
      </c>
    </row>
    <row r="44" spans="1:11" ht="14" thickBot="1" x14ac:dyDescent="0.2">
      <c r="J44" s="98">
        <v>44967</v>
      </c>
      <c r="K44" s="99">
        <v>78.423699999999997</v>
      </c>
    </row>
    <row r="45" spans="1:11" ht="14" thickBot="1" x14ac:dyDescent="0.2">
      <c r="J45" s="98">
        <v>44968</v>
      </c>
      <c r="K45" s="99">
        <v>78.549700000000001</v>
      </c>
    </row>
    <row r="46" spans="1:11" ht="14" thickBot="1" x14ac:dyDescent="0.2">
      <c r="A46" s="114" t="s">
        <v>132</v>
      </c>
      <c r="B46" s="115" t="s">
        <v>133</v>
      </c>
      <c r="D46" s="126" t="s">
        <v>56</v>
      </c>
      <c r="E46" s="13"/>
      <c r="G46" s="126" t="s">
        <v>57</v>
      </c>
      <c r="H46" s="13"/>
      <c r="J46" s="98">
        <v>44969</v>
      </c>
      <c r="K46" s="99">
        <v>78.675799999999995</v>
      </c>
    </row>
    <row r="47" spans="1:11" ht="14" thickBot="1" x14ac:dyDescent="0.2">
      <c r="A47" s="116" t="s">
        <v>115</v>
      </c>
      <c r="B47" s="102">
        <f>'Monitor Letras'!F13</f>
        <v>127.51</v>
      </c>
      <c r="D47" s="133" t="s">
        <v>116</v>
      </c>
      <c r="E47" s="127">
        <f ca="1">B55/B47-1</f>
        <v>-0.11954538378450907</v>
      </c>
      <c r="G47" s="133" t="s">
        <v>116</v>
      </c>
      <c r="H47" s="127">
        <f>B56/B47-1</f>
        <v>0.22511660633326058</v>
      </c>
      <c r="J47" s="98">
        <v>44970</v>
      </c>
      <c r="K47" s="99">
        <v>78.802199999999999</v>
      </c>
    </row>
    <row r="48" spans="1:11" ht="14" thickBot="1" x14ac:dyDescent="0.2">
      <c r="A48" s="117" t="s">
        <v>55</v>
      </c>
      <c r="B48" s="107">
        <f>'Monitor Letras'!$F$6</f>
        <v>0</v>
      </c>
      <c r="D48" s="134" t="s">
        <v>59</v>
      </c>
      <c r="E48" s="128">
        <f ca="1">E47*(365/(B51-B50))</f>
        <v>-0.32807567730335196</v>
      </c>
      <c r="G48" s="134" t="s">
        <v>59</v>
      </c>
      <c r="H48" s="128">
        <f ca="1">H47*(365/(B51-B50))</f>
        <v>0.61780121286947454</v>
      </c>
      <c r="J48" s="98">
        <v>44971</v>
      </c>
      <c r="K48" s="99">
        <v>78.928700000000006</v>
      </c>
    </row>
    <row r="49" spans="1:11" ht="14" thickBot="1" x14ac:dyDescent="0.2">
      <c r="A49" s="118" t="s">
        <v>117</v>
      </c>
      <c r="B49" s="108">
        <v>1</v>
      </c>
      <c r="D49" s="134" t="s">
        <v>58</v>
      </c>
      <c r="E49" s="128">
        <f ca="1">(1+E47)^(365/(B51-B50))-1</f>
        <v>-0.29489144577631921</v>
      </c>
      <c r="G49" s="134" t="s">
        <v>58</v>
      </c>
      <c r="H49" s="128">
        <f ca="1">(1+H47)^(365/(B51-B50))-1</f>
        <v>0.74578469729926744</v>
      </c>
      <c r="J49" s="98">
        <v>44972</v>
      </c>
      <c r="K49" s="99">
        <v>79.055499999999995</v>
      </c>
    </row>
    <row r="50" spans="1:11" ht="14" thickBot="1" x14ac:dyDescent="0.2">
      <c r="A50" s="119" t="s">
        <v>118</v>
      </c>
      <c r="B50" s="109">
        <f ca="1">'Monitor Letras'!$F$4+'Monitor Letras'!$F$5</f>
        <v>45120</v>
      </c>
      <c r="D50" s="135" t="s">
        <v>60</v>
      </c>
      <c r="E50" s="129">
        <f ca="1">E48*30/365</f>
        <v>-2.6965124161919339E-2</v>
      </c>
      <c r="G50" s="135" t="s">
        <v>60</v>
      </c>
      <c r="H50" s="129">
        <f ca="1">H48*30/365</f>
        <v>5.0778181879682839E-2</v>
      </c>
      <c r="J50" s="98">
        <v>44973</v>
      </c>
      <c r="K50" s="99">
        <v>79.220100000000002</v>
      </c>
    </row>
    <row r="51" spans="1:11" ht="14" thickBot="1" x14ac:dyDescent="0.2">
      <c r="A51" s="120" t="s">
        <v>119</v>
      </c>
      <c r="B51" s="110">
        <v>45253</v>
      </c>
      <c r="J51" s="98">
        <v>44974</v>
      </c>
      <c r="K51" s="99">
        <v>79.385199999999998</v>
      </c>
    </row>
    <row r="52" spans="1:11" ht="14" thickBot="1" x14ac:dyDescent="0.2">
      <c r="A52" s="122" t="s">
        <v>120</v>
      </c>
      <c r="B52" s="136">
        <v>96.207899999999995</v>
      </c>
      <c r="D52" s="126" t="s">
        <v>121</v>
      </c>
      <c r="E52" s="163" t="s">
        <v>56</v>
      </c>
      <c r="J52" s="98">
        <v>44975</v>
      </c>
      <c r="K52" s="99">
        <v>79.550600000000003</v>
      </c>
    </row>
    <row r="53" spans="1:11" ht="14" thickBot="1" x14ac:dyDescent="0.2">
      <c r="A53" s="121" t="s">
        <v>122</v>
      </c>
      <c r="B53" s="111">
        <f ca="1">_xlfn.XLOOKUP(B50-(14+B48),$J$4:$J$1000,$K$4:$K$1000)</f>
        <v>108.0095</v>
      </c>
      <c r="D53" s="133" t="s">
        <v>123</v>
      </c>
      <c r="E53" s="166">
        <f ca="1">'Monitor Letras'!$F$17+'Monitor Letras'!$F$18</f>
        <v>45120</v>
      </c>
      <c r="J53" s="98">
        <v>44976</v>
      </c>
      <c r="K53" s="99">
        <v>79.716300000000004</v>
      </c>
    </row>
    <row r="54" spans="1:11" ht="14" thickBot="1" x14ac:dyDescent="0.2">
      <c r="A54" s="118" t="s">
        <v>124</v>
      </c>
      <c r="B54" s="112">
        <f>_xlfn.XLOOKUP(B51-(14+B49),$J$4:$J$1000,$K$4:$K$1000)</f>
        <v>150.29080392641839</v>
      </c>
      <c r="D54" s="134" t="s">
        <v>58</v>
      </c>
      <c r="E54" s="168">
        <f>'Monitor Letras'!$F$25</f>
        <v>0.1</v>
      </c>
      <c r="J54" s="98">
        <v>44977</v>
      </c>
      <c r="K54" s="99">
        <v>79.882300000000001</v>
      </c>
    </row>
    <row r="55" spans="1:11" ht="14" thickBot="1" x14ac:dyDescent="0.2">
      <c r="A55" s="117" t="s">
        <v>125</v>
      </c>
      <c r="B55" s="113">
        <f ca="1">B53/B52*100</f>
        <v>112.26676811363726</v>
      </c>
      <c r="D55" s="134" t="s">
        <v>126</v>
      </c>
      <c r="E55" s="131">
        <f ca="1">_xlfn.XLOOKUP(E53-(14+'Monitor Letras'!$F$19),$J$4:$J$1000,$K$4:$K$1000)/B52*100</f>
        <v>112.26676811363726</v>
      </c>
      <c r="J55" s="98">
        <v>44978</v>
      </c>
      <c r="K55" s="99">
        <v>80.048699999999997</v>
      </c>
    </row>
    <row r="56" spans="1:11" ht="14" thickBot="1" x14ac:dyDescent="0.2">
      <c r="A56" s="118" t="s">
        <v>127</v>
      </c>
      <c r="B56" s="112">
        <f>B54/B52*100</f>
        <v>156.21461847355405</v>
      </c>
      <c r="D56" s="135" t="s">
        <v>14</v>
      </c>
      <c r="E56" s="132">
        <f ca="1">E55/((1+E54)^((B51-E53)/365))</f>
        <v>108.43473101932491</v>
      </c>
      <c r="J56" s="98">
        <v>44979</v>
      </c>
      <c r="K56" s="99">
        <v>80.215500000000006</v>
      </c>
    </row>
    <row r="57" spans="1:11" ht="14" thickBot="1" x14ac:dyDescent="0.2">
      <c r="J57" s="98">
        <v>44980</v>
      </c>
      <c r="K57" s="99">
        <v>80.382599999999996</v>
      </c>
    </row>
    <row r="58" spans="1:11" ht="14" thickBot="1" x14ac:dyDescent="0.2">
      <c r="J58" s="98">
        <v>44981</v>
      </c>
      <c r="K58" s="99">
        <v>80.5501</v>
      </c>
    </row>
    <row r="59" spans="1:11" ht="14" thickBot="1" x14ac:dyDescent="0.2">
      <c r="J59" s="98">
        <v>44982</v>
      </c>
      <c r="K59" s="99">
        <v>80.7179</v>
      </c>
    </row>
    <row r="60" spans="1:11" ht="14" thickBot="1" x14ac:dyDescent="0.2">
      <c r="J60" s="98">
        <v>44983</v>
      </c>
      <c r="K60" s="99">
        <v>80.885999999999996</v>
      </c>
    </row>
    <row r="61" spans="1:11" ht="14" thickBot="1" x14ac:dyDescent="0.2">
      <c r="J61" s="98">
        <v>44984</v>
      </c>
      <c r="K61" s="99">
        <v>81.054500000000004</v>
      </c>
    </row>
    <row r="62" spans="1:11" ht="14" thickBot="1" x14ac:dyDescent="0.2">
      <c r="J62" s="98">
        <v>44985</v>
      </c>
      <c r="K62" s="99">
        <v>81.223399999999998</v>
      </c>
    </row>
    <row r="63" spans="1:11" ht="14" thickBot="1" x14ac:dyDescent="0.2">
      <c r="J63" s="98">
        <v>44986</v>
      </c>
      <c r="K63" s="99">
        <v>81.392600000000002</v>
      </c>
    </row>
    <row r="64" spans="1:11" ht="14" thickBot="1" x14ac:dyDescent="0.2">
      <c r="J64" s="98">
        <v>44987</v>
      </c>
      <c r="K64" s="99">
        <v>81.562100000000001</v>
      </c>
    </row>
    <row r="65" spans="10:11" ht="14" thickBot="1" x14ac:dyDescent="0.2">
      <c r="J65" s="98">
        <v>44988</v>
      </c>
      <c r="K65" s="99">
        <v>81.731999999999999</v>
      </c>
    </row>
    <row r="66" spans="10:11" ht="14" thickBot="1" x14ac:dyDescent="0.2">
      <c r="J66" s="98">
        <v>44989</v>
      </c>
      <c r="K66" s="99">
        <v>81.902299999999997</v>
      </c>
    </row>
    <row r="67" spans="10:11" ht="14" thickBot="1" x14ac:dyDescent="0.2">
      <c r="J67" s="98">
        <v>44990</v>
      </c>
      <c r="K67" s="99">
        <v>82.072900000000004</v>
      </c>
    </row>
    <row r="68" spans="10:11" ht="14" thickBot="1" x14ac:dyDescent="0.2">
      <c r="J68" s="98">
        <v>44991</v>
      </c>
      <c r="K68" s="99">
        <v>82.243899999999996</v>
      </c>
    </row>
    <row r="69" spans="10:11" ht="14" thickBot="1" x14ac:dyDescent="0.2">
      <c r="J69" s="98">
        <v>44992</v>
      </c>
      <c r="K69" s="99">
        <v>82.415199999999999</v>
      </c>
    </row>
    <row r="70" spans="10:11" ht="14" thickBot="1" x14ac:dyDescent="0.2">
      <c r="J70" s="98">
        <v>44993</v>
      </c>
      <c r="K70" s="99">
        <v>82.5869</v>
      </c>
    </row>
    <row r="71" spans="10:11" ht="14" thickBot="1" x14ac:dyDescent="0.2">
      <c r="J71" s="98">
        <v>44994</v>
      </c>
      <c r="K71" s="99">
        <v>82.759</v>
      </c>
    </row>
    <row r="72" spans="10:11" ht="14" thickBot="1" x14ac:dyDescent="0.2">
      <c r="J72" s="98">
        <v>44995</v>
      </c>
      <c r="K72" s="99">
        <v>82.931399999999996</v>
      </c>
    </row>
    <row r="73" spans="10:11" ht="14" thickBot="1" x14ac:dyDescent="0.2">
      <c r="J73" s="98">
        <v>44996</v>
      </c>
      <c r="K73" s="99">
        <v>83.104100000000003</v>
      </c>
    </row>
    <row r="74" spans="10:11" ht="14" thickBot="1" x14ac:dyDescent="0.2">
      <c r="J74" s="98">
        <v>44997</v>
      </c>
      <c r="K74" s="99">
        <v>83.277199999999993</v>
      </c>
    </row>
    <row r="75" spans="10:11" ht="14" thickBot="1" x14ac:dyDescent="0.2">
      <c r="J75" s="98">
        <v>44998</v>
      </c>
      <c r="K75" s="99">
        <v>83.450699999999998</v>
      </c>
    </row>
    <row r="76" spans="10:11" ht="14" thickBot="1" x14ac:dyDescent="0.2">
      <c r="J76" s="98">
        <v>44999</v>
      </c>
      <c r="K76" s="99">
        <v>83.624600000000001</v>
      </c>
    </row>
    <row r="77" spans="10:11" ht="14" thickBot="1" x14ac:dyDescent="0.2">
      <c r="J77" s="98">
        <v>45000</v>
      </c>
      <c r="K77" s="99">
        <v>83.7988</v>
      </c>
    </row>
    <row r="78" spans="10:11" ht="14" thickBot="1" x14ac:dyDescent="0.2">
      <c r="J78" s="98">
        <v>45001</v>
      </c>
      <c r="K78" s="99">
        <v>83.971699999999998</v>
      </c>
    </row>
    <row r="79" spans="10:11" ht="14" thickBot="1" x14ac:dyDescent="0.2">
      <c r="J79" s="98">
        <v>45002</v>
      </c>
      <c r="K79" s="99">
        <v>84.144999999999996</v>
      </c>
    </row>
    <row r="80" spans="10:11" ht="14" thickBot="1" x14ac:dyDescent="0.2">
      <c r="J80" s="98">
        <v>45003</v>
      </c>
      <c r="K80" s="99">
        <v>84.318700000000007</v>
      </c>
    </row>
    <row r="81" spans="10:11" ht="14" thickBot="1" x14ac:dyDescent="0.2">
      <c r="J81" s="98">
        <v>45004</v>
      </c>
      <c r="K81" s="99">
        <v>84.492699999999999</v>
      </c>
    </row>
    <row r="82" spans="10:11" ht="14" thickBot="1" x14ac:dyDescent="0.2">
      <c r="J82" s="98">
        <v>45005</v>
      </c>
      <c r="K82" s="99">
        <v>84.667100000000005</v>
      </c>
    </row>
    <row r="83" spans="10:11" ht="14" thickBot="1" x14ac:dyDescent="0.2">
      <c r="J83" s="98">
        <v>45006</v>
      </c>
      <c r="K83" s="99">
        <v>84.841800000000006</v>
      </c>
    </row>
    <row r="84" spans="10:11" ht="14" thickBot="1" x14ac:dyDescent="0.2">
      <c r="J84" s="98">
        <v>45007</v>
      </c>
      <c r="K84" s="99">
        <v>85.016900000000007</v>
      </c>
    </row>
    <row r="85" spans="10:11" ht="14" thickBot="1" x14ac:dyDescent="0.2">
      <c r="J85" s="98">
        <v>45008</v>
      </c>
      <c r="K85" s="99">
        <v>85.192400000000006</v>
      </c>
    </row>
    <row r="86" spans="10:11" ht="14" thickBot="1" x14ac:dyDescent="0.2">
      <c r="J86" s="98">
        <v>45009</v>
      </c>
      <c r="K86" s="99">
        <v>85.368200000000002</v>
      </c>
    </row>
    <row r="87" spans="10:11" ht="14" thickBot="1" x14ac:dyDescent="0.2">
      <c r="J87" s="98">
        <v>45010</v>
      </c>
      <c r="K87" s="99">
        <v>85.544399999999996</v>
      </c>
    </row>
    <row r="88" spans="10:11" ht="14" thickBot="1" x14ac:dyDescent="0.2">
      <c r="J88" s="98">
        <v>45011</v>
      </c>
      <c r="K88" s="99">
        <v>85.721000000000004</v>
      </c>
    </row>
    <row r="89" spans="10:11" ht="14" thickBot="1" x14ac:dyDescent="0.2">
      <c r="J89" s="98">
        <v>45012</v>
      </c>
      <c r="K89" s="99">
        <v>85.897900000000007</v>
      </c>
    </row>
    <row r="90" spans="10:11" ht="14" thickBot="1" x14ac:dyDescent="0.2">
      <c r="J90" s="98">
        <v>45013</v>
      </c>
      <c r="K90" s="99">
        <v>86.075199999999995</v>
      </c>
    </row>
    <row r="91" spans="10:11" ht="14" thickBot="1" x14ac:dyDescent="0.2">
      <c r="J91" s="98">
        <v>45014</v>
      </c>
      <c r="K91" s="99">
        <v>86.252799999999993</v>
      </c>
    </row>
    <row r="92" spans="10:11" ht="14" thickBot="1" x14ac:dyDescent="0.2">
      <c r="J92" s="98">
        <v>45015</v>
      </c>
      <c r="K92" s="99">
        <v>86.430800000000005</v>
      </c>
    </row>
    <row r="93" spans="10:11" ht="14" thickBot="1" x14ac:dyDescent="0.2">
      <c r="J93" s="98">
        <v>45016</v>
      </c>
      <c r="K93" s="99">
        <v>86.609200000000001</v>
      </c>
    </row>
    <row r="94" spans="10:11" ht="14" thickBot="1" x14ac:dyDescent="0.2">
      <c r="J94" s="98">
        <v>45017</v>
      </c>
      <c r="K94" s="99">
        <v>86.787899999999993</v>
      </c>
    </row>
    <row r="95" spans="10:11" ht="14" thickBot="1" x14ac:dyDescent="0.2">
      <c r="J95" s="98">
        <v>45018</v>
      </c>
      <c r="K95" s="99">
        <v>86.967100000000002</v>
      </c>
    </row>
    <row r="96" spans="10:11" ht="14" thickBot="1" x14ac:dyDescent="0.2">
      <c r="J96" s="98">
        <v>45019</v>
      </c>
      <c r="K96" s="99">
        <v>87.146500000000003</v>
      </c>
    </row>
    <row r="97" spans="10:11" ht="14" thickBot="1" x14ac:dyDescent="0.2">
      <c r="J97" s="98">
        <v>45020</v>
      </c>
      <c r="K97" s="99">
        <v>87.326400000000007</v>
      </c>
    </row>
    <row r="98" spans="10:11" ht="14" thickBot="1" x14ac:dyDescent="0.2">
      <c r="J98" s="98">
        <v>45021</v>
      </c>
      <c r="K98" s="99">
        <v>87.506600000000006</v>
      </c>
    </row>
    <row r="99" spans="10:11" ht="14" thickBot="1" x14ac:dyDescent="0.2">
      <c r="J99" s="98">
        <v>45022</v>
      </c>
      <c r="K99" s="99">
        <v>87.687200000000004</v>
      </c>
    </row>
    <row r="100" spans="10:11" ht="14" thickBot="1" x14ac:dyDescent="0.2">
      <c r="J100" s="98">
        <v>45023</v>
      </c>
      <c r="K100" s="99">
        <v>87.868200000000002</v>
      </c>
    </row>
    <row r="101" spans="10:11" ht="14" thickBot="1" x14ac:dyDescent="0.2">
      <c r="J101" s="98">
        <v>45024</v>
      </c>
      <c r="K101" s="99">
        <v>88.049599999999998</v>
      </c>
    </row>
    <row r="102" spans="10:11" ht="14" thickBot="1" x14ac:dyDescent="0.2">
      <c r="J102" s="98">
        <v>45025</v>
      </c>
      <c r="K102" s="99">
        <v>88.231300000000005</v>
      </c>
    </row>
    <row r="103" spans="10:11" ht="14" thickBot="1" x14ac:dyDescent="0.2">
      <c r="J103" s="98">
        <v>45026</v>
      </c>
      <c r="K103" s="99">
        <v>88.413399999999996</v>
      </c>
    </row>
    <row r="104" spans="10:11" ht="14" thickBot="1" x14ac:dyDescent="0.2">
      <c r="J104" s="98">
        <v>45027</v>
      </c>
      <c r="K104" s="99">
        <v>88.595799999999997</v>
      </c>
    </row>
    <row r="105" spans="10:11" ht="14" thickBot="1" x14ac:dyDescent="0.2">
      <c r="J105" s="98">
        <v>45028</v>
      </c>
      <c r="K105" s="99">
        <v>88.778700000000001</v>
      </c>
    </row>
    <row r="106" spans="10:11" ht="14" thickBot="1" x14ac:dyDescent="0.2">
      <c r="J106" s="98">
        <v>45029</v>
      </c>
      <c r="K106" s="99">
        <v>88.9619</v>
      </c>
    </row>
    <row r="107" spans="10:11" ht="14" thickBot="1" x14ac:dyDescent="0.2">
      <c r="J107" s="98">
        <v>45030</v>
      </c>
      <c r="K107" s="99">
        <v>89.145499999999998</v>
      </c>
    </row>
    <row r="108" spans="10:11" ht="14" thickBot="1" x14ac:dyDescent="0.2">
      <c r="J108" s="98">
        <v>45031</v>
      </c>
      <c r="K108" s="99">
        <v>89.329499999999996</v>
      </c>
    </row>
    <row r="109" spans="10:11" ht="14" thickBot="1" x14ac:dyDescent="0.2">
      <c r="J109" s="98">
        <v>45032</v>
      </c>
      <c r="K109" s="99">
        <v>89.550700000000006</v>
      </c>
    </row>
    <row r="110" spans="10:11" ht="14" thickBot="1" x14ac:dyDescent="0.2">
      <c r="J110" s="98">
        <v>45033</v>
      </c>
      <c r="K110" s="99">
        <v>89.772400000000005</v>
      </c>
    </row>
    <row r="111" spans="10:11" ht="14" thickBot="1" x14ac:dyDescent="0.2">
      <c r="J111" s="98">
        <v>45034</v>
      </c>
      <c r="K111" s="99">
        <v>89.994600000000005</v>
      </c>
    </row>
    <row r="112" spans="10:11" ht="14" thickBot="1" x14ac:dyDescent="0.2">
      <c r="J112" s="98">
        <v>45035</v>
      </c>
      <c r="K112" s="99">
        <v>90.217399999999998</v>
      </c>
    </row>
    <row r="113" spans="10:11" ht="14" thickBot="1" x14ac:dyDescent="0.2">
      <c r="J113" s="98">
        <v>45036</v>
      </c>
      <c r="K113" s="99">
        <v>90.440799999999996</v>
      </c>
    </row>
    <row r="114" spans="10:11" ht="14" thickBot="1" x14ac:dyDescent="0.2">
      <c r="J114" s="98">
        <v>45037</v>
      </c>
      <c r="K114" s="99">
        <v>90.664699999999996</v>
      </c>
    </row>
    <row r="115" spans="10:11" ht="14" thickBot="1" x14ac:dyDescent="0.2">
      <c r="J115" s="98">
        <v>45038</v>
      </c>
      <c r="K115" s="99">
        <v>90.889099999999999</v>
      </c>
    </row>
    <row r="116" spans="10:11" ht="14" thickBot="1" x14ac:dyDescent="0.2">
      <c r="J116" s="98">
        <v>45039</v>
      </c>
      <c r="K116" s="99">
        <v>91.114099999999993</v>
      </c>
    </row>
    <row r="117" spans="10:11" ht="14" thickBot="1" x14ac:dyDescent="0.2">
      <c r="J117" s="98">
        <v>45040</v>
      </c>
      <c r="K117" s="99">
        <v>91.339699999999993</v>
      </c>
    </row>
    <row r="118" spans="10:11" ht="14" thickBot="1" x14ac:dyDescent="0.2">
      <c r="J118" s="98">
        <v>45041</v>
      </c>
      <c r="K118" s="99">
        <v>91.565799999999996</v>
      </c>
    </row>
    <row r="119" spans="10:11" ht="14" thickBot="1" x14ac:dyDescent="0.2">
      <c r="J119" s="98">
        <v>45042</v>
      </c>
      <c r="K119" s="99">
        <v>91.792500000000004</v>
      </c>
    </row>
    <row r="120" spans="10:11" ht="14" thickBot="1" x14ac:dyDescent="0.2">
      <c r="J120" s="98">
        <v>45043</v>
      </c>
      <c r="K120" s="99">
        <v>92.019800000000004</v>
      </c>
    </row>
    <row r="121" spans="10:11" ht="14" thickBot="1" x14ac:dyDescent="0.2">
      <c r="J121" s="98">
        <v>45044</v>
      </c>
      <c r="K121" s="99">
        <v>92.247600000000006</v>
      </c>
    </row>
    <row r="122" spans="10:11" ht="14" thickBot="1" x14ac:dyDescent="0.2">
      <c r="J122" s="98">
        <v>45045</v>
      </c>
      <c r="K122" s="99">
        <v>92.475999999999999</v>
      </c>
    </row>
    <row r="123" spans="10:11" ht="14" thickBot="1" x14ac:dyDescent="0.2">
      <c r="J123" s="98">
        <v>45046</v>
      </c>
      <c r="K123" s="99">
        <v>92.704899999999995</v>
      </c>
    </row>
    <row r="124" spans="10:11" ht="14" thickBot="1" x14ac:dyDescent="0.2">
      <c r="J124" s="98">
        <v>45047</v>
      </c>
      <c r="K124" s="99">
        <v>92.934399999999997</v>
      </c>
    </row>
    <row r="125" spans="10:11" ht="14" thickBot="1" x14ac:dyDescent="0.2">
      <c r="J125" s="98">
        <v>45048</v>
      </c>
      <c r="K125" s="99">
        <v>93.164500000000004</v>
      </c>
    </row>
    <row r="126" spans="10:11" ht="14" thickBot="1" x14ac:dyDescent="0.2">
      <c r="J126" s="98">
        <v>45049</v>
      </c>
      <c r="K126" s="99">
        <v>93.395200000000003</v>
      </c>
    </row>
    <row r="127" spans="10:11" ht="14" thickBot="1" x14ac:dyDescent="0.2">
      <c r="J127" s="98">
        <v>45050</v>
      </c>
      <c r="K127" s="99">
        <v>93.626400000000004</v>
      </c>
    </row>
    <row r="128" spans="10:11" ht="14" thickBot="1" x14ac:dyDescent="0.2">
      <c r="J128" s="98">
        <v>45051</v>
      </c>
      <c r="K128" s="99">
        <v>93.858199999999997</v>
      </c>
    </row>
    <row r="129" spans="10:11" ht="14" thickBot="1" x14ac:dyDescent="0.2">
      <c r="J129" s="98">
        <v>45052</v>
      </c>
      <c r="K129" s="99">
        <v>94.090500000000006</v>
      </c>
    </row>
    <row r="130" spans="10:11" ht="14" thickBot="1" x14ac:dyDescent="0.2">
      <c r="J130" s="98">
        <v>45053</v>
      </c>
      <c r="K130" s="99">
        <v>94.323499999999996</v>
      </c>
    </row>
    <row r="131" spans="10:11" ht="14" thickBot="1" x14ac:dyDescent="0.2">
      <c r="J131" s="98">
        <v>45054</v>
      </c>
      <c r="K131" s="99">
        <v>94.557000000000002</v>
      </c>
    </row>
    <row r="132" spans="10:11" ht="14" thickBot="1" x14ac:dyDescent="0.2">
      <c r="J132" s="98">
        <v>45055</v>
      </c>
      <c r="K132" s="99">
        <v>94.7911</v>
      </c>
    </row>
    <row r="133" spans="10:11" ht="14" thickBot="1" x14ac:dyDescent="0.2">
      <c r="J133" s="98">
        <v>45056</v>
      </c>
      <c r="K133" s="99">
        <v>95.025800000000004</v>
      </c>
    </row>
    <row r="134" spans="10:11" ht="14" thickBot="1" x14ac:dyDescent="0.2">
      <c r="J134" s="98">
        <v>45057</v>
      </c>
      <c r="K134" s="99">
        <v>95.260999999999996</v>
      </c>
    </row>
    <row r="135" spans="10:11" ht="14" thickBot="1" x14ac:dyDescent="0.2">
      <c r="J135" s="98">
        <v>45058</v>
      </c>
      <c r="K135" s="99">
        <v>95.496899999999997</v>
      </c>
    </row>
    <row r="136" spans="10:11" ht="14" thickBot="1" x14ac:dyDescent="0.2">
      <c r="J136" s="98">
        <v>45059</v>
      </c>
      <c r="K136" s="99">
        <v>95.7333</v>
      </c>
    </row>
    <row r="137" spans="10:11" ht="14" thickBot="1" x14ac:dyDescent="0.2">
      <c r="J137" s="98">
        <v>45060</v>
      </c>
      <c r="K137" s="99">
        <v>95.970299999999995</v>
      </c>
    </row>
    <row r="138" spans="10:11" ht="14" thickBot="1" x14ac:dyDescent="0.2">
      <c r="J138" s="98">
        <v>45061</v>
      </c>
      <c r="K138" s="99">
        <v>96.207899999999995</v>
      </c>
    </row>
    <row r="139" spans="10:11" ht="14" thickBot="1" x14ac:dyDescent="0.2">
      <c r="J139" s="98">
        <v>45062</v>
      </c>
      <c r="K139" s="99">
        <v>96.458500000000001</v>
      </c>
    </row>
    <row r="140" spans="10:11" ht="14" thickBot="1" x14ac:dyDescent="0.2">
      <c r="J140" s="98">
        <v>45063</v>
      </c>
      <c r="K140" s="99">
        <v>96.709800000000001</v>
      </c>
    </row>
    <row r="141" spans="10:11" ht="14" thickBot="1" x14ac:dyDescent="0.2">
      <c r="J141" s="98">
        <v>45064</v>
      </c>
      <c r="K141" s="99">
        <v>96.961799999999997</v>
      </c>
    </row>
    <row r="142" spans="10:11" ht="14" thickBot="1" x14ac:dyDescent="0.2">
      <c r="J142" s="98">
        <v>45065</v>
      </c>
      <c r="K142" s="99">
        <v>97.214399999999998</v>
      </c>
    </row>
    <row r="143" spans="10:11" ht="14" thickBot="1" x14ac:dyDescent="0.2">
      <c r="J143" s="98">
        <v>45066</v>
      </c>
      <c r="K143" s="99">
        <v>97.467699999999994</v>
      </c>
    </row>
    <row r="144" spans="10:11" ht="14" thickBot="1" x14ac:dyDescent="0.2">
      <c r="J144" s="98">
        <v>45067</v>
      </c>
      <c r="K144" s="99">
        <v>97.721599999999995</v>
      </c>
    </row>
    <row r="145" spans="10:11" ht="14" thickBot="1" x14ac:dyDescent="0.2">
      <c r="J145" s="98">
        <v>45068</v>
      </c>
      <c r="K145" s="99">
        <v>97.976200000000006</v>
      </c>
    </row>
    <row r="146" spans="10:11" ht="14" thickBot="1" x14ac:dyDescent="0.2">
      <c r="J146" s="98">
        <v>45069</v>
      </c>
      <c r="K146" s="99">
        <v>98.231399999999994</v>
      </c>
    </row>
    <row r="147" spans="10:11" ht="14" thickBot="1" x14ac:dyDescent="0.2">
      <c r="J147" s="98">
        <v>45070</v>
      </c>
      <c r="K147" s="99">
        <v>98.487300000000005</v>
      </c>
    </row>
    <row r="148" spans="10:11" ht="14" thickBot="1" x14ac:dyDescent="0.2">
      <c r="J148" s="98">
        <v>45071</v>
      </c>
      <c r="K148" s="99">
        <v>98.743899999999996</v>
      </c>
    </row>
    <row r="149" spans="10:11" ht="14" thickBot="1" x14ac:dyDescent="0.2">
      <c r="J149" s="98">
        <v>45072</v>
      </c>
      <c r="K149" s="99">
        <v>99.001199999999997</v>
      </c>
    </row>
    <row r="150" spans="10:11" ht="14" thickBot="1" x14ac:dyDescent="0.2">
      <c r="J150" s="98">
        <v>45073</v>
      </c>
      <c r="K150" s="99">
        <v>99.259100000000004</v>
      </c>
    </row>
    <row r="151" spans="10:11" ht="14" thickBot="1" x14ac:dyDescent="0.2">
      <c r="J151" s="98">
        <v>45074</v>
      </c>
      <c r="K151" s="99">
        <v>99.517700000000005</v>
      </c>
    </row>
    <row r="152" spans="10:11" ht="14" thickBot="1" x14ac:dyDescent="0.2">
      <c r="J152" s="98">
        <v>45075</v>
      </c>
      <c r="K152" s="99">
        <v>99.777000000000001</v>
      </c>
    </row>
    <row r="153" spans="10:11" ht="14" thickBot="1" x14ac:dyDescent="0.2">
      <c r="J153" s="98">
        <v>45076</v>
      </c>
      <c r="K153" s="99">
        <v>100.0369</v>
      </c>
    </row>
    <row r="154" spans="10:11" ht="14" thickBot="1" x14ac:dyDescent="0.2">
      <c r="J154" s="98">
        <v>45077</v>
      </c>
      <c r="K154" s="99">
        <v>100.2975</v>
      </c>
    </row>
    <row r="155" spans="10:11" ht="14" thickBot="1" x14ac:dyDescent="0.2">
      <c r="J155" s="98">
        <v>45078</v>
      </c>
      <c r="K155" s="99">
        <v>100.55880000000001</v>
      </c>
    </row>
    <row r="156" spans="10:11" ht="14" thickBot="1" x14ac:dyDescent="0.2">
      <c r="J156" s="98">
        <v>45079</v>
      </c>
      <c r="K156" s="99">
        <v>100.82080000000001</v>
      </c>
    </row>
    <row r="157" spans="10:11" ht="14" thickBot="1" x14ac:dyDescent="0.2">
      <c r="J157" s="98">
        <v>45080</v>
      </c>
      <c r="K157" s="99">
        <v>101.0835</v>
      </c>
    </row>
    <row r="158" spans="10:11" ht="14" thickBot="1" x14ac:dyDescent="0.2">
      <c r="J158" s="98">
        <v>45081</v>
      </c>
      <c r="K158" s="99">
        <v>101.3468</v>
      </c>
    </row>
    <row r="159" spans="10:11" ht="14" thickBot="1" x14ac:dyDescent="0.2">
      <c r="J159" s="98">
        <v>45082</v>
      </c>
      <c r="K159" s="99">
        <v>101.6109</v>
      </c>
    </row>
    <row r="160" spans="10:11" ht="14" thickBot="1" x14ac:dyDescent="0.2">
      <c r="J160" s="98">
        <v>45083</v>
      </c>
      <c r="K160" s="99">
        <v>101.87560000000001</v>
      </c>
    </row>
    <row r="161" spans="10:11" ht="14" thickBot="1" x14ac:dyDescent="0.2">
      <c r="J161" s="98">
        <v>45084</v>
      </c>
      <c r="K161" s="99">
        <v>102.14100000000001</v>
      </c>
    </row>
    <row r="162" spans="10:11" ht="14" thickBot="1" x14ac:dyDescent="0.2">
      <c r="J162" s="98">
        <v>45085</v>
      </c>
      <c r="K162" s="99">
        <v>102.4071</v>
      </c>
    </row>
    <row r="163" spans="10:11" ht="14" thickBot="1" x14ac:dyDescent="0.2">
      <c r="J163" s="98">
        <v>45086</v>
      </c>
      <c r="K163" s="99">
        <v>102.6739</v>
      </c>
    </row>
    <row r="164" spans="10:11" ht="14" thickBot="1" x14ac:dyDescent="0.2">
      <c r="J164" s="98">
        <v>45087</v>
      </c>
      <c r="K164" s="99">
        <v>102.9414</v>
      </c>
    </row>
    <row r="165" spans="10:11" ht="14" thickBot="1" x14ac:dyDescent="0.2">
      <c r="J165" s="98">
        <v>45088</v>
      </c>
      <c r="K165" s="99">
        <v>103.20959999999999</v>
      </c>
    </row>
    <row r="166" spans="10:11" ht="14" thickBot="1" x14ac:dyDescent="0.2">
      <c r="J166" s="98">
        <v>45089</v>
      </c>
      <c r="K166" s="99">
        <v>103.4785</v>
      </c>
    </row>
    <row r="167" spans="10:11" ht="14" thickBot="1" x14ac:dyDescent="0.2">
      <c r="J167" s="98">
        <v>45090</v>
      </c>
      <c r="K167" s="99">
        <v>103.74809999999999</v>
      </c>
    </row>
    <row r="168" spans="10:11" ht="14" thickBot="1" x14ac:dyDescent="0.2">
      <c r="J168" s="98">
        <v>45091</v>
      </c>
      <c r="K168" s="99">
        <v>104.0183</v>
      </c>
    </row>
    <row r="169" spans="10:11" ht="14" thickBot="1" x14ac:dyDescent="0.2">
      <c r="J169" s="98">
        <v>45092</v>
      </c>
      <c r="K169" s="99">
        <v>104.2893</v>
      </c>
    </row>
    <row r="170" spans="10:11" ht="14" thickBot="1" x14ac:dyDescent="0.2">
      <c r="J170" s="98">
        <v>45093</v>
      </c>
      <c r="K170" s="99">
        <v>104.5508</v>
      </c>
    </row>
    <row r="171" spans="10:11" ht="14" thickBot="1" x14ac:dyDescent="0.2">
      <c r="J171" s="98">
        <v>45094</v>
      </c>
      <c r="K171" s="99">
        <v>104.8128</v>
      </c>
    </row>
    <row r="172" spans="10:11" ht="14" thickBot="1" x14ac:dyDescent="0.2">
      <c r="J172" s="98">
        <v>45095</v>
      </c>
      <c r="K172" s="99">
        <v>105.07559999999999</v>
      </c>
    </row>
    <row r="173" spans="10:11" ht="14" thickBot="1" x14ac:dyDescent="0.2">
      <c r="J173" s="98">
        <v>45096</v>
      </c>
      <c r="K173" s="99">
        <v>105.339</v>
      </c>
    </row>
    <row r="174" spans="10:11" ht="14" thickBot="1" x14ac:dyDescent="0.2">
      <c r="J174" s="98">
        <v>45097</v>
      </c>
      <c r="K174" s="99">
        <v>105.60299999999999</v>
      </c>
    </row>
    <row r="175" spans="10:11" ht="14" thickBot="1" x14ac:dyDescent="0.2">
      <c r="J175" s="98">
        <v>45098</v>
      </c>
      <c r="K175" s="99">
        <v>105.8677</v>
      </c>
    </row>
    <row r="176" spans="10:11" ht="14" thickBot="1" x14ac:dyDescent="0.2">
      <c r="J176" s="98">
        <v>45099</v>
      </c>
      <c r="K176" s="99">
        <v>106.1331</v>
      </c>
    </row>
    <row r="177" spans="10:11" ht="14" thickBot="1" x14ac:dyDescent="0.2">
      <c r="J177" s="98">
        <v>45100</v>
      </c>
      <c r="K177" s="99">
        <v>106.39919999999999</v>
      </c>
    </row>
    <row r="178" spans="10:11" ht="14" thickBot="1" x14ac:dyDescent="0.2">
      <c r="J178" s="98">
        <v>45101</v>
      </c>
      <c r="K178" s="99">
        <v>106.66589999999999</v>
      </c>
    </row>
    <row r="179" spans="10:11" ht="14" thickBot="1" x14ac:dyDescent="0.2">
      <c r="J179" s="98">
        <v>45102</v>
      </c>
      <c r="K179" s="99">
        <v>106.9333</v>
      </c>
    </row>
    <row r="180" spans="10:11" ht="14" thickBot="1" x14ac:dyDescent="0.2">
      <c r="J180" s="98">
        <v>45103</v>
      </c>
      <c r="K180" s="99">
        <v>107.2013</v>
      </c>
    </row>
    <row r="181" spans="10:11" ht="14" thickBot="1" x14ac:dyDescent="0.2">
      <c r="J181" s="98">
        <v>45104</v>
      </c>
      <c r="K181" s="99">
        <v>107.47</v>
      </c>
    </row>
    <row r="182" spans="10:11" ht="14" thickBot="1" x14ac:dyDescent="0.2">
      <c r="J182" s="98">
        <v>45105</v>
      </c>
      <c r="K182" s="99">
        <v>107.7394</v>
      </c>
    </row>
    <row r="183" spans="10:11" ht="14" thickBot="1" x14ac:dyDescent="0.2">
      <c r="J183" s="98">
        <v>45106</v>
      </c>
      <c r="K183" s="99">
        <v>108.0095</v>
      </c>
    </row>
    <row r="184" spans="10:11" ht="14" thickBot="1" x14ac:dyDescent="0.2">
      <c r="J184" s="98">
        <v>45107</v>
      </c>
      <c r="K184" s="99">
        <v>108.2803</v>
      </c>
    </row>
    <row r="185" spans="10:11" ht="14" thickBot="1" x14ac:dyDescent="0.2">
      <c r="J185" s="98">
        <v>45108</v>
      </c>
      <c r="K185" s="99">
        <v>108.5517</v>
      </c>
    </row>
    <row r="186" spans="10:11" ht="14" thickBot="1" x14ac:dyDescent="0.2">
      <c r="J186" s="98">
        <v>45109</v>
      </c>
      <c r="K186" s="99">
        <v>108.82380000000001</v>
      </c>
    </row>
    <row r="187" spans="10:11" ht="14" thickBot="1" x14ac:dyDescent="0.2">
      <c r="J187" s="98">
        <v>45110</v>
      </c>
      <c r="K187" s="99">
        <v>109.0966</v>
      </c>
    </row>
    <row r="188" spans="10:11" ht="14" thickBot="1" x14ac:dyDescent="0.2">
      <c r="J188" s="98">
        <v>45111</v>
      </c>
      <c r="K188" s="99">
        <v>109.37009999999999</v>
      </c>
    </row>
    <row r="189" spans="10:11" ht="14" thickBot="1" x14ac:dyDescent="0.2">
      <c r="J189" s="98">
        <v>45112</v>
      </c>
      <c r="K189" s="99">
        <v>109.6442</v>
      </c>
    </row>
    <row r="190" spans="10:11" ht="14" thickBot="1" x14ac:dyDescent="0.2">
      <c r="J190" s="98">
        <v>45113</v>
      </c>
      <c r="K190" s="99">
        <v>109.9191</v>
      </c>
    </row>
    <row r="191" spans="10:11" ht="14" thickBot="1" x14ac:dyDescent="0.2">
      <c r="J191" s="98">
        <v>45114</v>
      </c>
      <c r="K191" s="99">
        <v>110.19459999999999</v>
      </c>
    </row>
    <row r="192" spans="10:11" ht="14" thickBot="1" x14ac:dyDescent="0.2">
      <c r="J192" s="98">
        <v>45115</v>
      </c>
      <c r="K192" s="99">
        <v>110.4708</v>
      </c>
    </row>
    <row r="193" spans="10:11" ht="14" thickBot="1" x14ac:dyDescent="0.2">
      <c r="J193" s="98">
        <v>45116</v>
      </c>
      <c r="K193" s="99">
        <v>110.74769999999999</v>
      </c>
    </row>
    <row r="194" spans="10:11" ht="14" thickBot="1" x14ac:dyDescent="0.2">
      <c r="J194" s="98">
        <v>45117</v>
      </c>
      <c r="K194" s="99">
        <v>111.0254</v>
      </c>
    </row>
    <row r="195" spans="10:11" ht="14" thickBot="1" x14ac:dyDescent="0.2">
      <c r="J195" s="98">
        <v>45118</v>
      </c>
      <c r="K195" s="99">
        <v>111.30370000000001</v>
      </c>
    </row>
    <row r="196" spans="10:11" ht="14" thickBot="1" x14ac:dyDescent="0.2">
      <c r="J196" s="98">
        <v>45119</v>
      </c>
      <c r="K196" s="99">
        <v>111.5827</v>
      </c>
    </row>
    <row r="197" spans="10:11" ht="14" thickBot="1" x14ac:dyDescent="0.2">
      <c r="J197" s="98">
        <v>45120</v>
      </c>
      <c r="K197" s="99">
        <v>111.86239999999999</v>
      </c>
    </row>
    <row r="198" spans="10:11" ht="14" thickBot="1" x14ac:dyDescent="0.2">
      <c r="J198" s="98">
        <v>45121</v>
      </c>
      <c r="K198" s="99">
        <v>112.14279999999999</v>
      </c>
    </row>
    <row r="199" spans="10:11" ht="14" thickBot="1" x14ac:dyDescent="0.2">
      <c r="J199" s="98">
        <v>45122</v>
      </c>
      <c r="K199" s="100">
        <v>112.4239</v>
      </c>
    </row>
    <row r="200" spans="10:11" ht="14" thickBot="1" x14ac:dyDescent="0.2">
      <c r="J200" s="98">
        <f>J199+1</f>
        <v>45123</v>
      </c>
      <c r="K200">
        <f t="shared" ref="K200:K230" si="2">K199*$O$4</f>
        <v>112.67773443165784</v>
      </c>
    </row>
    <row r="201" spans="10:11" ht="14" thickBot="1" x14ac:dyDescent="0.2">
      <c r="J201" s="98">
        <f t="shared" ref="J201:J264" si="3">J200+1</f>
        <v>45124</v>
      </c>
      <c r="K201">
        <f t="shared" si="2"/>
        <v>112.93214197916289</v>
      </c>
    </row>
    <row r="202" spans="10:11" ht="14" thickBot="1" x14ac:dyDescent="0.2">
      <c r="J202" s="98">
        <f t="shared" si="3"/>
        <v>45125</v>
      </c>
      <c r="K202">
        <f t="shared" si="2"/>
        <v>113.18712393651523</v>
      </c>
    </row>
    <row r="203" spans="10:11" ht="14" thickBot="1" x14ac:dyDescent="0.2">
      <c r="J203" s="98">
        <f t="shared" si="3"/>
        <v>45126</v>
      </c>
      <c r="K203">
        <f t="shared" si="2"/>
        <v>113.44268160063658</v>
      </c>
    </row>
    <row r="204" spans="10:11" ht="14" thickBot="1" x14ac:dyDescent="0.2">
      <c r="J204" s="98">
        <f t="shared" si="3"/>
        <v>45127</v>
      </c>
      <c r="K204">
        <f t="shared" si="2"/>
        <v>113.69881627137687</v>
      </c>
    </row>
    <row r="205" spans="10:11" ht="14" thickBot="1" x14ac:dyDescent="0.2">
      <c r="J205" s="98">
        <f t="shared" si="3"/>
        <v>45128</v>
      </c>
      <c r="K205">
        <f t="shared" si="2"/>
        <v>113.9555292515209</v>
      </c>
    </row>
    <row r="206" spans="10:11" ht="14" thickBot="1" x14ac:dyDescent="0.2">
      <c r="J206" s="98">
        <f t="shared" si="3"/>
        <v>45129</v>
      </c>
      <c r="K206">
        <f t="shared" si="2"/>
        <v>114.21282184679494</v>
      </c>
    </row>
    <row r="207" spans="10:11" ht="14" thickBot="1" x14ac:dyDescent="0.2">
      <c r="J207" s="98">
        <f t="shared" si="3"/>
        <v>45130</v>
      </c>
      <c r="K207">
        <f t="shared" si="2"/>
        <v>114.47069536587335</v>
      </c>
    </row>
    <row r="208" spans="10:11" ht="14" thickBot="1" x14ac:dyDescent="0.2">
      <c r="J208" s="98">
        <f t="shared" si="3"/>
        <v>45131</v>
      </c>
      <c r="K208">
        <f t="shared" si="2"/>
        <v>114.7291511203853</v>
      </c>
    </row>
    <row r="209" spans="10:11" ht="14" thickBot="1" x14ac:dyDescent="0.2">
      <c r="J209" s="98">
        <f t="shared" si="3"/>
        <v>45132</v>
      </c>
      <c r="K209">
        <f t="shared" si="2"/>
        <v>114.98819042492134</v>
      </c>
    </row>
    <row r="210" spans="10:11" ht="14" thickBot="1" x14ac:dyDescent="0.2">
      <c r="J210" s="98">
        <f t="shared" si="3"/>
        <v>45133</v>
      </c>
      <c r="K210">
        <f t="shared" si="2"/>
        <v>115.2478145970402</v>
      </c>
    </row>
    <row r="211" spans="10:11" ht="14" thickBot="1" x14ac:dyDescent="0.2">
      <c r="J211" s="98">
        <f t="shared" si="3"/>
        <v>45134</v>
      </c>
      <c r="K211">
        <f t="shared" si="2"/>
        <v>115.50802495727542</v>
      </c>
    </row>
    <row r="212" spans="10:11" ht="14" thickBot="1" x14ac:dyDescent="0.2">
      <c r="J212" s="98">
        <f t="shared" si="3"/>
        <v>45135</v>
      </c>
      <c r="K212">
        <f t="shared" si="2"/>
        <v>115.76882282914208</v>
      </c>
    </row>
    <row r="213" spans="10:11" ht="14" thickBot="1" x14ac:dyDescent="0.2">
      <c r="J213" s="98">
        <f t="shared" si="3"/>
        <v>45136</v>
      </c>
      <c r="K213">
        <f t="shared" si="2"/>
        <v>116.03020953914354</v>
      </c>
    </row>
    <row r="214" spans="10:11" ht="14" thickBot="1" x14ac:dyDescent="0.2">
      <c r="J214" s="98">
        <f t="shared" si="3"/>
        <v>45137</v>
      </c>
      <c r="K214">
        <f t="shared" si="2"/>
        <v>116.29218641677818</v>
      </c>
    </row>
    <row r="215" spans="10:11" ht="14" thickBot="1" x14ac:dyDescent="0.2">
      <c r="J215" s="98">
        <f t="shared" si="3"/>
        <v>45138</v>
      </c>
      <c r="K215">
        <f t="shared" si="2"/>
        <v>116.55475479454617</v>
      </c>
    </row>
    <row r="216" spans="10:11" ht="14" thickBot="1" x14ac:dyDescent="0.2">
      <c r="J216" s="98">
        <f t="shared" si="3"/>
        <v>45139</v>
      </c>
      <c r="K216">
        <f t="shared" si="2"/>
        <v>116.81791600795624</v>
      </c>
    </row>
    <row r="217" spans="10:11" ht="14" thickBot="1" x14ac:dyDescent="0.2">
      <c r="J217" s="98">
        <f t="shared" si="3"/>
        <v>45140</v>
      </c>
      <c r="K217">
        <f t="shared" si="2"/>
        <v>117.08167139553248</v>
      </c>
    </row>
    <row r="218" spans="10:11" ht="14" thickBot="1" x14ac:dyDescent="0.2">
      <c r="J218" s="98">
        <f t="shared" si="3"/>
        <v>45141</v>
      </c>
      <c r="K218">
        <f t="shared" si="2"/>
        <v>117.34602229882115</v>
      </c>
    </row>
    <row r="219" spans="10:11" ht="14" thickBot="1" x14ac:dyDescent="0.2">
      <c r="J219" s="98">
        <f t="shared" si="3"/>
        <v>45142</v>
      </c>
      <c r="K219">
        <f t="shared" si="2"/>
        <v>117.61097006239748</v>
      </c>
    </row>
    <row r="220" spans="10:11" ht="14" thickBot="1" x14ac:dyDescent="0.2">
      <c r="J220" s="98">
        <f t="shared" si="3"/>
        <v>45143</v>
      </c>
      <c r="K220">
        <f t="shared" si="2"/>
        <v>117.87651603387255</v>
      </c>
    </row>
    <row r="221" spans="10:11" ht="14" thickBot="1" x14ac:dyDescent="0.2">
      <c r="J221" s="98">
        <f t="shared" si="3"/>
        <v>45144</v>
      </c>
      <c r="K221">
        <f t="shared" si="2"/>
        <v>118.14266156390011</v>
      </c>
    </row>
    <row r="222" spans="10:11" ht="14" thickBot="1" x14ac:dyDescent="0.2">
      <c r="J222" s="98">
        <f t="shared" si="3"/>
        <v>45145</v>
      </c>
      <c r="K222">
        <f t="shared" si="2"/>
        <v>118.40940800618344</v>
      </c>
    </row>
    <row r="223" spans="10:11" ht="14" thickBot="1" x14ac:dyDescent="0.2">
      <c r="J223" s="98">
        <f t="shared" si="3"/>
        <v>45146</v>
      </c>
      <c r="K223">
        <f t="shared" si="2"/>
        <v>118.67675671748229</v>
      </c>
    </row>
    <row r="224" spans="10:11" ht="14" thickBot="1" x14ac:dyDescent="0.2">
      <c r="J224" s="98">
        <f t="shared" si="3"/>
        <v>45147</v>
      </c>
      <c r="K224">
        <f t="shared" si="2"/>
        <v>118.94470905761973</v>
      </c>
    </row>
    <row r="225" spans="10:11" ht="14" thickBot="1" x14ac:dyDescent="0.2">
      <c r="J225" s="98">
        <f t="shared" si="3"/>
        <v>45148</v>
      </c>
      <c r="K225">
        <f t="shared" si="2"/>
        <v>119.21326638948909</v>
      </c>
    </row>
    <row r="226" spans="10:11" ht="14" thickBot="1" x14ac:dyDescent="0.2">
      <c r="J226" s="98">
        <f t="shared" si="3"/>
        <v>45149</v>
      </c>
      <c r="K226">
        <f t="shared" si="2"/>
        <v>119.48243007906089</v>
      </c>
    </row>
    <row r="227" spans="10:11" ht="14" thickBot="1" x14ac:dyDescent="0.2">
      <c r="J227" s="98">
        <f t="shared" si="3"/>
        <v>45150</v>
      </c>
      <c r="K227">
        <f t="shared" si="2"/>
        <v>119.75220149538977</v>
      </c>
    </row>
    <row r="228" spans="10:11" ht="14" thickBot="1" x14ac:dyDescent="0.2">
      <c r="J228" s="98">
        <f t="shared" si="3"/>
        <v>45151</v>
      </c>
      <c r="K228">
        <f t="shared" si="2"/>
        <v>120.02258201062148</v>
      </c>
    </row>
    <row r="229" spans="10:11" ht="14" thickBot="1" x14ac:dyDescent="0.2">
      <c r="J229" s="98">
        <f t="shared" si="3"/>
        <v>45152</v>
      </c>
      <c r="K229">
        <f t="shared" si="2"/>
        <v>120.29357299999982</v>
      </c>
    </row>
    <row r="230" spans="10:11" ht="14" thickBot="1" x14ac:dyDescent="0.2">
      <c r="J230" s="98">
        <f t="shared" si="3"/>
        <v>45153</v>
      </c>
      <c r="K230">
        <f t="shared" si="2"/>
        <v>120.56517584187371</v>
      </c>
    </row>
    <row r="231" spans="10:11" ht="14" thickBot="1" x14ac:dyDescent="0.2">
      <c r="J231" s="98">
        <f t="shared" si="3"/>
        <v>45154</v>
      </c>
      <c r="K231">
        <f t="shared" ref="K231:K261" si="4">K230*$O$5</f>
        <v>120.86486451484268</v>
      </c>
    </row>
    <row r="232" spans="10:11" ht="14" thickBot="1" x14ac:dyDescent="0.2">
      <c r="J232" s="98">
        <f t="shared" si="3"/>
        <v>45155</v>
      </c>
      <c r="K232">
        <f t="shared" si="4"/>
        <v>121.16529812348713</v>
      </c>
    </row>
    <row r="233" spans="10:11" ht="14" thickBot="1" x14ac:dyDescent="0.2">
      <c r="J233" s="98">
        <f t="shared" si="3"/>
        <v>45156</v>
      </c>
      <c r="K233">
        <f t="shared" si="4"/>
        <v>121.46647851949254</v>
      </c>
    </row>
    <row r="234" spans="10:11" ht="14" thickBot="1" x14ac:dyDescent="0.2">
      <c r="J234" s="98">
        <f t="shared" si="3"/>
        <v>45157</v>
      </c>
      <c r="K234">
        <f t="shared" si="4"/>
        <v>121.76840755914711</v>
      </c>
    </row>
    <row r="235" spans="10:11" ht="14" thickBot="1" x14ac:dyDescent="0.2">
      <c r="J235" s="98">
        <f t="shared" si="3"/>
        <v>45158</v>
      </c>
      <c r="K235">
        <f t="shared" si="4"/>
        <v>122.07108710335319</v>
      </c>
    </row>
    <row r="236" spans="10:11" ht="14" thickBot="1" x14ac:dyDescent="0.2">
      <c r="J236" s="98">
        <f t="shared" si="3"/>
        <v>45159</v>
      </c>
      <c r="K236">
        <f t="shared" si="4"/>
        <v>122.37451901763882</v>
      </c>
    </row>
    <row r="237" spans="10:11" ht="14" thickBot="1" x14ac:dyDescent="0.2">
      <c r="J237" s="98">
        <f t="shared" si="3"/>
        <v>45160</v>
      </c>
      <c r="K237">
        <f t="shared" si="4"/>
        <v>122.67870517216915</v>
      </c>
    </row>
    <row r="238" spans="10:11" ht="14" thickBot="1" x14ac:dyDescent="0.2">
      <c r="J238" s="98">
        <f t="shared" si="3"/>
        <v>45161</v>
      </c>
      <c r="K238">
        <f t="shared" si="4"/>
        <v>122.98364744175798</v>
      </c>
    </row>
    <row r="239" spans="10:11" ht="14" thickBot="1" x14ac:dyDescent="0.2">
      <c r="J239" s="98">
        <f t="shared" si="3"/>
        <v>45162</v>
      </c>
      <c r="K239">
        <f t="shared" si="4"/>
        <v>123.28934770587938</v>
      </c>
    </row>
    <row r="240" spans="10:11" ht="14" thickBot="1" x14ac:dyDescent="0.2">
      <c r="J240" s="98">
        <f t="shared" si="3"/>
        <v>45163</v>
      </c>
      <c r="K240">
        <f t="shared" si="4"/>
        <v>123.59580784867919</v>
      </c>
    </row>
    <row r="241" spans="10:11" ht="14" thickBot="1" x14ac:dyDescent="0.2">
      <c r="J241" s="98">
        <f t="shared" si="3"/>
        <v>45164</v>
      </c>
      <c r="K241">
        <f t="shared" si="4"/>
        <v>123.90302975898668</v>
      </c>
    </row>
    <row r="242" spans="10:11" ht="14" thickBot="1" x14ac:dyDescent="0.2">
      <c r="J242" s="98">
        <f t="shared" si="3"/>
        <v>45165</v>
      </c>
      <c r="K242">
        <f t="shared" si="4"/>
        <v>124.21101533032616</v>
      </c>
    </row>
    <row r="243" spans="10:11" ht="14" thickBot="1" x14ac:dyDescent="0.2">
      <c r="J243" s="98">
        <f t="shared" si="3"/>
        <v>45166</v>
      </c>
      <c r="K243">
        <f t="shared" si="4"/>
        <v>124.51976646092871</v>
      </c>
    </row>
    <row r="244" spans="10:11" ht="14" thickBot="1" x14ac:dyDescent="0.2">
      <c r="J244" s="98">
        <f t="shared" si="3"/>
        <v>45167</v>
      </c>
      <c r="K244">
        <f t="shared" si="4"/>
        <v>124.8292850537438</v>
      </c>
    </row>
    <row r="245" spans="10:11" ht="14" thickBot="1" x14ac:dyDescent="0.2">
      <c r="J245" s="98">
        <f t="shared" si="3"/>
        <v>45168</v>
      </c>
      <c r="K245">
        <f t="shared" si="4"/>
        <v>125.1395730164511</v>
      </c>
    </row>
    <row r="246" spans="10:11" ht="14" thickBot="1" x14ac:dyDescent="0.2">
      <c r="J246" s="98">
        <f t="shared" si="3"/>
        <v>45169</v>
      </c>
      <c r="K246">
        <f t="shared" si="4"/>
        <v>125.45063226147215</v>
      </c>
    </row>
    <row r="247" spans="10:11" ht="14" thickBot="1" x14ac:dyDescent="0.2">
      <c r="J247" s="98">
        <f t="shared" si="3"/>
        <v>45170</v>
      </c>
      <c r="K247">
        <f t="shared" si="4"/>
        <v>125.76246470598223</v>
      </c>
    </row>
    <row r="248" spans="10:11" ht="14" thickBot="1" x14ac:dyDescent="0.2">
      <c r="J248" s="98">
        <f t="shared" si="3"/>
        <v>45171</v>
      </c>
      <c r="K248">
        <f t="shared" si="4"/>
        <v>126.07507227192211</v>
      </c>
    </row>
    <row r="249" spans="10:11" ht="14" thickBot="1" x14ac:dyDescent="0.2">
      <c r="J249" s="98">
        <f t="shared" si="3"/>
        <v>45172</v>
      </c>
      <c r="K249">
        <f t="shared" si="4"/>
        <v>126.38845688600996</v>
      </c>
    </row>
    <row r="250" spans="10:11" ht="14" thickBot="1" x14ac:dyDescent="0.2">
      <c r="J250" s="98">
        <f t="shared" si="3"/>
        <v>45173</v>
      </c>
      <c r="K250">
        <f t="shared" si="4"/>
        <v>126.70262047975316</v>
      </c>
    </row>
    <row r="251" spans="10:11" ht="14" thickBot="1" x14ac:dyDescent="0.2">
      <c r="J251" s="98">
        <f t="shared" si="3"/>
        <v>45174</v>
      </c>
      <c r="K251">
        <f t="shared" si="4"/>
        <v>127.01756498946025</v>
      </c>
    </row>
    <row r="252" spans="10:11" ht="14" thickBot="1" x14ac:dyDescent="0.2">
      <c r="J252" s="98">
        <f t="shared" si="3"/>
        <v>45175</v>
      </c>
      <c r="K252">
        <f t="shared" si="4"/>
        <v>127.33329235625285</v>
      </c>
    </row>
    <row r="253" spans="10:11" ht="14" thickBot="1" x14ac:dyDescent="0.2">
      <c r="J253" s="98">
        <f t="shared" si="3"/>
        <v>45176</v>
      </c>
      <c r="K253">
        <f t="shared" si="4"/>
        <v>127.64980452607762</v>
      </c>
    </row>
    <row r="254" spans="10:11" ht="14" thickBot="1" x14ac:dyDescent="0.2">
      <c r="J254" s="98">
        <f t="shared" si="3"/>
        <v>45177</v>
      </c>
      <c r="K254">
        <f t="shared" si="4"/>
        <v>127.96710344971824</v>
      </c>
    </row>
    <row r="255" spans="10:11" ht="14" thickBot="1" x14ac:dyDescent="0.2">
      <c r="J255" s="98">
        <f t="shared" si="3"/>
        <v>45178</v>
      </c>
      <c r="K255">
        <f t="shared" si="4"/>
        <v>128.28519108280747</v>
      </c>
    </row>
    <row r="256" spans="10:11" ht="14" thickBot="1" x14ac:dyDescent="0.2">
      <c r="J256" s="98">
        <f t="shared" si="3"/>
        <v>45179</v>
      </c>
      <c r="K256">
        <f t="shared" si="4"/>
        <v>128.60406938583918</v>
      </c>
    </row>
    <row r="257" spans="10:11" ht="14" thickBot="1" x14ac:dyDescent="0.2">
      <c r="J257" s="98">
        <f t="shared" si="3"/>
        <v>45180</v>
      </c>
      <c r="K257">
        <f t="shared" si="4"/>
        <v>128.92374032418044</v>
      </c>
    </row>
    <row r="258" spans="10:11" ht="14" thickBot="1" x14ac:dyDescent="0.2">
      <c r="J258" s="98">
        <f t="shared" si="3"/>
        <v>45181</v>
      </c>
      <c r="K258">
        <f t="shared" si="4"/>
        <v>129.24420586808364</v>
      </c>
    </row>
    <row r="259" spans="10:11" ht="14" thickBot="1" x14ac:dyDescent="0.2">
      <c r="J259" s="98">
        <f t="shared" si="3"/>
        <v>45182</v>
      </c>
      <c r="K259">
        <f t="shared" si="4"/>
        <v>129.56546799269859</v>
      </c>
    </row>
    <row r="260" spans="10:11" ht="14" thickBot="1" x14ac:dyDescent="0.2">
      <c r="J260" s="98">
        <f t="shared" si="3"/>
        <v>45183</v>
      </c>
      <c r="K260">
        <f t="shared" si="4"/>
        <v>129.88752867808472</v>
      </c>
    </row>
    <row r="261" spans="10:11" ht="14" thickBot="1" x14ac:dyDescent="0.2">
      <c r="J261" s="98">
        <f t="shared" si="3"/>
        <v>45184</v>
      </c>
      <c r="K261">
        <f t="shared" si="4"/>
        <v>130.21038990922335</v>
      </c>
    </row>
    <row r="262" spans="10:11" ht="14" thickBot="1" x14ac:dyDescent="0.2">
      <c r="J262" s="98">
        <f t="shared" si="3"/>
        <v>45185</v>
      </c>
      <c r="K262">
        <f t="shared" ref="K262:K291" si="5">K261*$O$6</f>
        <v>130.53405367602983</v>
      </c>
    </row>
    <row r="263" spans="10:11" ht="14" thickBot="1" x14ac:dyDescent="0.2">
      <c r="J263" s="98">
        <f t="shared" si="3"/>
        <v>45186</v>
      </c>
      <c r="K263">
        <f t="shared" si="5"/>
        <v>130.85852197336584</v>
      </c>
    </row>
    <row r="264" spans="10:11" ht="14" thickBot="1" x14ac:dyDescent="0.2">
      <c r="J264" s="98">
        <f t="shared" si="3"/>
        <v>45187</v>
      </c>
      <c r="K264">
        <f t="shared" si="5"/>
        <v>131.18379680105167</v>
      </c>
    </row>
    <row r="265" spans="10:11" ht="14" thickBot="1" x14ac:dyDescent="0.2">
      <c r="J265" s="98">
        <f t="shared" ref="J265:J328" si="6">J264+1</f>
        <v>45188</v>
      </c>
      <c r="K265">
        <f t="shared" si="5"/>
        <v>131.50988016387859</v>
      </c>
    </row>
    <row r="266" spans="10:11" ht="14" thickBot="1" x14ac:dyDescent="0.2">
      <c r="J266" s="98">
        <f t="shared" si="6"/>
        <v>45189</v>
      </c>
      <c r="K266">
        <f t="shared" si="5"/>
        <v>131.83677407162116</v>
      </c>
    </row>
    <row r="267" spans="10:11" ht="14" thickBot="1" x14ac:dyDescent="0.2">
      <c r="J267" s="98">
        <f t="shared" si="6"/>
        <v>45190</v>
      </c>
      <c r="K267">
        <f t="shared" si="5"/>
        <v>132.16448053904963</v>
      </c>
    </row>
    <row r="268" spans="10:11" ht="14" thickBot="1" x14ac:dyDescent="0.2">
      <c r="J268" s="98">
        <f t="shared" si="6"/>
        <v>45191</v>
      </c>
      <c r="K268">
        <f t="shared" si="5"/>
        <v>132.49300158594238</v>
      </c>
    </row>
    <row r="269" spans="10:11" ht="14" thickBot="1" x14ac:dyDescent="0.2">
      <c r="J269" s="98">
        <f t="shared" si="6"/>
        <v>45192</v>
      </c>
      <c r="K269">
        <f t="shared" si="5"/>
        <v>132.82233923709833</v>
      </c>
    </row>
    <row r="270" spans="10:11" ht="14" thickBot="1" x14ac:dyDescent="0.2">
      <c r="J270" s="98">
        <f t="shared" si="6"/>
        <v>45193</v>
      </c>
      <c r="K270">
        <f t="shared" si="5"/>
        <v>133.15249552234945</v>
      </c>
    </row>
    <row r="271" spans="10:11" ht="14" thickBot="1" x14ac:dyDescent="0.2">
      <c r="J271" s="98">
        <f t="shared" si="6"/>
        <v>45194</v>
      </c>
      <c r="K271">
        <f t="shared" si="5"/>
        <v>133.48347247657324</v>
      </c>
    </row>
    <row r="272" spans="10:11" ht="14" thickBot="1" x14ac:dyDescent="0.2">
      <c r="J272" s="98">
        <f t="shared" si="6"/>
        <v>45195</v>
      </c>
      <c r="K272">
        <f t="shared" si="5"/>
        <v>133.81527213970531</v>
      </c>
    </row>
    <row r="273" spans="10:11" ht="14" thickBot="1" x14ac:dyDescent="0.2">
      <c r="J273" s="98">
        <f t="shared" si="6"/>
        <v>45196</v>
      </c>
      <c r="K273">
        <f t="shared" si="5"/>
        <v>134.14789655675196</v>
      </c>
    </row>
    <row r="274" spans="10:11" ht="14" thickBot="1" x14ac:dyDescent="0.2">
      <c r="J274" s="98">
        <f t="shared" si="6"/>
        <v>45197</v>
      </c>
      <c r="K274">
        <f t="shared" si="5"/>
        <v>134.48134777780271</v>
      </c>
    </row>
    <row r="275" spans="10:11" ht="14" thickBot="1" x14ac:dyDescent="0.2">
      <c r="J275" s="98">
        <f t="shared" si="6"/>
        <v>45198</v>
      </c>
      <c r="K275">
        <f t="shared" si="5"/>
        <v>134.815627858043</v>
      </c>
    </row>
    <row r="276" spans="10:11" ht="14" thickBot="1" x14ac:dyDescent="0.2">
      <c r="J276" s="98">
        <f t="shared" si="6"/>
        <v>45199</v>
      </c>
      <c r="K276">
        <f t="shared" si="5"/>
        <v>135.15073885776687</v>
      </c>
    </row>
    <row r="277" spans="10:11" ht="14" thickBot="1" x14ac:dyDescent="0.2">
      <c r="J277" s="98">
        <f t="shared" si="6"/>
        <v>45200</v>
      </c>
      <c r="K277">
        <f t="shared" si="5"/>
        <v>135.4866828423896</v>
      </c>
    </row>
    <row r="278" spans="10:11" ht="14" thickBot="1" x14ac:dyDescent="0.2">
      <c r="J278" s="98">
        <f t="shared" si="6"/>
        <v>45201</v>
      </c>
      <c r="K278">
        <f t="shared" si="5"/>
        <v>135.82346188246046</v>
      </c>
    </row>
    <row r="279" spans="10:11" ht="14" thickBot="1" x14ac:dyDescent="0.2">
      <c r="J279" s="98">
        <f t="shared" si="6"/>
        <v>45202</v>
      </c>
      <c r="K279">
        <f t="shared" si="5"/>
        <v>136.16107805367554</v>
      </c>
    </row>
    <row r="280" spans="10:11" ht="14" thickBot="1" x14ac:dyDescent="0.2">
      <c r="J280" s="98">
        <f t="shared" si="6"/>
        <v>45203</v>
      </c>
      <c r="K280">
        <f t="shared" si="5"/>
        <v>136.4995334368904</v>
      </c>
    </row>
    <row r="281" spans="10:11" ht="14" thickBot="1" x14ac:dyDescent="0.2">
      <c r="J281" s="98">
        <f t="shared" si="6"/>
        <v>45204</v>
      </c>
      <c r="K281">
        <f t="shared" si="5"/>
        <v>136.83883011813305</v>
      </c>
    </row>
    <row r="282" spans="10:11" ht="14" thickBot="1" x14ac:dyDescent="0.2">
      <c r="J282" s="98">
        <f t="shared" si="6"/>
        <v>45205</v>
      </c>
      <c r="K282">
        <f t="shared" si="5"/>
        <v>137.17897018861669</v>
      </c>
    </row>
    <row r="283" spans="10:11" ht="14" thickBot="1" x14ac:dyDescent="0.2">
      <c r="J283" s="98">
        <f t="shared" si="6"/>
        <v>45206</v>
      </c>
      <c r="K283">
        <f t="shared" si="5"/>
        <v>137.51995574475268</v>
      </c>
    </row>
    <row r="284" spans="10:11" ht="14" thickBot="1" x14ac:dyDescent="0.2">
      <c r="J284" s="98">
        <f t="shared" si="6"/>
        <v>45207</v>
      </c>
      <c r="K284">
        <f t="shared" si="5"/>
        <v>137.8617888881634</v>
      </c>
    </row>
    <row r="285" spans="10:11" ht="14" thickBot="1" x14ac:dyDescent="0.2">
      <c r="J285" s="98">
        <f t="shared" si="6"/>
        <v>45208</v>
      </c>
      <c r="K285">
        <f t="shared" si="5"/>
        <v>138.20447172569527</v>
      </c>
    </row>
    <row r="286" spans="10:11" ht="14" thickBot="1" x14ac:dyDescent="0.2">
      <c r="J286" s="98">
        <f t="shared" si="6"/>
        <v>45209</v>
      </c>
      <c r="K286">
        <f t="shared" si="5"/>
        <v>138.54800636943165</v>
      </c>
    </row>
    <row r="287" spans="10:11" ht="14" thickBot="1" x14ac:dyDescent="0.2">
      <c r="J287" s="98">
        <f t="shared" si="6"/>
        <v>45210</v>
      </c>
      <c r="K287">
        <f t="shared" si="5"/>
        <v>138.8923949367059</v>
      </c>
    </row>
    <row r="288" spans="10:11" ht="14" thickBot="1" x14ac:dyDescent="0.2">
      <c r="J288" s="98">
        <f t="shared" si="6"/>
        <v>45211</v>
      </c>
      <c r="K288">
        <f t="shared" si="5"/>
        <v>139.23763955011447</v>
      </c>
    </row>
    <row r="289" spans="10:11" ht="14" thickBot="1" x14ac:dyDescent="0.2">
      <c r="J289" s="98">
        <f t="shared" si="6"/>
        <v>45212</v>
      </c>
      <c r="K289">
        <f t="shared" si="5"/>
        <v>139.58374233752991</v>
      </c>
    </row>
    <row r="290" spans="10:11" ht="14" thickBot="1" x14ac:dyDescent="0.2">
      <c r="J290" s="98">
        <f t="shared" si="6"/>
        <v>45213</v>
      </c>
      <c r="K290">
        <f t="shared" si="5"/>
        <v>139.93070543211405</v>
      </c>
    </row>
    <row r="291" spans="10:11" ht="14" thickBot="1" x14ac:dyDescent="0.2">
      <c r="J291" s="98">
        <f t="shared" si="6"/>
        <v>45214</v>
      </c>
      <c r="K291">
        <f t="shared" si="5"/>
        <v>140.27853097233108</v>
      </c>
    </row>
    <row r="292" spans="10:11" ht="14" thickBot="1" x14ac:dyDescent="0.2">
      <c r="J292" s="98">
        <f t="shared" si="6"/>
        <v>45215</v>
      </c>
      <c r="K292">
        <f t="shared" ref="K292:K322" si="7">K291*$O$7</f>
        <v>140.68207298789949</v>
      </c>
    </row>
    <row r="293" spans="10:11" ht="14" thickBot="1" x14ac:dyDescent="0.2">
      <c r="J293" s="98">
        <f t="shared" si="6"/>
        <v>45216</v>
      </c>
      <c r="K293">
        <f t="shared" si="7"/>
        <v>141.08677588073971</v>
      </c>
    </row>
    <row r="294" spans="10:11" ht="14" thickBot="1" x14ac:dyDescent="0.2">
      <c r="J294" s="98">
        <f t="shared" si="6"/>
        <v>45217</v>
      </c>
      <c r="K294">
        <f t="shared" si="7"/>
        <v>141.49264299037029</v>
      </c>
    </row>
    <row r="295" spans="10:11" ht="14" thickBot="1" x14ac:dyDescent="0.2">
      <c r="J295" s="98">
        <f t="shared" si="6"/>
        <v>45218</v>
      </c>
      <c r="K295">
        <f t="shared" si="7"/>
        <v>141.89967766591658</v>
      </c>
    </row>
    <row r="296" spans="10:11" ht="14" thickBot="1" x14ac:dyDescent="0.2">
      <c r="J296" s="98">
        <f t="shared" si="6"/>
        <v>45219</v>
      </c>
      <c r="K296">
        <f t="shared" si="7"/>
        <v>142.3078832661385</v>
      </c>
    </row>
    <row r="297" spans="10:11" ht="14" thickBot="1" x14ac:dyDescent="0.2">
      <c r="J297" s="98">
        <f t="shared" si="6"/>
        <v>45220</v>
      </c>
      <c r="K297">
        <f t="shared" si="7"/>
        <v>142.71726315945816</v>
      </c>
    </row>
    <row r="298" spans="10:11" ht="14" thickBot="1" x14ac:dyDescent="0.2">
      <c r="J298" s="98">
        <f t="shared" si="6"/>
        <v>45221</v>
      </c>
      <c r="K298">
        <f t="shared" si="7"/>
        <v>143.12782072398764</v>
      </c>
    </row>
    <row r="299" spans="10:11" ht="14" thickBot="1" x14ac:dyDescent="0.2">
      <c r="J299" s="98">
        <f t="shared" si="6"/>
        <v>45222</v>
      </c>
      <c r="K299">
        <f t="shared" si="7"/>
        <v>143.53955934755695</v>
      </c>
    </row>
    <row r="300" spans="10:11" ht="14" thickBot="1" x14ac:dyDescent="0.2">
      <c r="J300" s="98">
        <f t="shared" si="6"/>
        <v>45223</v>
      </c>
      <c r="K300">
        <f t="shared" si="7"/>
        <v>143.9524824277419</v>
      </c>
    </row>
    <row r="301" spans="10:11" ht="14" thickBot="1" x14ac:dyDescent="0.2">
      <c r="J301" s="98">
        <f t="shared" si="6"/>
        <v>45224</v>
      </c>
      <c r="K301">
        <f t="shared" si="7"/>
        <v>144.36659337189218</v>
      </c>
    </row>
    <row r="302" spans="10:11" ht="14" thickBot="1" x14ac:dyDescent="0.2">
      <c r="J302" s="98">
        <f t="shared" si="6"/>
        <v>45225</v>
      </c>
      <c r="K302">
        <f t="shared" si="7"/>
        <v>144.78189559715949</v>
      </c>
    </row>
    <row r="303" spans="10:11" ht="14" thickBot="1" x14ac:dyDescent="0.2">
      <c r="J303" s="98">
        <f t="shared" si="6"/>
        <v>45226</v>
      </c>
      <c r="K303">
        <f t="shared" si="7"/>
        <v>145.19839253052569</v>
      </c>
    </row>
    <row r="304" spans="10:11" ht="14" thickBot="1" x14ac:dyDescent="0.2">
      <c r="J304" s="98">
        <f t="shared" si="6"/>
        <v>45227</v>
      </c>
      <c r="K304">
        <f t="shared" si="7"/>
        <v>145.61608760883115</v>
      </c>
    </row>
    <row r="305" spans="10:11" ht="14" thickBot="1" x14ac:dyDescent="0.2">
      <c r="J305" s="98">
        <f t="shared" si="6"/>
        <v>45228</v>
      </c>
      <c r="K305">
        <f t="shared" si="7"/>
        <v>146.03498427880299</v>
      </c>
    </row>
    <row r="306" spans="10:11" ht="14" thickBot="1" x14ac:dyDescent="0.2">
      <c r="J306" s="98">
        <f t="shared" si="6"/>
        <v>45229</v>
      </c>
      <c r="K306">
        <f t="shared" si="7"/>
        <v>146.4550859970837</v>
      </c>
    </row>
    <row r="307" spans="10:11" ht="14" thickBot="1" x14ac:dyDescent="0.2">
      <c r="J307" s="98">
        <f t="shared" si="6"/>
        <v>45230</v>
      </c>
      <c r="K307">
        <f t="shared" si="7"/>
        <v>146.87639623025947</v>
      </c>
    </row>
    <row r="308" spans="10:11" ht="14" thickBot="1" x14ac:dyDescent="0.2">
      <c r="J308" s="98">
        <f t="shared" si="6"/>
        <v>45231</v>
      </c>
      <c r="K308">
        <f t="shared" si="7"/>
        <v>147.29891845488893</v>
      </c>
    </row>
    <row r="309" spans="10:11" ht="14" thickBot="1" x14ac:dyDescent="0.2">
      <c r="J309" s="98">
        <f t="shared" si="6"/>
        <v>45232</v>
      </c>
      <c r="K309">
        <f t="shared" si="7"/>
        <v>147.72265615753182</v>
      </c>
    </row>
    <row r="310" spans="10:11" ht="14" thickBot="1" x14ac:dyDescent="0.2">
      <c r="J310" s="98">
        <f t="shared" si="6"/>
        <v>45233</v>
      </c>
      <c r="K310">
        <f t="shared" si="7"/>
        <v>148.14761283477765</v>
      </c>
    </row>
    <row r="311" spans="10:11" ht="14" thickBot="1" x14ac:dyDescent="0.2">
      <c r="J311" s="98">
        <f t="shared" si="6"/>
        <v>45234</v>
      </c>
      <c r="K311">
        <f t="shared" si="7"/>
        <v>148.57379199327471</v>
      </c>
    </row>
    <row r="312" spans="10:11" ht="14" thickBot="1" x14ac:dyDescent="0.2">
      <c r="J312" s="98">
        <f t="shared" si="6"/>
        <v>45235</v>
      </c>
      <c r="K312">
        <f t="shared" si="7"/>
        <v>149.00119714975895</v>
      </c>
    </row>
    <row r="313" spans="10:11" ht="14" thickBot="1" x14ac:dyDescent="0.2">
      <c r="J313" s="98">
        <f t="shared" si="6"/>
        <v>45236</v>
      </c>
      <c r="K313">
        <f t="shared" si="7"/>
        <v>149.42983183108291</v>
      </c>
    </row>
    <row r="314" spans="10:11" ht="14" thickBot="1" x14ac:dyDescent="0.2">
      <c r="J314" s="98">
        <f t="shared" si="6"/>
        <v>45237</v>
      </c>
      <c r="K314">
        <f t="shared" si="7"/>
        <v>149.85969957424496</v>
      </c>
    </row>
    <row r="315" spans="10:11" ht="14" thickBot="1" x14ac:dyDescent="0.2">
      <c r="J315" s="98">
        <f t="shared" si="6"/>
        <v>45238</v>
      </c>
      <c r="K315">
        <f t="shared" si="7"/>
        <v>150.29080392641839</v>
      </c>
    </row>
    <row r="316" spans="10:11" ht="14" thickBot="1" x14ac:dyDescent="0.2">
      <c r="J316" s="98">
        <f t="shared" si="6"/>
        <v>45239</v>
      </c>
      <c r="K316">
        <f t="shared" si="7"/>
        <v>150.72314844498072</v>
      </c>
    </row>
    <row r="317" spans="10:11" ht="14" thickBot="1" x14ac:dyDescent="0.2">
      <c r="J317" s="98">
        <f t="shared" si="6"/>
        <v>45240</v>
      </c>
      <c r="K317">
        <f t="shared" si="7"/>
        <v>151.15673669754307</v>
      </c>
    </row>
    <row r="318" spans="10:11" ht="14" thickBot="1" x14ac:dyDescent="0.2">
      <c r="J318" s="98">
        <f t="shared" si="6"/>
        <v>45241</v>
      </c>
      <c r="K318">
        <f t="shared" si="7"/>
        <v>151.59157226197951</v>
      </c>
    </row>
    <row r="319" spans="10:11" ht="14" thickBot="1" x14ac:dyDescent="0.2">
      <c r="J319" s="98">
        <f t="shared" si="6"/>
        <v>45242</v>
      </c>
      <c r="K319">
        <f t="shared" si="7"/>
        <v>152.02765872645674</v>
      </c>
    </row>
    <row r="320" spans="10:11" ht="14" thickBot="1" x14ac:dyDescent="0.2">
      <c r="J320" s="98">
        <f t="shared" si="6"/>
        <v>45243</v>
      </c>
      <c r="K320">
        <f t="shared" si="7"/>
        <v>152.46499968946355</v>
      </c>
    </row>
    <row r="321" spans="10:11" ht="14" thickBot="1" x14ac:dyDescent="0.2">
      <c r="J321" s="98">
        <f t="shared" si="6"/>
        <v>45244</v>
      </c>
      <c r="K321">
        <f t="shared" si="7"/>
        <v>152.90359875984061</v>
      </c>
    </row>
    <row r="322" spans="10:11" ht="14" thickBot="1" x14ac:dyDescent="0.2">
      <c r="J322" s="98">
        <f t="shared" si="6"/>
        <v>45245</v>
      </c>
      <c r="K322">
        <f t="shared" si="7"/>
        <v>153.34345955681016</v>
      </c>
    </row>
    <row r="323" spans="10:11" ht="14" thickBot="1" x14ac:dyDescent="0.2">
      <c r="J323" s="98">
        <f t="shared" si="6"/>
        <v>45246</v>
      </c>
      <c r="K323">
        <f t="shared" ref="K323:K352" si="8">K322*$O$8</f>
        <v>153.77033604623958</v>
      </c>
    </row>
    <row r="324" spans="10:11" ht="14" thickBot="1" x14ac:dyDescent="0.2">
      <c r="J324" s="98">
        <f t="shared" si="6"/>
        <v>45247</v>
      </c>
      <c r="K324">
        <f t="shared" si="8"/>
        <v>154.19840087156379</v>
      </c>
    </row>
    <row r="325" spans="10:11" ht="14" thickBot="1" x14ac:dyDescent="0.2">
      <c r="J325" s="98">
        <f t="shared" si="6"/>
        <v>45248</v>
      </c>
      <c r="K325">
        <f t="shared" si="8"/>
        <v>154.62765734086429</v>
      </c>
    </row>
    <row r="326" spans="10:11" ht="14" thickBot="1" x14ac:dyDescent="0.2">
      <c r="J326" s="98">
        <f t="shared" si="6"/>
        <v>45249</v>
      </c>
      <c r="K326">
        <f t="shared" si="8"/>
        <v>155.05810877143153</v>
      </c>
    </row>
    <row r="327" spans="10:11" ht="14" thickBot="1" x14ac:dyDescent="0.2">
      <c r="J327" s="98">
        <f t="shared" si="6"/>
        <v>45250</v>
      </c>
      <c r="K327">
        <f t="shared" si="8"/>
        <v>155.48975848979066</v>
      </c>
    </row>
    <row r="328" spans="10:11" ht="14" thickBot="1" x14ac:dyDescent="0.2">
      <c r="J328" s="98">
        <f t="shared" si="6"/>
        <v>45251</v>
      </c>
      <c r="K328">
        <f t="shared" si="8"/>
        <v>155.92260983172713</v>
      </c>
    </row>
    <row r="329" spans="10:11" ht="14" thickBot="1" x14ac:dyDescent="0.2">
      <c r="J329" s="98">
        <f t="shared" ref="J329:J392" si="9">J328+1</f>
        <v>45252</v>
      </c>
      <c r="K329">
        <f t="shared" si="8"/>
        <v>156.35666614231258</v>
      </c>
    </row>
    <row r="330" spans="10:11" ht="14" thickBot="1" x14ac:dyDescent="0.2">
      <c r="J330" s="98">
        <f t="shared" si="9"/>
        <v>45253</v>
      </c>
      <c r="K330">
        <f t="shared" si="8"/>
        <v>156.79193077593061</v>
      </c>
    </row>
    <row r="331" spans="10:11" ht="14" thickBot="1" x14ac:dyDescent="0.2">
      <c r="J331" s="98">
        <f t="shared" si="9"/>
        <v>45254</v>
      </c>
      <c r="K331">
        <f t="shared" si="8"/>
        <v>157.22840709630273</v>
      </c>
    </row>
    <row r="332" spans="10:11" ht="14" thickBot="1" x14ac:dyDescent="0.2">
      <c r="J332" s="98">
        <f t="shared" si="9"/>
        <v>45255</v>
      </c>
      <c r="K332">
        <f t="shared" si="8"/>
        <v>157.66609847651438</v>
      </c>
    </row>
    <row r="333" spans="10:11" ht="14" thickBot="1" x14ac:dyDescent="0.2">
      <c r="J333" s="98">
        <f t="shared" si="9"/>
        <v>45256</v>
      </c>
      <c r="K333">
        <f t="shared" si="8"/>
        <v>158.10500829904092</v>
      </c>
    </row>
    <row r="334" spans="10:11" ht="14" thickBot="1" x14ac:dyDescent="0.2">
      <c r="J334" s="98">
        <f t="shared" si="9"/>
        <v>45257</v>
      </c>
      <c r="K334">
        <f t="shared" si="8"/>
        <v>158.54513995577386</v>
      </c>
    </row>
    <row r="335" spans="10:11" ht="14" thickBot="1" x14ac:dyDescent="0.2">
      <c r="J335" s="98">
        <f t="shared" si="9"/>
        <v>45258</v>
      </c>
      <c r="K335">
        <f t="shared" si="8"/>
        <v>158.98649684804707</v>
      </c>
    </row>
    <row r="336" spans="10:11" ht="14" thickBot="1" x14ac:dyDescent="0.2">
      <c r="J336" s="98">
        <f t="shared" si="9"/>
        <v>45259</v>
      </c>
      <c r="K336">
        <f t="shared" si="8"/>
        <v>159.42908238666294</v>
      </c>
    </row>
    <row r="337" spans="10:11" ht="14" thickBot="1" x14ac:dyDescent="0.2">
      <c r="J337" s="98">
        <f t="shared" si="9"/>
        <v>45260</v>
      </c>
      <c r="K337">
        <f t="shared" si="8"/>
        <v>159.87289999191893</v>
      </c>
    </row>
    <row r="338" spans="10:11" ht="14" thickBot="1" x14ac:dyDescent="0.2">
      <c r="J338" s="98">
        <f t="shared" si="9"/>
        <v>45261</v>
      </c>
      <c r="K338">
        <f t="shared" si="8"/>
        <v>160.3179530936338</v>
      </c>
    </row>
    <row r="339" spans="10:11" ht="14" thickBot="1" x14ac:dyDescent="0.2">
      <c r="J339" s="98">
        <f t="shared" si="9"/>
        <v>45262</v>
      </c>
      <c r="K339">
        <f t="shared" si="8"/>
        <v>160.76424513117431</v>
      </c>
    </row>
    <row r="340" spans="10:11" ht="14" thickBot="1" x14ac:dyDescent="0.2">
      <c r="J340" s="98">
        <f t="shared" si="9"/>
        <v>45263</v>
      </c>
      <c r="K340">
        <f t="shared" si="8"/>
        <v>161.21177955348162</v>
      </c>
    </row>
    <row r="341" spans="10:11" ht="14" thickBot="1" x14ac:dyDescent="0.2">
      <c r="J341" s="98">
        <f t="shared" si="9"/>
        <v>45264</v>
      </c>
      <c r="K341">
        <f t="shared" si="8"/>
        <v>161.66055981909813</v>
      </c>
    </row>
    <row r="342" spans="10:11" ht="14" thickBot="1" x14ac:dyDescent="0.2">
      <c r="J342" s="98">
        <f t="shared" si="9"/>
        <v>45265</v>
      </c>
      <c r="K342">
        <f t="shared" si="8"/>
        <v>162.110589396194</v>
      </c>
    </row>
    <row r="343" spans="10:11" ht="14" thickBot="1" x14ac:dyDescent="0.2">
      <c r="J343" s="98">
        <f t="shared" si="9"/>
        <v>45266</v>
      </c>
      <c r="K343">
        <f t="shared" si="8"/>
        <v>162.56187176259414</v>
      </c>
    </row>
    <row r="344" spans="10:11" ht="14" thickBot="1" x14ac:dyDescent="0.2">
      <c r="J344" s="98">
        <f t="shared" si="9"/>
        <v>45267</v>
      </c>
      <c r="K344">
        <f t="shared" si="8"/>
        <v>163.01441040580494</v>
      </c>
    </row>
    <row r="345" spans="10:11" ht="14" thickBot="1" x14ac:dyDescent="0.2">
      <c r="J345" s="98">
        <f t="shared" si="9"/>
        <v>45268</v>
      </c>
      <c r="K345">
        <f t="shared" si="8"/>
        <v>163.46820882304132</v>
      </c>
    </row>
    <row r="346" spans="10:11" ht="14" thickBot="1" x14ac:dyDescent="0.2">
      <c r="J346" s="98">
        <f t="shared" si="9"/>
        <v>45269</v>
      </c>
      <c r="K346">
        <f t="shared" si="8"/>
        <v>163.92327052125376</v>
      </c>
    </row>
    <row r="347" spans="10:11" ht="14" thickBot="1" x14ac:dyDescent="0.2">
      <c r="J347" s="98">
        <f t="shared" si="9"/>
        <v>45270</v>
      </c>
      <c r="K347">
        <f t="shared" si="8"/>
        <v>164.3795990171553</v>
      </c>
    </row>
    <row r="348" spans="10:11" ht="14" thickBot="1" x14ac:dyDescent="0.2">
      <c r="J348" s="98">
        <f t="shared" si="9"/>
        <v>45271</v>
      </c>
      <c r="K348">
        <f t="shared" si="8"/>
        <v>164.83719783724882</v>
      </c>
    </row>
    <row r="349" spans="10:11" ht="14" thickBot="1" x14ac:dyDescent="0.2">
      <c r="J349" s="98">
        <f t="shared" si="9"/>
        <v>45272</v>
      </c>
      <c r="K349">
        <f t="shared" si="8"/>
        <v>165.29607051785425</v>
      </c>
    </row>
    <row r="350" spans="10:11" ht="14" thickBot="1" x14ac:dyDescent="0.2">
      <c r="J350" s="98">
        <f t="shared" si="9"/>
        <v>45273</v>
      </c>
      <c r="K350">
        <f t="shared" si="8"/>
        <v>165.75622060513589</v>
      </c>
    </row>
    <row r="351" spans="10:11" ht="14" thickBot="1" x14ac:dyDescent="0.2">
      <c r="J351" s="98">
        <f t="shared" si="9"/>
        <v>45274</v>
      </c>
      <c r="K351">
        <f t="shared" si="8"/>
        <v>166.21765165512986</v>
      </c>
    </row>
    <row r="352" spans="10:11" ht="14" thickBot="1" x14ac:dyDescent="0.2">
      <c r="J352" s="98">
        <f t="shared" si="9"/>
        <v>45275</v>
      </c>
      <c r="K352">
        <f t="shared" si="8"/>
        <v>166.68036723377151</v>
      </c>
    </row>
    <row r="353" spans="10:11" ht="14" thickBot="1" x14ac:dyDescent="0.2">
      <c r="J353" s="98">
        <f t="shared" si="9"/>
        <v>45276</v>
      </c>
      <c r="K353">
        <f t="shared" ref="K353:K383" si="10">K352*$O$9</f>
        <v>167.10851266090467</v>
      </c>
    </row>
    <row r="354" spans="10:11" ht="14" thickBot="1" x14ac:dyDescent="0.2">
      <c r="J354" s="98">
        <f t="shared" si="9"/>
        <v>45277</v>
      </c>
      <c r="K354">
        <f t="shared" si="10"/>
        <v>167.5377578486744</v>
      </c>
    </row>
    <row r="355" spans="10:11" ht="14" thickBot="1" x14ac:dyDescent="0.2">
      <c r="J355" s="98">
        <f t="shared" si="9"/>
        <v>45278</v>
      </c>
      <c r="K355">
        <f t="shared" si="10"/>
        <v>167.96810562199343</v>
      </c>
    </row>
    <row r="356" spans="10:11" ht="14" thickBot="1" x14ac:dyDescent="0.2">
      <c r="J356" s="98">
        <f t="shared" si="9"/>
        <v>45279</v>
      </c>
      <c r="K356">
        <f t="shared" si="10"/>
        <v>168.39955881303069</v>
      </c>
    </row>
    <row r="357" spans="10:11" ht="14" thickBot="1" x14ac:dyDescent="0.2">
      <c r="J357" s="98">
        <f t="shared" si="9"/>
        <v>45280</v>
      </c>
      <c r="K357">
        <f t="shared" si="10"/>
        <v>168.83212026123005</v>
      </c>
    </row>
    <row r="358" spans="10:11" ht="14" thickBot="1" x14ac:dyDescent="0.2">
      <c r="J358" s="98">
        <f t="shared" si="9"/>
        <v>45281</v>
      </c>
      <c r="K358">
        <f t="shared" si="10"/>
        <v>169.26579281332889</v>
      </c>
    </row>
    <row r="359" spans="10:11" ht="14" thickBot="1" x14ac:dyDescent="0.2">
      <c r="J359" s="98">
        <f t="shared" si="9"/>
        <v>45282</v>
      </c>
      <c r="K359">
        <f t="shared" si="10"/>
        <v>169.7005793233769</v>
      </c>
    </row>
    <row r="360" spans="10:11" ht="14" thickBot="1" x14ac:dyDescent="0.2">
      <c r="J360" s="98">
        <f t="shared" si="9"/>
        <v>45283</v>
      </c>
      <c r="K360">
        <f t="shared" si="10"/>
        <v>170.13648265275492</v>
      </c>
    </row>
    <row r="361" spans="10:11" ht="14" thickBot="1" x14ac:dyDescent="0.2">
      <c r="J361" s="98">
        <f t="shared" si="9"/>
        <v>45284</v>
      </c>
      <c r="K361">
        <f t="shared" si="10"/>
        <v>170.57350567019364</v>
      </c>
    </row>
    <row r="362" spans="10:11" ht="14" thickBot="1" x14ac:dyDescent="0.2">
      <c r="J362" s="98">
        <f t="shared" si="9"/>
        <v>45285</v>
      </c>
      <c r="K362">
        <f t="shared" si="10"/>
        <v>171.01165125179259</v>
      </c>
    </row>
    <row r="363" spans="10:11" ht="14" thickBot="1" x14ac:dyDescent="0.2">
      <c r="J363" s="98">
        <f t="shared" si="9"/>
        <v>45286</v>
      </c>
      <c r="K363">
        <f t="shared" si="10"/>
        <v>171.45092228103897</v>
      </c>
    </row>
    <row r="364" spans="10:11" ht="14" thickBot="1" x14ac:dyDescent="0.2">
      <c r="J364" s="98">
        <f t="shared" si="9"/>
        <v>45287</v>
      </c>
      <c r="K364">
        <f t="shared" si="10"/>
        <v>171.89132164882676</v>
      </c>
    </row>
    <row r="365" spans="10:11" ht="14" thickBot="1" x14ac:dyDescent="0.2">
      <c r="J365" s="98">
        <f t="shared" si="9"/>
        <v>45288</v>
      </c>
      <c r="K365">
        <f t="shared" si="10"/>
        <v>172.33285225347561</v>
      </c>
    </row>
    <row r="366" spans="10:11" ht="14" thickBot="1" x14ac:dyDescent="0.2">
      <c r="J366" s="98">
        <f t="shared" si="9"/>
        <v>45289</v>
      </c>
      <c r="K366">
        <f t="shared" si="10"/>
        <v>172.77551700075</v>
      </c>
    </row>
    <row r="367" spans="10:11" ht="14" thickBot="1" x14ac:dyDescent="0.2">
      <c r="J367" s="98">
        <f t="shared" si="9"/>
        <v>45290</v>
      </c>
      <c r="K367">
        <f t="shared" si="10"/>
        <v>173.21931880387831</v>
      </c>
    </row>
    <row r="368" spans="10:11" ht="14" thickBot="1" x14ac:dyDescent="0.2">
      <c r="J368" s="98">
        <f t="shared" si="9"/>
        <v>45291</v>
      </c>
      <c r="K368">
        <f t="shared" si="10"/>
        <v>173.66426058357206</v>
      </c>
    </row>
    <row r="369" spans="10:11" ht="14" thickBot="1" x14ac:dyDescent="0.2">
      <c r="J369" s="98">
        <f t="shared" si="9"/>
        <v>45292</v>
      </c>
      <c r="K369">
        <f t="shared" si="10"/>
        <v>174.11034526804502</v>
      </c>
    </row>
    <row r="370" spans="10:11" ht="14" thickBot="1" x14ac:dyDescent="0.2">
      <c r="J370" s="98">
        <f t="shared" si="9"/>
        <v>45293</v>
      </c>
      <c r="K370">
        <f t="shared" si="10"/>
        <v>174.55757579303264</v>
      </c>
    </row>
    <row r="371" spans="10:11" ht="14" thickBot="1" x14ac:dyDescent="0.2">
      <c r="J371" s="98">
        <f t="shared" si="9"/>
        <v>45294</v>
      </c>
      <c r="K371">
        <f t="shared" si="10"/>
        <v>175.0059551018112</v>
      </c>
    </row>
    <row r="372" spans="10:11" ht="14" thickBot="1" x14ac:dyDescent="0.2">
      <c r="J372" s="98">
        <f t="shared" si="9"/>
        <v>45295</v>
      </c>
      <c r="K372">
        <f t="shared" si="10"/>
        <v>175.45548614521729</v>
      </c>
    </row>
    <row r="373" spans="10:11" ht="14" thickBot="1" x14ac:dyDescent="0.2">
      <c r="J373" s="98">
        <f t="shared" si="9"/>
        <v>45296</v>
      </c>
      <c r="K373">
        <f t="shared" si="10"/>
        <v>175.90617188166723</v>
      </c>
    </row>
    <row r="374" spans="10:11" ht="14" thickBot="1" x14ac:dyDescent="0.2">
      <c r="J374" s="98">
        <f t="shared" si="9"/>
        <v>45297</v>
      </c>
      <c r="K374">
        <f t="shared" si="10"/>
        <v>176.35801527717646</v>
      </c>
    </row>
    <row r="375" spans="10:11" ht="14" thickBot="1" x14ac:dyDescent="0.2">
      <c r="J375" s="98">
        <f t="shared" si="9"/>
        <v>45298</v>
      </c>
      <c r="K375">
        <f t="shared" si="10"/>
        <v>176.81101930537915</v>
      </c>
    </row>
    <row r="376" spans="10:11" ht="14" thickBot="1" x14ac:dyDescent="0.2">
      <c r="J376" s="98">
        <f t="shared" si="9"/>
        <v>45299</v>
      </c>
      <c r="K376">
        <f t="shared" si="10"/>
        <v>177.2651869475477</v>
      </c>
    </row>
    <row r="377" spans="10:11" ht="14" thickBot="1" x14ac:dyDescent="0.2">
      <c r="J377" s="98">
        <f t="shared" si="9"/>
        <v>45300</v>
      </c>
      <c r="K377">
        <f t="shared" si="10"/>
        <v>177.72052119261241</v>
      </c>
    </row>
    <row r="378" spans="10:11" ht="14" thickBot="1" x14ac:dyDescent="0.2">
      <c r="J378" s="98">
        <f t="shared" si="9"/>
        <v>45301</v>
      </c>
      <c r="K378">
        <f t="shared" si="10"/>
        <v>178.1770250371811</v>
      </c>
    </row>
    <row r="379" spans="10:11" ht="14" thickBot="1" x14ac:dyDescent="0.2">
      <c r="J379" s="98">
        <f t="shared" si="9"/>
        <v>45302</v>
      </c>
      <c r="K379">
        <f t="shared" si="10"/>
        <v>178.63470148555888</v>
      </c>
    </row>
    <row r="380" spans="10:11" ht="14" thickBot="1" x14ac:dyDescent="0.2">
      <c r="J380" s="98">
        <f t="shared" si="9"/>
        <v>45303</v>
      </c>
      <c r="K380">
        <f t="shared" si="10"/>
        <v>179.09355354976793</v>
      </c>
    </row>
    <row r="381" spans="10:11" ht="14" thickBot="1" x14ac:dyDescent="0.2">
      <c r="J381" s="98">
        <f t="shared" si="9"/>
        <v>45304</v>
      </c>
      <c r="K381">
        <f t="shared" si="10"/>
        <v>179.55358424956725</v>
      </c>
    </row>
    <row r="382" spans="10:11" ht="14" thickBot="1" x14ac:dyDescent="0.2">
      <c r="J382" s="98">
        <f t="shared" si="9"/>
        <v>45305</v>
      </c>
      <c r="K382">
        <f t="shared" si="10"/>
        <v>180.01479661247259</v>
      </c>
    </row>
    <row r="383" spans="10:11" ht="14" thickBot="1" x14ac:dyDescent="0.2">
      <c r="J383" s="98">
        <f t="shared" si="9"/>
        <v>45306</v>
      </c>
      <c r="K383">
        <f t="shared" si="10"/>
        <v>180.47719367377641</v>
      </c>
    </row>
    <row r="384" spans="10:11" ht="14" thickBot="1" x14ac:dyDescent="0.2">
      <c r="J384" s="98">
        <f t="shared" si="9"/>
        <v>45307</v>
      </c>
      <c r="K384">
        <f t="shared" ref="K384:K414" si="11">K383*$O$10</f>
        <v>180.87152199676197</v>
      </c>
    </row>
    <row r="385" spans="10:11" ht="14" thickBot="1" x14ac:dyDescent="0.2">
      <c r="J385" s="98">
        <f t="shared" si="9"/>
        <v>45308</v>
      </c>
      <c r="K385">
        <f t="shared" si="11"/>
        <v>181.26671189579017</v>
      </c>
    </row>
    <row r="386" spans="10:11" ht="14" thickBot="1" x14ac:dyDescent="0.2">
      <c r="J386" s="98">
        <f t="shared" si="9"/>
        <v>45309</v>
      </c>
      <c r="K386">
        <f t="shared" si="11"/>
        <v>181.66276525333615</v>
      </c>
    </row>
    <row r="387" spans="10:11" ht="14" thickBot="1" x14ac:dyDescent="0.2">
      <c r="J387" s="98">
        <f t="shared" si="9"/>
        <v>45310</v>
      </c>
      <c r="K387">
        <f t="shared" si="11"/>
        <v>182.05968395598813</v>
      </c>
    </row>
    <row r="388" spans="10:11" ht="14" thickBot="1" x14ac:dyDescent="0.2">
      <c r="J388" s="98">
        <f t="shared" si="9"/>
        <v>45311</v>
      </c>
      <c r="K388">
        <f t="shared" si="11"/>
        <v>182.45746989445644</v>
      </c>
    </row>
    <row r="389" spans="10:11" ht="14" thickBot="1" x14ac:dyDescent="0.2">
      <c r="J389" s="98">
        <f t="shared" si="9"/>
        <v>45312</v>
      </c>
      <c r="K389">
        <f t="shared" si="11"/>
        <v>182.85612496358235</v>
      </c>
    </row>
    <row r="390" spans="10:11" ht="14" thickBot="1" x14ac:dyDescent="0.2">
      <c r="J390" s="98">
        <f t="shared" si="9"/>
        <v>45313</v>
      </c>
      <c r="K390">
        <f t="shared" si="11"/>
        <v>183.25565106234728</v>
      </c>
    </row>
    <row r="391" spans="10:11" ht="14" thickBot="1" x14ac:dyDescent="0.2">
      <c r="J391" s="98">
        <f t="shared" si="9"/>
        <v>45314</v>
      </c>
      <c r="K391">
        <f t="shared" si="11"/>
        <v>183.65605009388179</v>
      </c>
    </row>
    <row r="392" spans="10:11" ht="14" thickBot="1" x14ac:dyDescent="0.2">
      <c r="J392" s="98">
        <f t="shared" si="9"/>
        <v>45315</v>
      </c>
      <c r="K392">
        <f t="shared" si="11"/>
        <v>184.05732396547455</v>
      </c>
    </row>
    <row r="393" spans="10:11" ht="14" thickBot="1" x14ac:dyDescent="0.2">
      <c r="J393" s="98">
        <f t="shared" ref="J393:J456" si="12">J392+1</f>
        <v>45316</v>
      </c>
      <c r="K393">
        <f t="shared" si="11"/>
        <v>184.45947458858157</v>
      </c>
    </row>
    <row r="394" spans="10:11" ht="14" thickBot="1" x14ac:dyDescent="0.2">
      <c r="J394" s="98">
        <f t="shared" si="12"/>
        <v>45317</v>
      </c>
      <c r="K394">
        <f t="shared" si="11"/>
        <v>184.86250387883524</v>
      </c>
    </row>
    <row r="395" spans="10:11" ht="14" thickBot="1" x14ac:dyDescent="0.2">
      <c r="J395" s="98">
        <f t="shared" si="12"/>
        <v>45318</v>
      </c>
      <c r="K395">
        <f t="shared" si="11"/>
        <v>185.2664137560534</v>
      </c>
    </row>
    <row r="396" spans="10:11" ht="14" thickBot="1" x14ac:dyDescent="0.2">
      <c r="J396" s="98">
        <f t="shared" si="12"/>
        <v>45319</v>
      </c>
      <c r="K396">
        <f t="shared" si="11"/>
        <v>185.6712061442486</v>
      </c>
    </row>
    <row r="397" spans="10:11" ht="14" thickBot="1" x14ac:dyDescent="0.2">
      <c r="J397" s="98">
        <f t="shared" si="12"/>
        <v>45320</v>
      </c>
      <c r="K397">
        <f t="shared" si="11"/>
        <v>186.07688297163716</v>
      </c>
    </row>
    <row r="398" spans="10:11" ht="14" thickBot="1" x14ac:dyDescent="0.2">
      <c r="J398" s="98">
        <f t="shared" si="12"/>
        <v>45321</v>
      </c>
      <c r="K398">
        <f t="shared" si="11"/>
        <v>186.48344617064842</v>
      </c>
    </row>
    <row r="399" spans="10:11" ht="14" thickBot="1" x14ac:dyDescent="0.2">
      <c r="J399" s="98">
        <f t="shared" si="12"/>
        <v>45322</v>
      </c>
      <c r="K399">
        <f t="shared" si="11"/>
        <v>186.89089767793394</v>
      </c>
    </row>
    <row r="400" spans="10:11" ht="14" thickBot="1" x14ac:dyDescent="0.2">
      <c r="J400" s="98">
        <f t="shared" si="12"/>
        <v>45323</v>
      </c>
      <c r="K400">
        <f t="shared" si="11"/>
        <v>187.29923943437669</v>
      </c>
    </row>
    <row r="401" spans="10:11" ht="14" thickBot="1" x14ac:dyDescent="0.2">
      <c r="J401" s="98">
        <f t="shared" si="12"/>
        <v>45324</v>
      </c>
      <c r="K401">
        <f t="shared" si="11"/>
        <v>187.70847338510029</v>
      </c>
    </row>
    <row r="402" spans="10:11" ht="14" thickBot="1" x14ac:dyDescent="0.2">
      <c r="J402" s="98">
        <f t="shared" si="12"/>
        <v>45325</v>
      </c>
      <c r="K402">
        <f t="shared" si="11"/>
        <v>188.11860147947837</v>
      </c>
    </row>
    <row r="403" spans="10:11" ht="14" thickBot="1" x14ac:dyDescent="0.2">
      <c r="J403" s="98">
        <f t="shared" si="12"/>
        <v>45326</v>
      </c>
      <c r="K403">
        <f t="shared" si="11"/>
        <v>188.52962567114372</v>
      </c>
    </row>
    <row r="404" spans="10:11" ht="14" thickBot="1" x14ac:dyDescent="0.2">
      <c r="J404" s="98">
        <f t="shared" si="12"/>
        <v>45327</v>
      </c>
      <c r="K404">
        <f t="shared" si="11"/>
        <v>188.94154791799767</v>
      </c>
    </row>
    <row r="405" spans="10:11" ht="14" thickBot="1" x14ac:dyDescent="0.2">
      <c r="J405" s="98">
        <f t="shared" si="12"/>
        <v>45328</v>
      </c>
      <c r="K405">
        <f t="shared" si="11"/>
        <v>189.35437018221944</v>
      </c>
    </row>
    <row r="406" spans="10:11" ht="14" thickBot="1" x14ac:dyDescent="0.2">
      <c r="J406" s="98">
        <f t="shared" si="12"/>
        <v>45329</v>
      </c>
      <c r="K406">
        <f t="shared" si="11"/>
        <v>189.76809443027545</v>
      </c>
    </row>
    <row r="407" spans="10:11" ht="14" thickBot="1" x14ac:dyDescent="0.2">
      <c r="J407" s="98">
        <f t="shared" si="12"/>
        <v>45330</v>
      </c>
      <c r="K407">
        <f t="shared" si="11"/>
        <v>190.18272263292869</v>
      </c>
    </row>
    <row r="408" spans="10:11" ht="14" thickBot="1" x14ac:dyDescent="0.2">
      <c r="J408" s="98">
        <f t="shared" si="12"/>
        <v>45331</v>
      </c>
      <c r="K408">
        <f t="shared" si="11"/>
        <v>190.5982567652481</v>
      </c>
    </row>
    <row r="409" spans="10:11" ht="14" thickBot="1" x14ac:dyDescent="0.2">
      <c r="J409" s="98">
        <f t="shared" si="12"/>
        <v>45332</v>
      </c>
      <c r="K409">
        <f t="shared" si="11"/>
        <v>191.01469880661796</v>
      </c>
    </row>
    <row r="410" spans="10:11" ht="14" thickBot="1" x14ac:dyDescent="0.2">
      <c r="J410" s="98">
        <f t="shared" si="12"/>
        <v>45333</v>
      </c>
      <c r="K410">
        <f t="shared" si="11"/>
        <v>191.4320507407474</v>
      </c>
    </row>
    <row r="411" spans="10:11" ht="14" thickBot="1" x14ac:dyDescent="0.2">
      <c r="J411" s="98">
        <f t="shared" si="12"/>
        <v>45334</v>
      </c>
      <c r="K411">
        <f t="shared" si="11"/>
        <v>191.8503145556798</v>
      </c>
    </row>
    <row r="412" spans="10:11" ht="14" thickBot="1" x14ac:dyDescent="0.2">
      <c r="J412" s="98">
        <f t="shared" si="12"/>
        <v>45335</v>
      </c>
      <c r="K412">
        <f t="shared" si="11"/>
        <v>192.2694922438022</v>
      </c>
    </row>
    <row r="413" spans="10:11" ht="14" thickBot="1" x14ac:dyDescent="0.2">
      <c r="J413" s="98">
        <f t="shared" si="12"/>
        <v>45336</v>
      </c>
      <c r="K413">
        <f t="shared" si="11"/>
        <v>192.68958580185492</v>
      </c>
    </row>
    <row r="414" spans="10:11" ht="14" thickBot="1" x14ac:dyDescent="0.2">
      <c r="J414" s="98">
        <f t="shared" si="12"/>
        <v>45337</v>
      </c>
      <c r="K414">
        <f t="shared" si="11"/>
        <v>193.11059723094093</v>
      </c>
    </row>
    <row r="415" spans="10:11" ht="14" thickBot="1" x14ac:dyDescent="0.2">
      <c r="J415" s="98">
        <f t="shared" si="12"/>
        <v>45338</v>
      </c>
      <c r="K415">
        <f t="shared" ref="K415:K443" si="13">K414*$O$11</f>
        <v>193.47391740728798</v>
      </c>
    </row>
    <row r="416" spans="10:11" ht="14" thickBot="1" x14ac:dyDescent="0.2">
      <c r="J416" s="98">
        <f t="shared" si="12"/>
        <v>45339</v>
      </c>
      <c r="K416">
        <f t="shared" si="13"/>
        <v>193.83792113778708</v>
      </c>
    </row>
    <row r="417" spans="10:11" ht="14" thickBot="1" x14ac:dyDescent="0.2">
      <c r="J417" s="98">
        <f t="shared" si="12"/>
        <v>45340</v>
      </c>
      <c r="K417">
        <f t="shared" si="13"/>
        <v>194.20260970848372</v>
      </c>
    </row>
    <row r="418" spans="10:11" ht="14" thickBot="1" x14ac:dyDescent="0.2">
      <c r="J418" s="98">
        <f t="shared" si="12"/>
        <v>45341</v>
      </c>
      <c r="K418">
        <f t="shared" si="13"/>
        <v>194.567984407843</v>
      </c>
    </row>
    <row r="419" spans="10:11" ht="14" thickBot="1" x14ac:dyDescent="0.2">
      <c r="J419" s="98">
        <f t="shared" si="12"/>
        <v>45342</v>
      </c>
      <c r="K419">
        <f t="shared" si="13"/>
        <v>194.93404652675412</v>
      </c>
    </row>
    <row r="420" spans="10:11" ht="14" thickBot="1" x14ac:dyDescent="0.2">
      <c r="J420" s="98">
        <f t="shared" si="12"/>
        <v>45343</v>
      </c>
      <c r="K420">
        <f t="shared" si="13"/>
        <v>195.30079735853496</v>
      </c>
    </row>
    <row r="421" spans="10:11" ht="14" thickBot="1" x14ac:dyDescent="0.2">
      <c r="J421" s="98">
        <f t="shared" si="12"/>
        <v>45344</v>
      </c>
      <c r="K421">
        <f t="shared" si="13"/>
        <v>195.66823819893673</v>
      </c>
    </row>
    <row r="422" spans="10:11" ht="14" thickBot="1" x14ac:dyDescent="0.2">
      <c r="J422" s="98">
        <f t="shared" si="12"/>
        <v>45345</v>
      </c>
      <c r="K422">
        <f t="shared" si="13"/>
        <v>196.0363703461484</v>
      </c>
    </row>
    <row r="423" spans="10:11" ht="14" thickBot="1" x14ac:dyDescent="0.2">
      <c r="J423" s="98">
        <f t="shared" si="12"/>
        <v>45346</v>
      </c>
      <c r="K423">
        <f t="shared" si="13"/>
        <v>196.40519510080142</v>
      </c>
    </row>
    <row r="424" spans="10:11" ht="14" thickBot="1" x14ac:dyDescent="0.2">
      <c r="J424" s="98">
        <f t="shared" si="12"/>
        <v>45347</v>
      </c>
      <c r="K424">
        <f t="shared" si="13"/>
        <v>196.77471376597421</v>
      </c>
    </row>
    <row r="425" spans="10:11" ht="14" thickBot="1" x14ac:dyDescent="0.2">
      <c r="J425" s="98">
        <f t="shared" si="12"/>
        <v>45348</v>
      </c>
      <c r="K425">
        <f t="shared" si="13"/>
        <v>197.14492764719688</v>
      </c>
    </row>
    <row r="426" spans="10:11" ht="14" thickBot="1" x14ac:dyDescent="0.2">
      <c r="J426" s="98">
        <f t="shared" si="12"/>
        <v>45349</v>
      </c>
      <c r="K426">
        <f t="shared" si="13"/>
        <v>197.51583805245573</v>
      </c>
    </row>
    <row r="427" spans="10:11" ht="14" thickBot="1" x14ac:dyDescent="0.2">
      <c r="J427" s="98">
        <f t="shared" si="12"/>
        <v>45350</v>
      </c>
      <c r="K427">
        <f t="shared" si="13"/>
        <v>197.88744629219792</v>
      </c>
    </row>
    <row r="428" spans="10:11" ht="14" thickBot="1" x14ac:dyDescent="0.2">
      <c r="J428" s="98">
        <f t="shared" si="12"/>
        <v>45351</v>
      </c>
      <c r="K428">
        <f t="shared" si="13"/>
        <v>198.25975367933611</v>
      </c>
    </row>
    <row r="429" spans="10:11" ht="14" thickBot="1" x14ac:dyDescent="0.2">
      <c r="J429" s="98">
        <f t="shared" si="12"/>
        <v>45352</v>
      </c>
      <c r="K429">
        <f t="shared" si="13"/>
        <v>198.63276152925312</v>
      </c>
    </row>
    <row r="430" spans="10:11" ht="14" thickBot="1" x14ac:dyDescent="0.2">
      <c r="J430" s="98">
        <f t="shared" si="12"/>
        <v>45353</v>
      </c>
      <c r="K430">
        <f t="shared" si="13"/>
        <v>199.00647115980647</v>
      </c>
    </row>
    <row r="431" spans="10:11" ht="14" thickBot="1" x14ac:dyDescent="0.2">
      <c r="J431" s="98">
        <f t="shared" si="12"/>
        <v>45354</v>
      </c>
      <c r="K431">
        <f t="shared" si="13"/>
        <v>199.38088389133316</v>
      </c>
    </row>
    <row r="432" spans="10:11" ht="14" thickBot="1" x14ac:dyDescent="0.2">
      <c r="J432" s="98">
        <f t="shared" si="12"/>
        <v>45355</v>
      </c>
      <c r="K432">
        <f t="shared" si="13"/>
        <v>199.75600104665426</v>
      </c>
    </row>
    <row r="433" spans="10:11" ht="14" thickBot="1" x14ac:dyDescent="0.2">
      <c r="J433" s="98">
        <f t="shared" si="12"/>
        <v>45356</v>
      </c>
      <c r="K433">
        <f t="shared" si="13"/>
        <v>200.13182395107964</v>
      </c>
    </row>
    <row r="434" spans="10:11" ht="14" thickBot="1" x14ac:dyDescent="0.2">
      <c r="J434" s="98">
        <f t="shared" si="12"/>
        <v>45357</v>
      </c>
      <c r="K434">
        <f t="shared" si="13"/>
        <v>200.5083539324126</v>
      </c>
    </row>
    <row r="435" spans="10:11" ht="14" thickBot="1" x14ac:dyDescent="0.2">
      <c r="J435" s="98">
        <f t="shared" si="12"/>
        <v>45358</v>
      </c>
      <c r="K435">
        <f t="shared" si="13"/>
        <v>200.8855923209546</v>
      </c>
    </row>
    <row r="436" spans="10:11" ht="14" thickBot="1" x14ac:dyDescent="0.2">
      <c r="J436" s="98">
        <f t="shared" si="12"/>
        <v>45359</v>
      </c>
      <c r="K436">
        <f t="shared" si="13"/>
        <v>201.26354044950992</v>
      </c>
    </row>
    <row r="437" spans="10:11" ht="14" thickBot="1" x14ac:dyDescent="0.2">
      <c r="J437" s="98">
        <f t="shared" si="12"/>
        <v>45360</v>
      </c>
      <c r="K437">
        <f t="shared" si="13"/>
        <v>201.64219965339038</v>
      </c>
    </row>
    <row r="438" spans="10:11" ht="14" thickBot="1" x14ac:dyDescent="0.2">
      <c r="J438" s="98">
        <f t="shared" si="12"/>
        <v>45361</v>
      </c>
      <c r="K438">
        <f t="shared" si="13"/>
        <v>202.02157127042011</v>
      </c>
    </row>
    <row r="439" spans="10:11" ht="14" thickBot="1" x14ac:dyDescent="0.2">
      <c r="J439" s="98">
        <f t="shared" si="12"/>
        <v>45362</v>
      </c>
      <c r="K439">
        <f t="shared" si="13"/>
        <v>202.40165664094019</v>
      </c>
    </row>
    <row r="440" spans="10:11" ht="14" thickBot="1" x14ac:dyDescent="0.2">
      <c r="J440" s="98">
        <f t="shared" si="12"/>
        <v>45363</v>
      </c>
      <c r="K440">
        <f t="shared" si="13"/>
        <v>202.78245710781349</v>
      </c>
    </row>
    <row r="441" spans="10:11" ht="14" thickBot="1" x14ac:dyDescent="0.2">
      <c r="J441" s="98">
        <f t="shared" si="12"/>
        <v>45364</v>
      </c>
      <c r="K441">
        <f t="shared" si="13"/>
        <v>203.16397401642928</v>
      </c>
    </row>
    <row r="442" spans="10:11" ht="14" thickBot="1" x14ac:dyDescent="0.2">
      <c r="J442" s="98">
        <f t="shared" si="12"/>
        <v>45365</v>
      </c>
      <c r="K442">
        <f t="shared" si="13"/>
        <v>203.54620871470811</v>
      </c>
    </row>
    <row r="443" spans="10:11" ht="14" thickBot="1" x14ac:dyDescent="0.2">
      <c r="J443" s="98">
        <f t="shared" si="12"/>
        <v>45366</v>
      </c>
      <c r="K443">
        <f t="shared" si="13"/>
        <v>203.92916255310655</v>
      </c>
    </row>
    <row r="444" spans="10:11" ht="14" thickBot="1" x14ac:dyDescent="0.2">
      <c r="J444" s="98">
        <f t="shared" si="12"/>
        <v>45367</v>
      </c>
      <c r="K444">
        <f t="shared" ref="K444:K474" si="14">K443*$O$12</f>
        <v>204.28482009221415</v>
      </c>
    </row>
    <row r="445" spans="10:11" ht="14" thickBot="1" x14ac:dyDescent="0.2">
      <c r="J445" s="98">
        <f t="shared" si="12"/>
        <v>45368</v>
      </c>
      <c r="K445">
        <f t="shared" si="14"/>
        <v>204.64109790692893</v>
      </c>
    </row>
    <row r="446" spans="10:11" ht="14" thickBot="1" x14ac:dyDescent="0.2">
      <c r="J446" s="98">
        <f t="shared" si="12"/>
        <v>45369</v>
      </c>
      <c r="K446">
        <f t="shared" si="14"/>
        <v>204.99799707902702</v>
      </c>
    </row>
    <row r="447" spans="10:11" ht="14" thickBot="1" x14ac:dyDescent="0.2">
      <c r="J447" s="98">
        <f t="shared" si="12"/>
        <v>45370</v>
      </c>
      <c r="K447">
        <f t="shared" si="14"/>
        <v>205.35551869217113</v>
      </c>
    </row>
    <row r="448" spans="10:11" ht="14" thickBot="1" x14ac:dyDescent="0.2">
      <c r="J448" s="98">
        <f t="shared" si="12"/>
        <v>45371</v>
      </c>
      <c r="K448">
        <f t="shared" si="14"/>
        <v>205.71366383191398</v>
      </c>
    </row>
    <row r="449" spans="10:11" ht="14" thickBot="1" x14ac:dyDescent="0.2">
      <c r="J449" s="98">
        <f t="shared" si="12"/>
        <v>45372</v>
      </c>
      <c r="K449">
        <f t="shared" si="14"/>
        <v>206.07243358570148</v>
      </c>
    </row>
    <row r="450" spans="10:11" ht="14" thickBot="1" x14ac:dyDescent="0.2">
      <c r="J450" s="98">
        <f t="shared" si="12"/>
        <v>45373</v>
      </c>
      <c r="K450">
        <f t="shared" si="14"/>
        <v>206.43182904287607</v>
      </c>
    </row>
    <row r="451" spans="10:11" ht="14" thickBot="1" x14ac:dyDescent="0.2">
      <c r="J451" s="98">
        <f t="shared" si="12"/>
        <v>45374</v>
      </c>
      <c r="K451">
        <f t="shared" si="14"/>
        <v>206.79185129468007</v>
      </c>
    </row>
    <row r="452" spans="10:11" ht="14" thickBot="1" x14ac:dyDescent="0.2">
      <c r="J452" s="98">
        <f t="shared" si="12"/>
        <v>45375</v>
      </c>
      <c r="K452">
        <f t="shared" si="14"/>
        <v>207.15250143425891</v>
      </c>
    </row>
    <row r="453" spans="10:11" ht="14" thickBot="1" x14ac:dyDescent="0.2">
      <c r="J453" s="98">
        <f t="shared" si="12"/>
        <v>45376</v>
      </c>
      <c r="K453">
        <f t="shared" si="14"/>
        <v>207.5137805566645</v>
      </c>
    </row>
    <row r="454" spans="10:11" ht="14" thickBot="1" x14ac:dyDescent="0.2">
      <c r="J454" s="98">
        <f t="shared" si="12"/>
        <v>45377</v>
      </c>
      <c r="K454">
        <f t="shared" si="14"/>
        <v>207.87568975885856</v>
      </c>
    </row>
    <row r="455" spans="10:11" ht="14" thickBot="1" x14ac:dyDescent="0.2">
      <c r="J455" s="98">
        <f t="shared" si="12"/>
        <v>45378</v>
      </c>
      <c r="K455">
        <f t="shared" si="14"/>
        <v>208.23823013971594</v>
      </c>
    </row>
    <row r="456" spans="10:11" ht="14" thickBot="1" x14ac:dyDescent="0.2">
      <c r="J456" s="98">
        <f t="shared" si="12"/>
        <v>45379</v>
      </c>
      <c r="K456">
        <f t="shared" si="14"/>
        <v>208.60140280002796</v>
      </c>
    </row>
    <row r="457" spans="10:11" ht="14" thickBot="1" x14ac:dyDescent="0.2">
      <c r="J457" s="98">
        <f t="shared" ref="J457:J520" si="15">J456+1</f>
        <v>45380</v>
      </c>
      <c r="K457">
        <f t="shared" si="14"/>
        <v>208.96520884250572</v>
      </c>
    </row>
    <row r="458" spans="10:11" ht="14" thickBot="1" x14ac:dyDescent="0.2">
      <c r="J458" s="98">
        <f t="shared" si="15"/>
        <v>45381</v>
      </c>
      <c r="K458">
        <f t="shared" si="14"/>
        <v>209.32964937178352</v>
      </c>
    </row>
    <row r="459" spans="10:11" ht="14" thickBot="1" x14ac:dyDescent="0.2">
      <c r="J459" s="98">
        <f t="shared" si="15"/>
        <v>45382</v>
      </c>
      <c r="K459">
        <f t="shared" si="14"/>
        <v>209.69472549442213</v>
      </c>
    </row>
    <row r="460" spans="10:11" ht="14" thickBot="1" x14ac:dyDescent="0.2">
      <c r="J460" s="98">
        <f t="shared" si="15"/>
        <v>45383</v>
      </c>
      <c r="K460">
        <f t="shared" si="14"/>
        <v>210.06043831891219</v>
      </c>
    </row>
    <row r="461" spans="10:11" ht="14" thickBot="1" x14ac:dyDescent="0.2">
      <c r="J461" s="98">
        <f t="shared" si="15"/>
        <v>45384</v>
      </c>
      <c r="K461">
        <f t="shared" si="14"/>
        <v>210.42678895567761</v>
      </c>
    </row>
    <row r="462" spans="10:11" ht="14" thickBot="1" x14ac:dyDescent="0.2">
      <c r="J462" s="98">
        <f t="shared" si="15"/>
        <v>45385</v>
      </c>
      <c r="K462">
        <f t="shared" si="14"/>
        <v>210.79377851707886</v>
      </c>
    </row>
    <row r="463" spans="10:11" ht="14" thickBot="1" x14ac:dyDescent="0.2">
      <c r="J463" s="98">
        <f t="shared" si="15"/>
        <v>45386</v>
      </c>
      <c r="K463">
        <f t="shared" si="14"/>
        <v>211.16140811741644</v>
      </c>
    </row>
    <row r="464" spans="10:11" ht="14" thickBot="1" x14ac:dyDescent="0.2">
      <c r="J464" s="98">
        <f t="shared" si="15"/>
        <v>45387</v>
      </c>
      <c r="K464">
        <f t="shared" si="14"/>
        <v>211.5296788729342</v>
      </c>
    </row>
    <row r="465" spans="10:11" ht="14" thickBot="1" x14ac:dyDescent="0.2">
      <c r="J465" s="98">
        <f t="shared" si="15"/>
        <v>45388</v>
      </c>
      <c r="K465">
        <f t="shared" si="14"/>
        <v>211.89859190182273</v>
      </c>
    </row>
    <row r="466" spans="10:11" ht="14" thickBot="1" x14ac:dyDescent="0.2">
      <c r="J466" s="98">
        <f t="shared" si="15"/>
        <v>45389</v>
      </c>
      <c r="K466">
        <f t="shared" si="14"/>
        <v>212.26814832422281</v>
      </c>
    </row>
    <row r="467" spans="10:11" ht="14" thickBot="1" x14ac:dyDescent="0.2">
      <c r="J467" s="98">
        <f t="shared" si="15"/>
        <v>45390</v>
      </c>
      <c r="K467">
        <f t="shared" si="14"/>
        <v>212.63834926222873</v>
      </c>
    </row>
    <row r="468" spans="10:11" ht="14" thickBot="1" x14ac:dyDescent="0.2">
      <c r="J468" s="98">
        <f t="shared" si="15"/>
        <v>45391</v>
      </c>
      <c r="K468">
        <f t="shared" si="14"/>
        <v>213.00919583989176</v>
      </c>
    </row>
    <row r="469" spans="10:11" ht="14" thickBot="1" x14ac:dyDescent="0.2">
      <c r="J469" s="98">
        <f t="shared" si="15"/>
        <v>45392</v>
      </c>
      <c r="K469">
        <f t="shared" si="14"/>
        <v>213.38068918322355</v>
      </c>
    </row>
    <row r="470" spans="10:11" ht="14" thickBot="1" x14ac:dyDescent="0.2">
      <c r="J470" s="98">
        <f t="shared" si="15"/>
        <v>45393</v>
      </c>
      <c r="K470">
        <f t="shared" si="14"/>
        <v>213.75283042019953</v>
      </c>
    </row>
    <row r="471" spans="10:11" ht="14" thickBot="1" x14ac:dyDescent="0.2">
      <c r="J471" s="98">
        <f t="shared" si="15"/>
        <v>45394</v>
      </c>
      <c r="K471">
        <f t="shared" si="14"/>
        <v>214.12562068076235</v>
      </c>
    </row>
    <row r="472" spans="10:11" ht="14" thickBot="1" x14ac:dyDescent="0.2">
      <c r="J472" s="98">
        <f t="shared" si="15"/>
        <v>45395</v>
      </c>
      <c r="K472">
        <f t="shared" si="14"/>
        <v>214.49906109682533</v>
      </c>
    </row>
    <row r="473" spans="10:11" ht="14" thickBot="1" x14ac:dyDescent="0.2">
      <c r="J473" s="98">
        <f t="shared" si="15"/>
        <v>45396</v>
      </c>
      <c r="K473">
        <f t="shared" si="14"/>
        <v>214.87315280227585</v>
      </c>
    </row>
    <row r="474" spans="10:11" ht="14" thickBot="1" x14ac:dyDescent="0.2">
      <c r="J474" s="98">
        <f t="shared" si="15"/>
        <v>45397</v>
      </c>
      <c r="K474">
        <f t="shared" si="14"/>
        <v>215.24789693297882</v>
      </c>
    </row>
    <row r="475" spans="10:11" ht="14" thickBot="1" x14ac:dyDescent="0.2">
      <c r="J475" s="98">
        <f t="shared" si="15"/>
        <v>45398</v>
      </c>
      <c r="K475">
        <f t="shared" ref="K475:K504" si="16">K474*$O$13</f>
        <v>215.58693722248242</v>
      </c>
    </row>
    <row r="476" spans="10:11" ht="14" thickBot="1" x14ac:dyDescent="0.2">
      <c r="J476" s="98">
        <f t="shared" si="15"/>
        <v>45399</v>
      </c>
      <c r="K476">
        <f t="shared" si="16"/>
        <v>215.9265115395865</v>
      </c>
    </row>
    <row r="477" spans="10:11" ht="14" thickBot="1" x14ac:dyDescent="0.2">
      <c r="J477" s="98">
        <f t="shared" si="15"/>
        <v>45400</v>
      </c>
      <c r="K477">
        <f t="shared" si="16"/>
        <v>216.26662072544616</v>
      </c>
    </row>
    <row r="478" spans="10:11" ht="14" thickBot="1" x14ac:dyDescent="0.2">
      <c r="J478" s="98">
        <f t="shared" si="15"/>
        <v>45401</v>
      </c>
      <c r="K478">
        <f t="shared" si="16"/>
        <v>216.60726562254149</v>
      </c>
    </row>
    <row r="479" spans="10:11" ht="14" thickBot="1" x14ac:dyDescent="0.2">
      <c r="J479" s="98">
        <f t="shared" si="15"/>
        <v>45402</v>
      </c>
      <c r="K479">
        <f t="shared" si="16"/>
        <v>216.94844707467951</v>
      </c>
    </row>
    <row r="480" spans="10:11" ht="14" thickBot="1" x14ac:dyDescent="0.2">
      <c r="J480" s="98">
        <f t="shared" si="15"/>
        <v>45403</v>
      </c>
      <c r="K480">
        <f t="shared" si="16"/>
        <v>217.29016592699637</v>
      </c>
    </row>
    <row r="481" spans="10:11" ht="14" thickBot="1" x14ac:dyDescent="0.2">
      <c r="J481" s="98">
        <f t="shared" si="15"/>
        <v>45404</v>
      </c>
      <c r="K481">
        <f t="shared" si="16"/>
        <v>217.63242302595938</v>
      </c>
    </row>
    <row r="482" spans="10:11" ht="14" thickBot="1" x14ac:dyDescent="0.2">
      <c r="J482" s="98">
        <f t="shared" si="15"/>
        <v>45405</v>
      </c>
      <c r="K482">
        <f t="shared" si="16"/>
        <v>217.97521921936919</v>
      </c>
    </row>
    <row r="483" spans="10:11" ht="14" thickBot="1" x14ac:dyDescent="0.2">
      <c r="J483" s="98">
        <f t="shared" si="15"/>
        <v>45406</v>
      </c>
      <c r="K483">
        <f t="shared" si="16"/>
        <v>218.31855535636177</v>
      </c>
    </row>
    <row r="484" spans="10:11" ht="14" thickBot="1" x14ac:dyDescent="0.2">
      <c r="J484" s="98">
        <f t="shared" si="15"/>
        <v>45407</v>
      </c>
      <c r="K484">
        <f t="shared" si="16"/>
        <v>218.66243228741061</v>
      </c>
    </row>
    <row r="485" spans="10:11" ht="14" thickBot="1" x14ac:dyDescent="0.2">
      <c r="J485" s="98">
        <f t="shared" si="15"/>
        <v>45408</v>
      </c>
      <c r="K485">
        <f t="shared" si="16"/>
        <v>219.00685086432878</v>
      </c>
    </row>
    <row r="486" spans="10:11" ht="14" thickBot="1" x14ac:dyDescent="0.2">
      <c r="J486" s="98">
        <f t="shared" si="15"/>
        <v>45409</v>
      </c>
      <c r="K486">
        <f t="shared" si="16"/>
        <v>219.35181194027106</v>
      </c>
    </row>
    <row r="487" spans="10:11" ht="14" thickBot="1" x14ac:dyDescent="0.2">
      <c r="J487" s="98">
        <f t="shared" si="15"/>
        <v>45410</v>
      </c>
      <c r="K487">
        <f t="shared" si="16"/>
        <v>219.69731636973606</v>
      </c>
    </row>
    <row r="488" spans="10:11" ht="14" thickBot="1" x14ac:dyDescent="0.2">
      <c r="J488" s="98">
        <f t="shared" si="15"/>
        <v>45411</v>
      </c>
      <c r="K488">
        <f t="shared" si="16"/>
        <v>220.04336500856829</v>
      </c>
    </row>
    <row r="489" spans="10:11" ht="14" thickBot="1" x14ac:dyDescent="0.2">
      <c r="J489" s="98">
        <f t="shared" si="15"/>
        <v>45412</v>
      </c>
      <c r="K489">
        <f t="shared" si="16"/>
        <v>220.38995871396034</v>
      </c>
    </row>
    <row r="490" spans="10:11" ht="14" thickBot="1" x14ac:dyDescent="0.2">
      <c r="J490" s="98">
        <f t="shared" si="15"/>
        <v>45413</v>
      </c>
      <c r="K490">
        <f t="shared" si="16"/>
        <v>220.73709834445501</v>
      </c>
    </row>
    <row r="491" spans="10:11" ht="14" thickBot="1" x14ac:dyDescent="0.2">
      <c r="J491" s="98">
        <f t="shared" si="15"/>
        <v>45414</v>
      </c>
      <c r="K491">
        <f t="shared" si="16"/>
        <v>221.08478475994733</v>
      </c>
    </row>
    <row r="492" spans="10:11" ht="14" thickBot="1" x14ac:dyDescent="0.2">
      <c r="J492" s="98">
        <f t="shared" si="15"/>
        <v>45415</v>
      </c>
      <c r="K492">
        <f t="shared" si="16"/>
        <v>221.4330188216868</v>
      </c>
    </row>
    <row r="493" spans="10:11" ht="14" thickBot="1" x14ac:dyDescent="0.2">
      <c r="J493" s="98">
        <f t="shared" si="15"/>
        <v>45416</v>
      </c>
      <c r="K493">
        <f t="shared" si="16"/>
        <v>221.7818013922795</v>
      </c>
    </row>
    <row r="494" spans="10:11" ht="14" thickBot="1" x14ac:dyDescent="0.2">
      <c r="J494" s="98">
        <f t="shared" si="15"/>
        <v>45417</v>
      </c>
      <c r="K494">
        <f t="shared" si="16"/>
        <v>222.13113333569021</v>
      </c>
    </row>
    <row r="495" spans="10:11" ht="14" thickBot="1" x14ac:dyDescent="0.2">
      <c r="J495" s="98">
        <f t="shared" si="15"/>
        <v>45418</v>
      </c>
      <c r="K495">
        <f t="shared" si="16"/>
        <v>222.48101551724454</v>
      </c>
    </row>
    <row r="496" spans="10:11" ht="14" thickBot="1" x14ac:dyDescent="0.2">
      <c r="J496" s="98">
        <f t="shared" si="15"/>
        <v>45419</v>
      </c>
      <c r="K496">
        <f t="shared" si="16"/>
        <v>222.8314488036311</v>
      </c>
    </row>
    <row r="497" spans="10:11" ht="14" thickBot="1" x14ac:dyDescent="0.2">
      <c r="J497" s="98">
        <f t="shared" si="15"/>
        <v>45420</v>
      </c>
      <c r="K497">
        <f t="shared" si="16"/>
        <v>223.18243406290364</v>
      </c>
    </row>
    <row r="498" spans="10:11" ht="14" thickBot="1" x14ac:dyDescent="0.2">
      <c r="J498" s="98">
        <f t="shared" si="15"/>
        <v>45421</v>
      </c>
      <c r="K498">
        <f t="shared" si="16"/>
        <v>223.53397216448315</v>
      </c>
    </row>
    <row r="499" spans="10:11" ht="14" thickBot="1" x14ac:dyDescent="0.2">
      <c r="J499" s="98">
        <f t="shared" si="15"/>
        <v>45422</v>
      </c>
      <c r="K499">
        <f t="shared" si="16"/>
        <v>223.88606397916013</v>
      </c>
    </row>
    <row r="500" spans="10:11" ht="14" thickBot="1" x14ac:dyDescent="0.2">
      <c r="J500" s="98">
        <f t="shared" si="15"/>
        <v>45423</v>
      </c>
      <c r="K500">
        <f t="shared" si="16"/>
        <v>224.2387103790966</v>
      </c>
    </row>
    <row r="501" spans="10:11" ht="14" thickBot="1" x14ac:dyDescent="0.2">
      <c r="J501" s="98">
        <f t="shared" si="15"/>
        <v>45424</v>
      </c>
      <c r="K501">
        <f t="shared" si="16"/>
        <v>224.59191223782841</v>
      </c>
    </row>
    <row r="502" spans="10:11" ht="14" thickBot="1" x14ac:dyDescent="0.2">
      <c r="J502" s="98">
        <f t="shared" si="15"/>
        <v>45425</v>
      </c>
      <c r="K502">
        <f t="shared" si="16"/>
        <v>224.94567043026728</v>
      </c>
    </row>
    <row r="503" spans="10:11" ht="14" thickBot="1" x14ac:dyDescent="0.2">
      <c r="J503" s="98">
        <f t="shared" si="15"/>
        <v>45426</v>
      </c>
      <c r="K503">
        <f t="shared" si="16"/>
        <v>225.29998583270304</v>
      </c>
    </row>
    <row r="504" spans="10:11" ht="14" thickBot="1" x14ac:dyDescent="0.2">
      <c r="J504" s="98">
        <f t="shared" si="15"/>
        <v>45427</v>
      </c>
      <c r="K504">
        <f t="shared" si="16"/>
        <v>225.65485932280575</v>
      </c>
    </row>
    <row r="505" spans="10:11" ht="14" thickBot="1" x14ac:dyDescent="0.2">
      <c r="J505" s="98">
        <f t="shared" si="15"/>
        <v>45428</v>
      </c>
      <c r="K505">
        <f t="shared" ref="K505:K535" si="17">K504*$O$14</f>
        <v>226.02214916511105</v>
      </c>
    </row>
    <row r="506" spans="10:11" ht="14" thickBot="1" x14ac:dyDescent="0.2">
      <c r="J506" s="98">
        <f t="shared" si="15"/>
        <v>45429</v>
      </c>
      <c r="K506">
        <f t="shared" si="17"/>
        <v>226.39003683113998</v>
      </c>
    </row>
    <row r="507" spans="10:11" ht="14" thickBot="1" x14ac:dyDescent="0.2">
      <c r="J507" s="98">
        <f t="shared" si="15"/>
        <v>45430</v>
      </c>
      <c r="K507">
        <f t="shared" si="17"/>
        <v>226.75852329394755</v>
      </c>
    </row>
    <row r="508" spans="10:11" ht="14" thickBot="1" x14ac:dyDescent="0.2">
      <c r="J508" s="98">
        <f t="shared" si="15"/>
        <v>45431</v>
      </c>
      <c r="K508">
        <f t="shared" si="17"/>
        <v>227.12760952817248</v>
      </c>
    </row>
    <row r="509" spans="10:11" ht="14" thickBot="1" x14ac:dyDescent="0.2">
      <c r="J509" s="98">
        <f t="shared" si="15"/>
        <v>45432</v>
      </c>
      <c r="K509">
        <f t="shared" si="17"/>
        <v>227.49729651003997</v>
      </c>
    </row>
    <row r="510" spans="10:11" ht="14" thickBot="1" x14ac:dyDescent="0.2">
      <c r="J510" s="98">
        <f t="shared" si="15"/>
        <v>45433</v>
      </c>
      <c r="K510">
        <f t="shared" si="17"/>
        <v>227.86758521736411</v>
      </c>
    </row>
    <row r="511" spans="10:11" ht="14" thickBot="1" x14ac:dyDescent="0.2">
      <c r="J511" s="98">
        <f t="shared" si="15"/>
        <v>45434</v>
      </c>
      <c r="K511">
        <f t="shared" si="17"/>
        <v>228.23847662955058</v>
      </c>
    </row>
    <row r="512" spans="10:11" ht="14" thickBot="1" x14ac:dyDescent="0.2">
      <c r="J512" s="98">
        <f t="shared" si="15"/>
        <v>45435</v>
      </c>
      <c r="K512">
        <f t="shared" si="17"/>
        <v>228.60997172759917</v>
      </c>
    </row>
    <row r="513" spans="10:11" ht="14" thickBot="1" x14ac:dyDescent="0.2">
      <c r="J513" s="98">
        <f t="shared" si="15"/>
        <v>45436</v>
      </c>
      <c r="K513">
        <f t="shared" si="17"/>
        <v>228.98207149410644</v>
      </c>
    </row>
    <row r="514" spans="10:11" ht="14" thickBot="1" x14ac:dyDescent="0.2">
      <c r="J514" s="98">
        <f t="shared" si="15"/>
        <v>45437</v>
      </c>
      <c r="K514">
        <f t="shared" si="17"/>
        <v>229.35477691326827</v>
      </c>
    </row>
    <row r="515" spans="10:11" ht="14" thickBot="1" x14ac:dyDescent="0.2">
      <c r="J515" s="98">
        <f t="shared" si="15"/>
        <v>45438</v>
      </c>
      <c r="K515">
        <f t="shared" si="17"/>
        <v>229.72808897088245</v>
      </c>
    </row>
    <row r="516" spans="10:11" ht="14" thickBot="1" x14ac:dyDescent="0.2">
      <c r="J516" s="98">
        <f t="shared" si="15"/>
        <v>45439</v>
      </c>
      <c r="K516">
        <f t="shared" si="17"/>
        <v>230.10200865435138</v>
      </c>
    </row>
    <row r="517" spans="10:11" ht="14" thickBot="1" x14ac:dyDescent="0.2">
      <c r="J517" s="98">
        <f t="shared" si="15"/>
        <v>45440</v>
      </c>
      <c r="K517">
        <f t="shared" si="17"/>
        <v>230.47653695268457</v>
      </c>
    </row>
    <row r="518" spans="10:11" ht="14" thickBot="1" x14ac:dyDescent="0.2">
      <c r="J518" s="98">
        <f t="shared" si="15"/>
        <v>45441</v>
      </c>
      <c r="K518">
        <f t="shared" si="17"/>
        <v>230.85167485650132</v>
      </c>
    </row>
    <row r="519" spans="10:11" ht="14" thickBot="1" x14ac:dyDescent="0.2">
      <c r="J519" s="98">
        <f t="shared" si="15"/>
        <v>45442</v>
      </c>
      <c r="K519">
        <f t="shared" si="17"/>
        <v>231.22742335803332</v>
      </c>
    </row>
    <row r="520" spans="10:11" ht="14" thickBot="1" x14ac:dyDescent="0.2">
      <c r="J520" s="98">
        <f t="shared" si="15"/>
        <v>45443</v>
      </c>
      <c r="K520">
        <f t="shared" si="17"/>
        <v>231.60378345112727</v>
      </c>
    </row>
    <row r="521" spans="10:11" ht="14" thickBot="1" x14ac:dyDescent="0.2">
      <c r="J521" s="98">
        <f t="shared" ref="J521:J566" si="18">J520+1</f>
        <v>45444</v>
      </c>
      <c r="K521">
        <f t="shared" si="17"/>
        <v>231.98075613124752</v>
      </c>
    </row>
    <row r="522" spans="10:11" ht="14" thickBot="1" x14ac:dyDescent="0.2">
      <c r="J522" s="98">
        <f t="shared" si="18"/>
        <v>45445</v>
      </c>
      <c r="K522">
        <f t="shared" si="17"/>
        <v>232.35834239547867</v>
      </c>
    </row>
    <row r="523" spans="10:11" ht="14" thickBot="1" x14ac:dyDescent="0.2">
      <c r="J523" s="98">
        <f t="shared" si="18"/>
        <v>45446</v>
      </c>
      <c r="K523">
        <f t="shared" si="17"/>
        <v>232.73654324252831</v>
      </c>
    </row>
    <row r="524" spans="10:11" ht="14" thickBot="1" x14ac:dyDescent="0.2">
      <c r="J524" s="98">
        <f t="shared" si="18"/>
        <v>45447</v>
      </c>
      <c r="K524">
        <f t="shared" si="17"/>
        <v>233.11535967272954</v>
      </c>
    </row>
    <row r="525" spans="10:11" ht="14" thickBot="1" x14ac:dyDescent="0.2">
      <c r="J525" s="98">
        <f t="shared" si="18"/>
        <v>45448</v>
      </c>
      <c r="K525">
        <f t="shared" si="17"/>
        <v>233.49479268804367</v>
      </c>
    </row>
    <row r="526" spans="10:11" ht="14" thickBot="1" x14ac:dyDescent="0.2">
      <c r="J526" s="98">
        <f t="shared" si="18"/>
        <v>45449</v>
      </c>
      <c r="K526">
        <f t="shared" si="17"/>
        <v>233.87484329206288</v>
      </c>
    </row>
    <row r="527" spans="10:11" ht="14" thickBot="1" x14ac:dyDescent="0.2">
      <c r="J527" s="98">
        <f t="shared" si="18"/>
        <v>45450</v>
      </c>
      <c r="K527">
        <f t="shared" si="17"/>
        <v>234.25551249001279</v>
      </c>
    </row>
    <row r="528" spans="10:11" ht="14" thickBot="1" x14ac:dyDescent="0.2">
      <c r="J528" s="98">
        <f t="shared" si="18"/>
        <v>45451</v>
      </c>
      <c r="K528">
        <f t="shared" si="17"/>
        <v>234.63680128875529</v>
      </c>
    </row>
    <row r="529" spans="10:11" ht="14" thickBot="1" x14ac:dyDescent="0.2">
      <c r="J529" s="98">
        <f t="shared" si="18"/>
        <v>45452</v>
      </c>
      <c r="K529">
        <f t="shared" si="17"/>
        <v>235.01871069679106</v>
      </c>
    </row>
    <row r="530" spans="10:11" ht="14" thickBot="1" x14ac:dyDescent="0.2">
      <c r="J530" s="98">
        <f t="shared" si="18"/>
        <v>45453</v>
      </c>
      <c r="K530">
        <f t="shared" si="17"/>
        <v>235.40124172426223</v>
      </c>
    </row>
    <row r="531" spans="10:11" ht="14" thickBot="1" x14ac:dyDescent="0.2">
      <c r="J531" s="98">
        <f t="shared" si="18"/>
        <v>45454</v>
      </c>
      <c r="K531">
        <f t="shared" si="17"/>
        <v>235.78439538295518</v>
      </c>
    </row>
    <row r="532" spans="10:11" ht="14" thickBot="1" x14ac:dyDescent="0.2">
      <c r="J532" s="98">
        <f t="shared" si="18"/>
        <v>45455</v>
      </c>
      <c r="K532">
        <f t="shared" si="17"/>
        <v>236.16817268630308</v>
      </c>
    </row>
    <row r="533" spans="10:11" ht="14" thickBot="1" x14ac:dyDescent="0.2">
      <c r="J533" s="98">
        <f t="shared" si="18"/>
        <v>45456</v>
      </c>
      <c r="K533">
        <f t="shared" si="17"/>
        <v>236.55257464938865</v>
      </c>
    </row>
    <row r="534" spans="10:11" ht="14" thickBot="1" x14ac:dyDescent="0.2">
      <c r="J534" s="98">
        <f t="shared" si="18"/>
        <v>45457</v>
      </c>
      <c r="K534">
        <f t="shared" si="17"/>
        <v>236.93760228894678</v>
      </c>
    </row>
    <row r="535" spans="10:11" ht="14" thickBot="1" x14ac:dyDescent="0.2">
      <c r="J535" s="98">
        <f t="shared" si="18"/>
        <v>45458</v>
      </c>
      <c r="K535">
        <f t="shared" si="17"/>
        <v>237.32325662336734</v>
      </c>
    </row>
    <row r="536" spans="10:11" ht="14" thickBot="1" x14ac:dyDescent="0.2">
      <c r="J536" s="98">
        <f t="shared" si="18"/>
        <v>45459</v>
      </c>
      <c r="K536">
        <f t="shared" ref="K536:K566" si="19">K535*$O$15</f>
        <v>237.62370430131369</v>
      </c>
    </row>
    <row r="537" spans="10:11" ht="14" thickBot="1" x14ac:dyDescent="0.2">
      <c r="J537" s="98">
        <f t="shared" si="18"/>
        <v>45460</v>
      </c>
      <c r="K537">
        <f t="shared" si="19"/>
        <v>237.92453234150719</v>
      </c>
    </row>
    <row r="538" spans="10:11" ht="14" thickBot="1" x14ac:dyDescent="0.2">
      <c r="J538" s="98">
        <f t="shared" si="18"/>
        <v>45461</v>
      </c>
      <c r="K538">
        <f t="shared" si="19"/>
        <v>238.22574122548068</v>
      </c>
    </row>
    <row r="539" spans="10:11" ht="14" thickBot="1" x14ac:dyDescent="0.2">
      <c r="J539" s="98">
        <f t="shared" si="18"/>
        <v>45462</v>
      </c>
      <c r="K539">
        <f t="shared" si="19"/>
        <v>238.52733143537668</v>
      </c>
    </row>
    <row r="540" spans="10:11" ht="14" thickBot="1" x14ac:dyDescent="0.2">
      <c r="J540" s="98">
        <f t="shared" si="18"/>
        <v>45463</v>
      </c>
      <c r="K540">
        <f t="shared" si="19"/>
        <v>238.82930345394809</v>
      </c>
    </row>
    <row r="541" spans="10:11" ht="14" thickBot="1" x14ac:dyDescent="0.2">
      <c r="J541" s="98">
        <f t="shared" si="18"/>
        <v>45464</v>
      </c>
      <c r="K541">
        <f t="shared" si="19"/>
        <v>239.13165776455895</v>
      </c>
    </row>
    <row r="542" spans="10:11" ht="14" thickBot="1" x14ac:dyDescent="0.2">
      <c r="J542" s="98">
        <f t="shared" si="18"/>
        <v>45465</v>
      </c>
      <c r="K542">
        <f t="shared" si="19"/>
        <v>239.43439485118526</v>
      </c>
    </row>
    <row r="543" spans="10:11" ht="14" thickBot="1" x14ac:dyDescent="0.2">
      <c r="J543" s="98">
        <f t="shared" si="18"/>
        <v>45466</v>
      </c>
      <c r="K543">
        <f t="shared" si="19"/>
        <v>239.73751519841568</v>
      </c>
    </row>
    <row r="544" spans="10:11" ht="14" thickBot="1" x14ac:dyDescent="0.2">
      <c r="J544" s="98">
        <f t="shared" si="18"/>
        <v>45467</v>
      </c>
      <c r="K544">
        <f t="shared" si="19"/>
        <v>240.04101929145239</v>
      </c>
    </row>
    <row r="545" spans="10:11" ht="14" thickBot="1" x14ac:dyDescent="0.2">
      <c r="J545" s="98">
        <f t="shared" si="18"/>
        <v>45468</v>
      </c>
      <c r="K545">
        <f t="shared" si="19"/>
        <v>240.34490761611181</v>
      </c>
    </row>
    <row r="546" spans="10:11" ht="14" thickBot="1" x14ac:dyDescent="0.2">
      <c r="J546" s="98">
        <f t="shared" si="18"/>
        <v>45469</v>
      </c>
      <c r="K546">
        <f t="shared" si="19"/>
        <v>240.6491806588254</v>
      </c>
    </row>
    <row r="547" spans="10:11" ht="14" thickBot="1" x14ac:dyDescent="0.2">
      <c r="J547" s="98">
        <f t="shared" si="18"/>
        <v>45470</v>
      </c>
      <c r="K547">
        <f t="shared" si="19"/>
        <v>240.95383890664047</v>
      </c>
    </row>
    <row r="548" spans="10:11" ht="14" thickBot="1" x14ac:dyDescent="0.2">
      <c r="J548" s="98">
        <f t="shared" si="18"/>
        <v>45471</v>
      </c>
      <c r="K548">
        <f t="shared" si="19"/>
        <v>241.25888284722086</v>
      </c>
    </row>
    <row r="549" spans="10:11" ht="14" thickBot="1" x14ac:dyDescent="0.2">
      <c r="J549" s="98">
        <f t="shared" si="18"/>
        <v>45472</v>
      </c>
      <c r="K549">
        <f t="shared" si="19"/>
        <v>241.56431296884782</v>
      </c>
    </row>
    <row r="550" spans="10:11" ht="14" thickBot="1" x14ac:dyDescent="0.2">
      <c r="J550" s="98">
        <f t="shared" si="18"/>
        <v>45473</v>
      </c>
      <c r="K550">
        <f t="shared" si="19"/>
        <v>241.87012976042075</v>
      </c>
    </row>
    <row r="551" spans="10:11" ht="14" thickBot="1" x14ac:dyDescent="0.2">
      <c r="J551" s="98">
        <f t="shared" si="18"/>
        <v>45474</v>
      </c>
      <c r="K551">
        <f t="shared" si="19"/>
        <v>242.176333711458</v>
      </c>
    </row>
    <row r="552" spans="10:11" ht="14" thickBot="1" x14ac:dyDescent="0.2">
      <c r="J552" s="98">
        <f t="shared" si="18"/>
        <v>45475</v>
      </c>
      <c r="K552">
        <f t="shared" si="19"/>
        <v>242.48292531209765</v>
      </c>
    </row>
    <row r="553" spans="10:11" ht="14" thickBot="1" x14ac:dyDescent="0.2">
      <c r="J553" s="98">
        <f t="shared" si="18"/>
        <v>45476</v>
      </c>
      <c r="K553">
        <f t="shared" si="19"/>
        <v>242.78990505309824</v>
      </c>
    </row>
    <row r="554" spans="10:11" ht="14" thickBot="1" x14ac:dyDescent="0.2">
      <c r="J554" s="98">
        <f t="shared" si="18"/>
        <v>45477</v>
      </c>
      <c r="K554">
        <f t="shared" si="19"/>
        <v>243.09727342583966</v>
      </c>
    </row>
    <row r="555" spans="10:11" ht="14" thickBot="1" x14ac:dyDescent="0.2">
      <c r="J555" s="98">
        <f t="shared" si="18"/>
        <v>45478</v>
      </c>
      <c r="K555">
        <f t="shared" si="19"/>
        <v>243.40503092232385</v>
      </c>
    </row>
    <row r="556" spans="10:11" ht="14" thickBot="1" x14ac:dyDescent="0.2">
      <c r="J556" s="98">
        <f t="shared" si="18"/>
        <v>45479</v>
      </c>
      <c r="K556">
        <f t="shared" si="19"/>
        <v>243.71317803517564</v>
      </c>
    </row>
    <row r="557" spans="10:11" ht="14" thickBot="1" x14ac:dyDescent="0.2">
      <c r="J557" s="98">
        <f t="shared" si="18"/>
        <v>45480</v>
      </c>
      <c r="K557">
        <f t="shared" si="19"/>
        <v>244.02171525764348</v>
      </c>
    </row>
    <row r="558" spans="10:11" ht="14" thickBot="1" x14ac:dyDescent="0.2">
      <c r="J558" s="98">
        <f t="shared" si="18"/>
        <v>45481</v>
      </c>
      <c r="K558">
        <f t="shared" si="19"/>
        <v>244.33064308360028</v>
      </c>
    </row>
    <row r="559" spans="10:11" ht="14" thickBot="1" x14ac:dyDescent="0.2">
      <c r="J559" s="98">
        <f t="shared" si="18"/>
        <v>45482</v>
      </c>
      <c r="K559">
        <f t="shared" si="19"/>
        <v>244.6399620075442</v>
      </c>
    </row>
    <row r="560" spans="10:11" ht="14" thickBot="1" x14ac:dyDescent="0.2">
      <c r="J560" s="98">
        <f t="shared" si="18"/>
        <v>45483</v>
      </c>
      <c r="K560">
        <f t="shared" si="19"/>
        <v>244.94967252459941</v>
      </c>
    </row>
    <row r="561" spans="10:11" ht="14" thickBot="1" x14ac:dyDescent="0.2">
      <c r="J561" s="98">
        <f t="shared" si="18"/>
        <v>45484</v>
      </c>
      <c r="K561">
        <f t="shared" si="19"/>
        <v>245.25977513051691</v>
      </c>
    </row>
    <row r="562" spans="10:11" ht="14" thickBot="1" x14ac:dyDescent="0.2">
      <c r="J562" s="98">
        <f t="shared" si="18"/>
        <v>45485</v>
      </c>
      <c r="K562">
        <f t="shared" si="19"/>
        <v>245.57027032167534</v>
      </c>
    </row>
    <row r="563" spans="10:11" ht="14" thickBot="1" x14ac:dyDescent="0.2">
      <c r="J563" s="98">
        <f t="shared" si="18"/>
        <v>45486</v>
      </c>
      <c r="K563">
        <f t="shared" si="19"/>
        <v>245.88115859508167</v>
      </c>
    </row>
    <row r="564" spans="10:11" ht="14" thickBot="1" x14ac:dyDescent="0.2">
      <c r="J564" s="98">
        <f t="shared" si="18"/>
        <v>45487</v>
      </c>
      <c r="K564">
        <f t="shared" si="19"/>
        <v>246.19244044837214</v>
      </c>
    </row>
    <row r="565" spans="10:11" ht="14" thickBot="1" x14ac:dyDescent="0.2">
      <c r="J565" s="98">
        <f t="shared" si="18"/>
        <v>45488</v>
      </c>
      <c r="K565">
        <f t="shared" si="19"/>
        <v>246.50411637981298</v>
      </c>
    </row>
    <row r="566" spans="10:11" ht="14" thickBot="1" x14ac:dyDescent="0.2">
      <c r="J566" s="98">
        <f t="shared" si="18"/>
        <v>45489</v>
      </c>
      <c r="K566">
        <f t="shared" si="19"/>
        <v>246.81618688830119</v>
      </c>
    </row>
    <row r="567" spans="10:11" ht="14" thickBot="1" x14ac:dyDescent="0.2">
      <c r="J567" s="98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0AAF8-6535-402D-9374-6164E2F368DF}">
  <sheetPr codeName="Hoja8"/>
  <dimension ref="B2:I3"/>
  <sheetViews>
    <sheetView workbookViewId="0">
      <selection activeCell="E3" sqref="E3"/>
    </sheetView>
  </sheetViews>
  <sheetFormatPr baseColWidth="10" defaultColWidth="8.83203125" defaultRowHeight="13" x14ac:dyDescent="0.15"/>
  <cols>
    <col min="1" max="1" width="3.1640625" customWidth="1"/>
    <col min="3" max="3" width="12.6640625" bestFit="1" customWidth="1"/>
    <col min="4" max="4" width="16.5" bestFit="1" customWidth="1"/>
    <col min="5" max="5" width="10.83203125" bestFit="1" customWidth="1"/>
    <col min="6" max="6" width="8.33203125" bestFit="1" customWidth="1"/>
    <col min="7" max="7" width="15.33203125" bestFit="1" customWidth="1"/>
    <col min="8" max="8" width="17.5" bestFit="1" customWidth="1"/>
    <col min="9" max="9" width="11.6640625" bestFit="1" customWidth="1"/>
  </cols>
  <sheetData>
    <row r="2" spans="2:9" x14ac:dyDescent="0.15">
      <c r="B2" s="95" t="s">
        <v>9</v>
      </c>
      <c r="C2" s="96" t="s">
        <v>26</v>
      </c>
      <c r="D2" s="96" t="s">
        <v>27</v>
      </c>
      <c r="E2" s="96" t="s">
        <v>28</v>
      </c>
      <c r="F2" s="96" t="s">
        <v>29</v>
      </c>
      <c r="G2" s="96" t="s">
        <v>30</v>
      </c>
      <c r="H2" s="95" t="s">
        <v>31</v>
      </c>
      <c r="I2" s="95" t="s">
        <v>32</v>
      </c>
    </row>
    <row r="3" spans="2:9" x14ac:dyDescent="0.15">
      <c r="B3" s="247" t="s">
        <v>15</v>
      </c>
      <c r="C3" t="str">
        <f>VLOOKUP(B3,[1]Cotizaciones_Bonos!$A$2:$L$51,2,TRUE)</f>
        <v>US$ 34,36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No esta el titulo en la lista" xr:uid="{9971E5FB-15F5-E846-8167-E0EB459C6A00}">
          <x14:formula1>
            <xm:f>'Monitor Bonos'!$B$26:$B$35</xm:f>
          </x14:formula1>
          <xm:sqref>B3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C9A46-2BD4-DE49-A2E8-DB32273FBC3E}">
  <sheetPr codeName="Hoja9"/>
  <dimension ref="A1:J60"/>
  <sheetViews>
    <sheetView tabSelected="1" workbookViewId="0">
      <selection activeCell="J3" sqref="J3"/>
    </sheetView>
  </sheetViews>
  <sheetFormatPr baseColWidth="10" defaultRowHeight="13" x14ac:dyDescent="0.15"/>
  <sheetData>
    <row r="1" spans="1:10" x14ac:dyDescent="0.15">
      <c r="A1">
        <f>[1]Cotizaciones_Bonos!A1</f>
        <v>0</v>
      </c>
      <c r="B1">
        <f>[1]Cotizaciones_Bonos!B1</f>
        <v>0</v>
      </c>
      <c r="C1">
        <f>[1]Cotizaciones_Bonos!C1</f>
        <v>0</v>
      </c>
      <c r="D1">
        <f>[1]Cotizaciones_Bonos!D1</f>
        <v>0</v>
      </c>
      <c r="E1">
        <f>[1]Cotizaciones_Bonos!E1</f>
        <v>0</v>
      </c>
      <c r="F1">
        <f>[1]Cotizaciones_Bonos!F1</f>
        <v>0</v>
      </c>
      <c r="G1">
        <f>[1]Cotizaciones_Bonos!G1</f>
        <v>0</v>
      </c>
      <c r="H1">
        <f>[1]Cotizaciones_Bonos!H1</f>
        <v>0</v>
      </c>
      <c r="I1" s="247" t="s">
        <v>134</v>
      </c>
      <c r="J1" s="247" t="s">
        <v>135</v>
      </c>
    </row>
    <row r="2" spans="1:10" x14ac:dyDescent="0.15">
      <c r="A2" t="str">
        <f>[1]Cotizaciones_Bonos!A2</f>
        <v>AE3AE38BONOS ARGENTINA USD 2038 L.A</v>
      </c>
      <c r="B2" t="str">
        <f>[1]Cotizaciones_Bonos!B2</f>
        <v>AR$ 16.640,00</v>
      </c>
      <c r="C2" t="str">
        <f>[1]Cotizaciones_Bonos!C2</f>
        <v>1,96%</v>
      </c>
      <c r="D2" t="str">
        <f>[1]Cotizaciones_Bonos!D2</f>
        <v>427.190.727</v>
      </c>
      <c r="E2" t="str">
        <f>[1]Cotizaciones_Bonos!E2</f>
        <v>0,25 %</v>
      </c>
      <c r="F2" t="str">
        <f>[1]Cotizaciones_Bonos!F2</f>
        <v>16.500,00</v>
      </c>
      <c r="G2" t="str">
        <f>[1]Cotizaciones_Bonos!G2</f>
        <v>16.400,00</v>
      </c>
      <c r="H2" t="str">
        <f>[1]Cotizaciones_Bonos!H2</f>
        <v>16.800,00</v>
      </c>
      <c r="I2" t="str">
        <f>MID(A2,4,5)</f>
        <v>AE38B</v>
      </c>
    </row>
    <row r="3" spans="1:10" x14ac:dyDescent="0.15">
      <c r="A3" t="str">
        <f>[1]Cotizaciones_Bonos!A3</f>
        <v>AE3AE38CBONOS ARGENTINA USD 2038 L.A</v>
      </c>
      <c r="B3" t="str">
        <f>[1]Cotizaciones_Bonos!B3</f>
        <v>US$ 33,00</v>
      </c>
      <c r="C3" t="str">
        <f>[1]Cotizaciones_Bonos!C3</f>
        <v>0,00%</v>
      </c>
      <c r="D3" t="str">
        <f>[1]Cotizaciones_Bonos!D3</f>
        <v>0</v>
      </c>
      <c r="E3" t="str">
        <f>[1]Cotizaciones_Bonos!E3</f>
        <v>0,25 %</v>
      </c>
      <c r="F3" t="str">
        <f>[1]Cotizaciones_Bonos!F3</f>
        <v>0,00</v>
      </c>
      <c r="G3" t="str">
        <f>[1]Cotizaciones_Bonos!G3</f>
        <v>0,00</v>
      </c>
      <c r="H3" t="str">
        <f>[1]Cotizaciones_Bonos!H3</f>
        <v>0,00</v>
      </c>
      <c r="I3" t="str">
        <f t="shared" ref="I3:I60" si="0">MID(A3,4,5)</f>
        <v>AE38C</v>
      </c>
    </row>
    <row r="4" spans="1:10" x14ac:dyDescent="0.15">
      <c r="A4" t="str">
        <f>[1]Cotizaciones_Bonos!A4</f>
        <v>AE3AE38DBONOS ARGENTINA USD 2038 L.A</v>
      </c>
      <c r="B4" t="str">
        <f>[1]Cotizaciones_Bonos!B4</f>
        <v>US$ 34,36</v>
      </c>
      <c r="C4" t="str">
        <f>[1]Cotizaciones_Bonos!C4</f>
        <v>1,96%</v>
      </c>
      <c r="D4" t="str">
        <f>[1]Cotizaciones_Bonos!D4</f>
        <v>149.934</v>
      </c>
      <c r="E4" t="str">
        <f>[1]Cotizaciones_Bonos!E4</f>
        <v>0,25 %</v>
      </c>
      <c r="F4" t="str">
        <f>[1]Cotizaciones_Bonos!F4</f>
        <v>34,00</v>
      </c>
      <c r="G4" t="str">
        <f>[1]Cotizaciones_Bonos!G4</f>
        <v>33,50</v>
      </c>
      <c r="H4" t="str">
        <f>[1]Cotizaciones_Bonos!H4</f>
        <v>36,00</v>
      </c>
      <c r="I4" t="str">
        <f t="shared" si="0"/>
        <v>AE38D</v>
      </c>
    </row>
    <row r="5" spans="1:10" x14ac:dyDescent="0.15">
      <c r="A5" t="str">
        <f>[1]Cotizaciones_Bonos!A5</f>
        <v>AL2AL29BONOS ARGENTINA USD 2029 1%  L.A</v>
      </c>
      <c r="B5" t="str">
        <f>[1]Cotizaciones_Bonos!B5</f>
        <v>AR$ 15.210,00</v>
      </c>
      <c r="C5" t="str">
        <f>[1]Cotizaciones_Bonos!C5</f>
        <v>2,77%</v>
      </c>
      <c r="D5" t="str">
        <f>[1]Cotizaciones_Bonos!D5</f>
        <v>82.941.631</v>
      </c>
      <c r="E5" t="str">
        <f>[1]Cotizaciones_Bonos!E5</f>
        <v>0,46 %</v>
      </c>
      <c r="F5" t="str">
        <f>[1]Cotizaciones_Bonos!F5</f>
        <v>14.927,00</v>
      </c>
      <c r="G5" t="str">
        <f>[1]Cotizaciones_Bonos!G5</f>
        <v>14.900,00</v>
      </c>
      <c r="H5" t="str">
        <f>[1]Cotizaciones_Bonos!H5</f>
        <v>15.282,00</v>
      </c>
      <c r="I5" t="str">
        <f t="shared" si="0"/>
        <v>AL29B</v>
      </c>
    </row>
    <row r="6" spans="1:10" x14ac:dyDescent="0.15">
      <c r="A6" t="str">
        <f>[1]Cotizaciones_Bonos!A6</f>
        <v>AL2AL29CBONOS ARGENTINA USD 2029 1%  L.A</v>
      </c>
      <c r="B6" t="str">
        <f>[1]Cotizaciones_Bonos!B6</f>
        <v>US$ 29,50</v>
      </c>
      <c r="C6" t="str">
        <f>[1]Cotizaciones_Bonos!C6</f>
        <v>0,00%</v>
      </c>
      <c r="D6" t="str">
        <f>[1]Cotizaciones_Bonos!D6</f>
        <v>0</v>
      </c>
      <c r="E6" t="str">
        <f>[1]Cotizaciones_Bonos!E6</f>
        <v>0,00 %</v>
      </c>
      <c r="F6" t="str">
        <f>[1]Cotizaciones_Bonos!F6</f>
        <v>0,00</v>
      </c>
      <c r="G6" t="str">
        <f>[1]Cotizaciones_Bonos!G6</f>
        <v>0,00</v>
      </c>
      <c r="H6" t="str">
        <f>[1]Cotizaciones_Bonos!H6</f>
        <v>0,00</v>
      </c>
      <c r="I6" t="str">
        <f t="shared" si="0"/>
        <v>AL29C</v>
      </c>
    </row>
    <row r="7" spans="1:10" x14ac:dyDescent="0.15">
      <c r="A7" t="str">
        <f>[1]Cotizaciones_Bonos!A7</f>
        <v>AL2AL29DBONOS ARGENTINA USD 2029 1%  L.A</v>
      </c>
      <c r="B7" t="str">
        <f>[1]Cotizaciones_Bonos!B7</f>
        <v>US$ 33,50</v>
      </c>
      <c r="C7" t="str">
        <f>[1]Cotizaciones_Bonos!C7</f>
        <v>10,05%</v>
      </c>
      <c r="D7" t="str">
        <f>[1]Cotizaciones_Bonos!D7</f>
        <v>38.832</v>
      </c>
      <c r="E7" t="str">
        <f>[1]Cotizaciones_Bonos!E7</f>
        <v>0,45 %</v>
      </c>
      <c r="F7" t="str">
        <f>[1]Cotizaciones_Bonos!F7</f>
        <v>30,50</v>
      </c>
      <c r="G7" t="str">
        <f>[1]Cotizaciones_Bonos!G7</f>
        <v>30,00</v>
      </c>
      <c r="H7" t="str">
        <f>[1]Cotizaciones_Bonos!H7</f>
        <v>33,00</v>
      </c>
      <c r="I7" t="str">
        <f t="shared" si="0"/>
        <v>AL29D</v>
      </c>
    </row>
    <row r="8" spans="1:10" x14ac:dyDescent="0.15">
      <c r="A8" t="str">
        <f>[1]Cotizaciones_Bonos!A8</f>
        <v>AL3AL30BONOS ARGENTINA USD 2030 L.A</v>
      </c>
      <c r="B8" t="str">
        <f>[1]Cotizaciones_Bonos!B8</f>
        <v>AR$ 14.645,00</v>
      </c>
      <c r="C8" t="str">
        <f>[1]Cotizaciones_Bonos!C8</f>
        <v>2,70%</v>
      </c>
      <c r="D8" t="str">
        <f>[1]Cotizaciones_Bonos!D8</f>
        <v>19.296.658.668</v>
      </c>
      <c r="E8" t="str">
        <f>[1]Cotizaciones_Bonos!E8</f>
        <v>0,44 %</v>
      </c>
      <c r="F8" t="str">
        <f>[1]Cotizaciones_Bonos!F8</f>
        <v>14.399,00</v>
      </c>
      <c r="G8" t="str">
        <f>[1]Cotizaciones_Bonos!G8</f>
        <v>14.399,00</v>
      </c>
      <c r="H8" t="str">
        <f>[1]Cotizaciones_Bonos!H8</f>
        <v>14.730,00</v>
      </c>
      <c r="I8" t="str">
        <f t="shared" si="0"/>
        <v>AL30B</v>
      </c>
    </row>
    <row r="9" spans="1:10" x14ac:dyDescent="0.15">
      <c r="A9" t="str">
        <f>[1]Cotizaciones_Bonos!A9</f>
        <v>AL3AL30CBONOS ARGENTINA USD 2030 L.A</v>
      </c>
      <c r="B9" t="str">
        <f>[1]Cotizaciones_Bonos!B9</f>
        <v>US$ 29,29</v>
      </c>
      <c r="C9" t="str">
        <f>[1]Cotizaciones_Bonos!C9</f>
        <v>2,81%</v>
      </c>
      <c r="D9" t="str">
        <f>[1]Cotizaciones_Bonos!D9</f>
        <v>1.087.456</v>
      </c>
      <c r="E9" t="str">
        <f>[1]Cotizaciones_Bonos!E9</f>
        <v>0,45 %</v>
      </c>
      <c r="F9" t="str">
        <f>[1]Cotizaciones_Bonos!F9</f>
        <v>28,50</v>
      </c>
      <c r="G9" t="str">
        <f>[1]Cotizaciones_Bonos!G9</f>
        <v>28,50</v>
      </c>
      <c r="H9" t="str">
        <f>[1]Cotizaciones_Bonos!H9</f>
        <v>29,30</v>
      </c>
      <c r="I9" t="str">
        <f t="shared" si="0"/>
        <v>AL30C</v>
      </c>
    </row>
    <row r="10" spans="1:10" x14ac:dyDescent="0.15">
      <c r="A10" t="str">
        <f>[1]Cotizaciones_Bonos!A10</f>
        <v>AL3AL30DBONOS ARGENTINA USD 2030 L.A</v>
      </c>
      <c r="B10" t="str">
        <f>[1]Cotizaciones_Bonos!B10</f>
        <v>US$ 30,10</v>
      </c>
      <c r="C10" t="str">
        <f>[1]Cotizaciones_Bonos!C10</f>
        <v>2,59%</v>
      </c>
      <c r="D10" t="str">
        <f>[1]Cotizaciones_Bonos!D10</f>
        <v>13.451.763</v>
      </c>
      <c r="E10" t="str">
        <f>[1]Cotizaciones_Bonos!E10</f>
        <v>0,43 %</v>
      </c>
      <c r="F10" t="str">
        <f>[1]Cotizaciones_Bonos!F10</f>
        <v>29,35</v>
      </c>
      <c r="G10" t="str">
        <f>[1]Cotizaciones_Bonos!G10</f>
        <v>29,30</v>
      </c>
      <c r="H10" t="str">
        <f>[1]Cotizaciones_Bonos!H10</f>
        <v>30,25</v>
      </c>
      <c r="I10" t="str">
        <f t="shared" si="0"/>
        <v>AL30D</v>
      </c>
    </row>
    <row r="11" spans="1:10" x14ac:dyDescent="0.15">
      <c r="A11" t="str">
        <f>[1]Cotizaciones_Bonos!A11</f>
        <v>AL3AL35BONOS ARGENTINA USD 2035 L.A</v>
      </c>
      <c r="B11" t="str">
        <f>[1]Cotizaciones_Bonos!B11</f>
        <v>AR$ 15.275,50</v>
      </c>
      <c r="C11" t="str">
        <f>[1]Cotizaciones_Bonos!C11</f>
        <v>2,53%</v>
      </c>
      <c r="D11" t="str">
        <f>[1]Cotizaciones_Bonos!D11</f>
        <v>295.821.896</v>
      </c>
      <c r="E11" t="str">
        <f>[1]Cotizaciones_Bonos!E11</f>
        <v>0,24 %</v>
      </c>
      <c r="F11" t="str">
        <f>[1]Cotizaciones_Bonos!F11</f>
        <v>15.200,00</v>
      </c>
      <c r="G11" t="str">
        <f>[1]Cotizaciones_Bonos!G11</f>
        <v>14.913,00</v>
      </c>
      <c r="H11" t="str">
        <f>[1]Cotizaciones_Bonos!H11</f>
        <v>15.593,50</v>
      </c>
      <c r="I11" t="str">
        <f t="shared" si="0"/>
        <v>AL35B</v>
      </c>
    </row>
    <row r="12" spans="1:10" x14ac:dyDescent="0.15">
      <c r="A12" t="str">
        <f>[1]Cotizaciones_Bonos!A12</f>
        <v>AL3AL35CBONOS ARGENTINA USD 2035 L.A</v>
      </c>
      <c r="B12" t="str">
        <f>[1]Cotizaciones_Bonos!B12</f>
        <v>US$ 19,75</v>
      </c>
      <c r="C12" t="str">
        <f>[1]Cotizaciones_Bonos!C12</f>
        <v>0,00%</v>
      </c>
      <c r="D12" t="str">
        <f>[1]Cotizaciones_Bonos!D12</f>
        <v>0</v>
      </c>
      <c r="E12" t="str">
        <f>[1]Cotizaciones_Bonos!E12</f>
        <v>0,00 %</v>
      </c>
      <c r="F12" t="str">
        <f>[1]Cotizaciones_Bonos!F12</f>
        <v>0,00</v>
      </c>
      <c r="G12" t="str">
        <f>[1]Cotizaciones_Bonos!G12</f>
        <v>0,00</v>
      </c>
      <c r="H12" t="str">
        <f>[1]Cotizaciones_Bonos!H12</f>
        <v>0,00</v>
      </c>
      <c r="I12" t="str">
        <f t="shared" si="0"/>
        <v>AL35C</v>
      </c>
    </row>
    <row r="13" spans="1:10" x14ac:dyDescent="0.15">
      <c r="A13" t="str">
        <f>[1]Cotizaciones_Bonos!A13</f>
        <v>AL3AL35DBONOS ARGENTINA USD 2035 L.A</v>
      </c>
      <c r="B13" t="str">
        <f>[1]Cotizaciones_Bonos!B13</f>
        <v>US$ 30,10</v>
      </c>
      <c r="C13" t="str">
        <f>[1]Cotizaciones_Bonos!C13</f>
        <v>-0,43%</v>
      </c>
      <c r="D13" t="str">
        <f>[1]Cotizaciones_Bonos!D13</f>
        <v>87.556</v>
      </c>
      <c r="E13" t="str">
        <f>[1]Cotizaciones_Bonos!E13</f>
        <v>0,23 %</v>
      </c>
      <c r="F13" t="str">
        <f>[1]Cotizaciones_Bonos!F13</f>
        <v>30,22</v>
      </c>
      <c r="G13" t="str">
        <f>[1]Cotizaciones_Bonos!G13</f>
        <v>30,00</v>
      </c>
      <c r="H13" t="str">
        <f>[1]Cotizaciones_Bonos!H13</f>
        <v>31,75</v>
      </c>
      <c r="I13" t="str">
        <f t="shared" si="0"/>
        <v>AL35D</v>
      </c>
    </row>
    <row r="14" spans="1:10" x14ac:dyDescent="0.15">
      <c r="A14" t="str">
        <f>[1]Cotizaciones_Bonos!A14</f>
        <v>AL4AL41BONOS ARGENTINA USD 2041 L.A</v>
      </c>
      <c r="B14" t="str">
        <f>[1]Cotizaciones_Bonos!B14</f>
        <v>AR$ 15.100,00</v>
      </c>
      <c r="C14" t="str">
        <f>[1]Cotizaciones_Bonos!C14</f>
        <v>2,37%</v>
      </c>
      <c r="D14" t="str">
        <f>[1]Cotizaciones_Bonos!D14</f>
        <v>195.435.159</v>
      </c>
      <c r="E14" t="str">
        <f>[1]Cotizaciones_Bonos!E14</f>
        <v>0,22 %</v>
      </c>
      <c r="F14" t="str">
        <f>[1]Cotizaciones_Bonos!F14</f>
        <v>14.800,00</v>
      </c>
      <c r="G14" t="str">
        <f>[1]Cotizaciones_Bonos!G14</f>
        <v>14.611,50</v>
      </c>
      <c r="H14" t="str">
        <f>[1]Cotizaciones_Bonos!H14</f>
        <v>15.300,00</v>
      </c>
      <c r="I14" t="str">
        <f t="shared" si="0"/>
        <v>AL41B</v>
      </c>
    </row>
    <row r="15" spans="1:10" x14ac:dyDescent="0.15">
      <c r="A15" t="str">
        <f>[1]Cotizaciones_Bonos!A15</f>
        <v>AL4AL41CBONOS ARGENTINA USD 2041 L.A</v>
      </c>
      <c r="B15" t="str">
        <f>[1]Cotizaciones_Bonos!B15</f>
        <v>US$ 27,75</v>
      </c>
      <c r="C15" t="str">
        <f>[1]Cotizaciones_Bonos!C15</f>
        <v>0,00%</v>
      </c>
      <c r="D15" t="str">
        <f>[1]Cotizaciones_Bonos!D15</f>
        <v>0</v>
      </c>
      <c r="E15" t="str">
        <f>[1]Cotizaciones_Bonos!E15</f>
        <v>0,00 %</v>
      </c>
      <c r="F15" t="str">
        <f>[1]Cotizaciones_Bonos!F15</f>
        <v>0,00</v>
      </c>
      <c r="G15" t="str">
        <f>[1]Cotizaciones_Bonos!G15</f>
        <v>0,00</v>
      </c>
      <c r="H15" t="str">
        <f>[1]Cotizaciones_Bonos!H15</f>
        <v>0,00</v>
      </c>
      <c r="I15" t="str">
        <f t="shared" si="0"/>
        <v>AL41C</v>
      </c>
    </row>
    <row r="16" spans="1:10" x14ac:dyDescent="0.15">
      <c r="A16" t="str">
        <f>[1]Cotizaciones_Bonos!A16</f>
        <v>AL4AL41DBONOS ARGENTINA USD 2041 L.A</v>
      </c>
      <c r="B16" t="str">
        <f>[1]Cotizaciones_Bonos!B16</f>
        <v>US$ 30,90</v>
      </c>
      <c r="C16" t="str">
        <f>[1]Cotizaciones_Bonos!C16</f>
        <v>0,04%</v>
      </c>
      <c r="D16" t="str">
        <f>[1]Cotizaciones_Bonos!D16</f>
        <v>153.566</v>
      </c>
      <c r="E16" t="str">
        <f>[1]Cotizaciones_Bonos!E16</f>
        <v>0,21 %</v>
      </c>
      <c r="F16" t="str">
        <f>[1]Cotizaciones_Bonos!F16</f>
        <v>30,01</v>
      </c>
      <c r="G16" t="str">
        <f>[1]Cotizaciones_Bonos!G16</f>
        <v>30,00</v>
      </c>
      <c r="H16" t="str">
        <f>[1]Cotizaciones_Bonos!H16</f>
        <v>32,49</v>
      </c>
      <c r="I16" t="str">
        <f t="shared" si="0"/>
        <v>AL41D</v>
      </c>
    </row>
    <row r="17" spans="1:9" x14ac:dyDescent="0.15">
      <c r="A17" t="str">
        <f>[1]Cotizaciones_Bonos!A17</f>
        <v>CUACUAPCuasipar CER + 3,31</v>
      </c>
      <c r="B17" t="str">
        <f>[1]Cotizaciones_Bonos!B17</f>
        <v>AR$ 5.300,00</v>
      </c>
      <c r="C17" t="str">
        <f>[1]Cotizaciones_Bonos!C17</f>
        <v>0,00%</v>
      </c>
      <c r="D17" t="str">
        <f>[1]Cotizaciones_Bonos!D17</f>
        <v>152.590</v>
      </c>
      <c r="E17" t="str">
        <f>[1]Cotizaciones_Bonos!E17</f>
        <v>0,09 %</v>
      </c>
      <c r="F17" t="str">
        <f>[1]Cotizaciones_Bonos!F17</f>
        <v>5.250,00</v>
      </c>
      <c r="G17" t="str">
        <f>[1]Cotizaciones_Bonos!G17</f>
        <v>5.090,00</v>
      </c>
      <c r="H17" t="str">
        <f>[1]Cotizaciones_Bonos!H17</f>
        <v>5.350,00</v>
      </c>
      <c r="I17" t="str">
        <f t="shared" si="0"/>
        <v>CUAPC</v>
      </c>
    </row>
    <row r="18" spans="1:9" x14ac:dyDescent="0.15">
      <c r="A18" t="str">
        <f>[1]Cotizaciones_Bonos!A18</f>
        <v>DICDICPDiscount 2033 CER + 5,83%</v>
      </c>
      <c r="B18" t="str">
        <f>[1]Cotizaciones_Bonos!B18</f>
        <v>AR$ 8.049,50</v>
      </c>
      <c r="C18" t="str">
        <f>[1]Cotizaciones_Bonos!C18</f>
        <v>0,31%</v>
      </c>
      <c r="D18" t="str">
        <f>[1]Cotizaciones_Bonos!D18</f>
        <v>58.587.090</v>
      </c>
      <c r="E18" t="str">
        <f>[1]Cotizaciones_Bonos!E18</f>
        <v>0,09 %</v>
      </c>
      <c r="F18" t="str">
        <f>[1]Cotizaciones_Bonos!F18</f>
        <v>7.951,00</v>
      </c>
      <c r="G18" t="str">
        <f>[1]Cotizaciones_Bonos!G18</f>
        <v>7.951,00</v>
      </c>
      <c r="H18" t="str">
        <f>[1]Cotizaciones_Bonos!H18</f>
        <v>8.060,00</v>
      </c>
      <c r="I18" t="str">
        <f t="shared" si="0"/>
        <v>DICPD</v>
      </c>
    </row>
    <row r="19" spans="1:9" x14ac:dyDescent="0.15">
      <c r="A19" t="str">
        <f>[1]Cotizaciones_Bonos!A19</f>
        <v>DICDICPDDiscount 2033 CER</v>
      </c>
      <c r="B19" t="str">
        <f>[1]Cotizaciones_Bonos!B19</f>
        <v>US$ 10,95</v>
      </c>
      <c r="C19" t="str">
        <f>[1]Cotizaciones_Bonos!C19</f>
        <v>0,00%</v>
      </c>
      <c r="D19" t="str">
        <f>[1]Cotizaciones_Bonos!D19</f>
        <v>0</v>
      </c>
      <c r="E19" t="str">
        <f>[1]Cotizaciones_Bonos!E19</f>
        <v>10,00 %</v>
      </c>
      <c r="F19" t="str">
        <f>[1]Cotizaciones_Bonos!F19</f>
        <v>0,00</v>
      </c>
      <c r="G19" t="str">
        <f>[1]Cotizaciones_Bonos!G19</f>
        <v>0,00</v>
      </c>
      <c r="H19" t="str">
        <f>[1]Cotizaciones_Bonos!H19</f>
        <v>0,00</v>
      </c>
      <c r="I19" t="str">
        <f t="shared" si="0"/>
        <v>DICPD</v>
      </c>
    </row>
    <row r="20" spans="1:9" x14ac:dyDescent="0.15">
      <c r="A20" t="str">
        <f>[1]Cotizaciones_Bonos!A20</f>
        <v>GD2GD29Bonos Globales Argentina USD 1% 2029</v>
      </c>
      <c r="B20" t="str">
        <f>[1]Cotizaciones_Bonos!B20</f>
        <v>AR$ 17.430,00</v>
      </c>
      <c r="C20" t="str">
        <f>[1]Cotizaciones_Bonos!C20</f>
        <v>3,75%</v>
      </c>
      <c r="D20" t="str">
        <f>[1]Cotizaciones_Bonos!D20</f>
        <v>23.224.907</v>
      </c>
      <c r="E20" t="str">
        <f>[1]Cotizaciones_Bonos!E20</f>
        <v>0,38 %</v>
      </c>
      <c r="F20" t="str">
        <f>[1]Cotizaciones_Bonos!F20</f>
        <v>16.800,00</v>
      </c>
      <c r="G20" t="str">
        <f>[1]Cotizaciones_Bonos!G20</f>
        <v>16.660,00</v>
      </c>
      <c r="H20" t="str">
        <f>[1]Cotizaciones_Bonos!H20</f>
        <v>17.494,00</v>
      </c>
      <c r="I20" t="str">
        <f t="shared" si="0"/>
        <v>GD29B</v>
      </c>
    </row>
    <row r="21" spans="1:9" x14ac:dyDescent="0.15">
      <c r="A21" t="str">
        <f>[1]Cotizaciones_Bonos!A21</f>
        <v>GD2GD29CBonos Globales Argentina USD 1% 2029</v>
      </c>
      <c r="B21" t="str">
        <f>[1]Cotizaciones_Bonos!B21</f>
        <v>US$ 30,10</v>
      </c>
      <c r="C21" t="str">
        <f>[1]Cotizaciones_Bonos!C21</f>
        <v>0,00%</v>
      </c>
      <c r="D21" t="str">
        <f>[1]Cotizaciones_Bonos!D21</f>
        <v>0</v>
      </c>
      <c r="E21" t="str">
        <f>[1]Cotizaciones_Bonos!E21</f>
        <v>0,00 %</v>
      </c>
      <c r="F21" t="str">
        <f>[1]Cotizaciones_Bonos!F21</f>
        <v>0,00</v>
      </c>
      <c r="G21" t="str">
        <f>[1]Cotizaciones_Bonos!G21</f>
        <v>0,00</v>
      </c>
      <c r="H21" t="str">
        <f>[1]Cotizaciones_Bonos!H21</f>
        <v>0,00</v>
      </c>
      <c r="I21" t="str">
        <f t="shared" si="0"/>
        <v>GD29C</v>
      </c>
    </row>
    <row r="22" spans="1:9" x14ac:dyDescent="0.15">
      <c r="A22" t="str">
        <f>[1]Cotizaciones_Bonos!A22</f>
        <v>GD2GD29DBonos Globales Argentina USD 1% 2029</v>
      </c>
      <c r="B22" t="str">
        <f>[1]Cotizaciones_Bonos!B22</f>
        <v>US$ 35,50</v>
      </c>
      <c r="C22" t="str">
        <f>[1]Cotizaciones_Bonos!C22</f>
        <v>2,19%</v>
      </c>
      <c r="D22" t="str">
        <f>[1]Cotizaciones_Bonos!D22</f>
        <v>2.138</v>
      </c>
      <c r="E22" t="str">
        <f>[1]Cotizaciones_Bonos!E22</f>
        <v>0,39 %</v>
      </c>
      <c r="F22" t="str">
        <f>[1]Cotizaciones_Bonos!F22</f>
        <v>35,98</v>
      </c>
      <c r="G22" t="str">
        <f>[1]Cotizaciones_Bonos!G22</f>
        <v>34,00</v>
      </c>
      <c r="H22" t="str">
        <f>[1]Cotizaciones_Bonos!H22</f>
        <v>37,00</v>
      </c>
      <c r="I22" t="str">
        <f t="shared" si="0"/>
        <v>GD29D</v>
      </c>
    </row>
    <row r="23" spans="1:9" x14ac:dyDescent="0.15">
      <c r="A23" t="str">
        <f>[1]Cotizaciones_Bonos!A23</f>
        <v>GD3GD30Bonos Globales Argentina USD Step Up 2030</v>
      </c>
      <c r="B23" t="str">
        <f>[1]Cotizaciones_Bonos!B23</f>
        <v>AR$ 17.575,00</v>
      </c>
      <c r="C23" t="str">
        <f>[1]Cotizaciones_Bonos!C23</f>
        <v>2,36%</v>
      </c>
      <c r="D23" t="str">
        <f>[1]Cotizaciones_Bonos!D23</f>
        <v>6.213.862.741</v>
      </c>
      <c r="E23" t="str">
        <f>[1]Cotizaciones_Bonos!E23</f>
        <v>0,36 %</v>
      </c>
      <c r="F23" t="str">
        <f>[1]Cotizaciones_Bonos!F23</f>
        <v>17.300,00</v>
      </c>
      <c r="G23" t="str">
        <f>[1]Cotizaciones_Bonos!G23</f>
        <v>17.300,00</v>
      </c>
      <c r="H23" t="str">
        <f>[1]Cotizaciones_Bonos!H23</f>
        <v>17.625,00</v>
      </c>
      <c r="I23" t="str">
        <f t="shared" si="0"/>
        <v>GD30B</v>
      </c>
    </row>
    <row r="24" spans="1:9" x14ac:dyDescent="0.15">
      <c r="A24" t="str">
        <f>[1]Cotizaciones_Bonos!A24</f>
        <v>GD3GD30CBonos Globales Argentina USD Step Up 2030</v>
      </c>
      <c r="B24" t="str">
        <f>[1]Cotizaciones_Bonos!B24</f>
        <v>US$ 35,00</v>
      </c>
      <c r="C24" t="str">
        <f>[1]Cotizaciones_Bonos!C24</f>
        <v>1,45%</v>
      </c>
      <c r="D24" t="str">
        <f>[1]Cotizaciones_Bonos!D24</f>
        <v>10.561</v>
      </c>
      <c r="E24" t="str">
        <f>[1]Cotizaciones_Bonos!E24</f>
        <v>0,36 %</v>
      </c>
      <c r="F24" t="str">
        <f>[1]Cotizaciones_Bonos!F24</f>
        <v>34,10</v>
      </c>
      <c r="G24" t="str">
        <f>[1]Cotizaciones_Bonos!G24</f>
        <v>34,00</v>
      </c>
      <c r="H24" t="str">
        <f>[1]Cotizaciones_Bonos!H24</f>
        <v>35,00</v>
      </c>
      <c r="I24" t="str">
        <f t="shared" si="0"/>
        <v>GD30C</v>
      </c>
    </row>
    <row r="25" spans="1:9" x14ac:dyDescent="0.15">
      <c r="A25" t="str">
        <f>[1]Cotizaciones_Bonos!A25</f>
        <v>GD3GD30DBonos Globales Argentina USD Step Up 2030</v>
      </c>
      <c r="B25" t="str">
        <f>[1]Cotizaciones_Bonos!B25</f>
        <v>US$ 36,18</v>
      </c>
      <c r="C25" t="str">
        <f>[1]Cotizaciones_Bonos!C25</f>
        <v>2,02%</v>
      </c>
      <c r="D25" t="str">
        <f>[1]Cotizaciones_Bonos!D25</f>
        <v>3.831.895</v>
      </c>
      <c r="E25" t="str">
        <f>[1]Cotizaciones_Bonos!E25</f>
        <v>0,35 %</v>
      </c>
      <c r="F25" t="str">
        <f>[1]Cotizaciones_Bonos!F25</f>
        <v>35,50</v>
      </c>
      <c r="G25" t="str">
        <f>[1]Cotizaciones_Bonos!G25</f>
        <v>35,35</v>
      </c>
      <c r="H25" t="str">
        <f>[1]Cotizaciones_Bonos!H25</f>
        <v>36,18</v>
      </c>
      <c r="I25" t="str">
        <f t="shared" si="0"/>
        <v>GD30D</v>
      </c>
    </row>
    <row r="26" spans="1:9" x14ac:dyDescent="0.15">
      <c r="A26" t="str">
        <f>[1]Cotizaciones_Bonos!A26</f>
        <v>GD3GD35Bonos Globales Argentina USD Step Up 2035</v>
      </c>
      <c r="B26" t="str">
        <f>[1]Cotizaciones_Bonos!B26</f>
        <v>AR$ 15.990,00</v>
      </c>
      <c r="C26" t="str">
        <f>[1]Cotizaciones_Bonos!C26</f>
        <v>2,83%</v>
      </c>
      <c r="D26" t="str">
        <f>[1]Cotizaciones_Bonos!D26</f>
        <v>1.320.380.313</v>
      </c>
      <c r="E26" t="str">
        <f>[1]Cotizaciones_Bonos!E26</f>
        <v>0,23 %</v>
      </c>
      <c r="F26" t="str">
        <f>[1]Cotizaciones_Bonos!F26</f>
        <v>15.662,00</v>
      </c>
      <c r="G26" t="str">
        <f>[1]Cotizaciones_Bonos!G26</f>
        <v>15.553,00</v>
      </c>
      <c r="H26" t="str">
        <f>[1]Cotizaciones_Bonos!H26</f>
        <v>16.069,50</v>
      </c>
      <c r="I26" t="str">
        <f t="shared" si="0"/>
        <v>GD35B</v>
      </c>
    </row>
    <row r="27" spans="1:9" x14ac:dyDescent="0.15">
      <c r="A27" t="str">
        <f>[1]Cotizaciones_Bonos!A27</f>
        <v>GD3GD35CBonos Globales Argentina USD Step Up 2035</v>
      </c>
      <c r="B27" t="str">
        <f>[1]Cotizaciones_Bonos!B27</f>
        <v>US$ 31,50</v>
      </c>
      <c r="C27" t="str">
        <f>[1]Cotizaciones_Bonos!C27</f>
        <v>0,00%</v>
      </c>
      <c r="D27" t="str">
        <f>[1]Cotizaciones_Bonos!D27</f>
        <v>0</v>
      </c>
      <c r="E27" t="str">
        <f>[1]Cotizaciones_Bonos!E27</f>
        <v>0,23 %</v>
      </c>
      <c r="F27" t="str">
        <f>[1]Cotizaciones_Bonos!F27</f>
        <v>0,00</v>
      </c>
      <c r="G27" t="str">
        <f>[1]Cotizaciones_Bonos!G27</f>
        <v>0,00</v>
      </c>
      <c r="H27" t="str">
        <f>[1]Cotizaciones_Bonos!H27</f>
        <v>0,00</v>
      </c>
      <c r="I27" t="str">
        <f t="shared" si="0"/>
        <v>GD35C</v>
      </c>
    </row>
    <row r="28" spans="1:9" x14ac:dyDescent="0.15">
      <c r="A28" t="str">
        <f>[1]Cotizaciones_Bonos!A28</f>
        <v>GD3GD35DBonos Globales Argentina USD Step Up 2035</v>
      </c>
      <c r="B28" t="str">
        <f>[1]Cotizaciones_Bonos!B28</f>
        <v>US$ 32,90</v>
      </c>
      <c r="C28" t="str">
        <f>[1]Cotizaciones_Bonos!C28</f>
        <v>0,00%</v>
      </c>
      <c r="D28" t="str">
        <f>[1]Cotizaciones_Bonos!D28</f>
        <v>93.579</v>
      </c>
      <c r="E28" t="str">
        <f>[1]Cotizaciones_Bonos!E28</f>
        <v>0,22 %</v>
      </c>
      <c r="F28" t="str">
        <f>[1]Cotizaciones_Bonos!F28</f>
        <v>33,00</v>
      </c>
      <c r="G28" t="str">
        <f>[1]Cotizaciones_Bonos!G28</f>
        <v>32,10</v>
      </c>
      <c r="H28" t="str">
        <f>[1]Cotizaciones_Bonos!H28</f>
        <v>33,24</v>
      </c>
      <c r="I28" t="str">
        <f t="shared" si="0"/>
        <v>GD35D</v>
      </c>
    </row>
    <row r="29" spans="1:9" x14ac:dyDescent="0.15">
      <c r="A29" t="str">
        <f>[1]Cotizaciones_Bonos!A29</f>
        <v>GD3GD38Bonos Globales Argentina USD Step Up 2038</v>
      </c>
      <c r="B29" t="str">
        <f>[1]Cotizaciones_Bonos!B29</f>
        <v>AR$ 18.700,00</v>
      </c>
      <c r="C29" t="str">
        <f>[1]Cotizaciones_Bonos!C29</f>
        <v>2,47%</v>
      </c>
      <c r="D29" t="str">
        <f>[1]Cotizaciones_Bonos!D29</f>
        <v>351.257.984</v>
      </c>
      <c r="E29" t="str">
        <f>[1]Cotizaciones_Bonos!E29</f>
        <v>0,23 %</v>
      </c>
      <c r="F29" t="str">
        <f>[1]Cotizaciones_Bonos!F29</f>
        <v>18.301,50</v>
      </c>
      <c r="G29" t="str">
        <f>[1]Cotizaciones_Bonos!G29</f>
        <v>18.301,50</v>
      </c>
      <c r="H29" t="str">
        <f>[1]Cotizaciones_Bonos!H29</f>
        <v>18.850,00</v>
      </c>
      <c r="I29" t="str">
        <f t="shared" si="0"/>
        <v>GD38B</v>
      </c>
    </row>
    <row r="30" spans="1:9" x14ac:dyDescent="0.15">
      <c r="A30" t="str">
        <f>[1]Cotizaciones_Bonos!A30</f>
        <v>GD3GD38CBonos Globales Argentina USD Step Up 2038</v>
      </c>
      <c r="B30" t="str">
        <f>[1]Cotizaciones_Bonos!B30</f>
        <v>US$ 32,56</v>
      </c>
      <c r="C30" t="str">
        <f>[1]Cotizaciones_Bonos!C30</f>
        <v>0,00%</v>
      </c>
      <c r="D30" t="str">
        <f>[1]Cotizaciones_Bonos!D30</f>
        <v>0</v>
      </c>
      <c r="E30" t="str">
        <f>[1]Cotizaciones_Bonos!E30</f>
        <v>0,25 %</v>
      </c>
      <c r="F30" t="str">
        <f>[1]Cotizaciones_Bonos!F30</f>
        <v>0,00</v>
      </c>
      <c r="G30" t="str">
        <f>[1]Cotizaciones_Bonos!G30</f>
        <v>0,00</v>
      </c>
      <c r="H30" t="str">
        <f>[1]Cotizaciones_Bonos!H30</f>
        <v>0,00</v>
      </c>
      <c r="I30" t="str">
        <f t="shared" si="0"/>
        <v>GD38C</v>
      </c>
    </row>
    <row r="31" spans="1:9" x14ac:dyDescent="0.15">
      <c r="A31" t="str">
        <f>[1]Cotizaciones_Bonos!A31</f>
        <v>GD3GD38DBonos Globales Argentina USD Step Up 2038</v>
      </c>
      <c r="B31" t="str">
        <f>[1]Cotizaciones_Bonos!B31</f>
        <v>US$ 38,70</v>
      </c>
      <c r="C31" t="str">
        <f>[1]Cotizaciones_Bonos!C31</f>
        <v>1,84%</v>
      </c>
      <c r="D31" t="str">
        <f>[1]Cotizaciones_Bonos!D31</f>
        <v>32.436</v>
      </c>
      <c r="E31" t="str">
        <f>[1]Cotizaciones_Bonos!E31</f>
        <v>0,22 %</v>
      </c>
      <c r="F31" t="str">
        <f>[1]Cotizaciones_Bonos!F31</f>
        <v>38,00</v>
      </c>
      <c r="G31" t="str">
        <f>[1]Cotizaciones_Bonos!G31</f>
        <v>37,99</v>
      </c>
      <c r="H31" t="str">
        <f>[1]Cotizaciones_Bonos!H31</f>
        <v>39,50</v>
      </c>
      <c r="I31" t="str">
        <f t="shared" si="0"/>
        <v>GD38D</v>
      </c>
    </row>
    <row r="32" spans="1:9" x14ac:dyDescent="0.15">
      <c r="A32" t="str">
        <f>[1]Cotizaciones_Bonos!A32</f>
        <v>GD4GD41Bonos Globales Argentina USD Step Up 2041</v>
      </c>
      <c r="B32" t="str">
        <f>[1]Cotizaciones_Bonos!B32</f>
        <v>AR$ 16.850,00</v>
      </c>
      <c r="C32" t="str">
        <f>[1]Cotizaciones_Bonos!C32</f>
        <v>2,65%</v>
      </c>
      <c r="D32" t="str">
        <f>[1]Cotizaciones_Bonos!D32</f>
        <v>167.036.921</v>
      </c>
      <c r="E32" t="str">
        <f>[1]Cotizaciones_Bonos!E32</f>
        <v>0,20 %</v>
      </c>
      <c r="F32" t="str">
        <f>[1]Cotizaciones_Bonos!F32</f>
        <v>16.501,00</v>
      </c>
      <c r="G32" t="str">
        <f>[1]Cotizaciones_Bonos!G32</f>
        <v>16.264,00</v>
      </c>
      <c r="H32" t="str">
        <f>[1]Cotizaciones_Bonos!H32</f>
        <v>16.987,00</v>
      </c>
      <c r="I32" t="str">
        <f t="shared" si="0"/>
        <v>GD41B</v>
      </c>
    </row>
    <row r="33" spans="1:9" x14ac:dyDescent="0.15">
      <c r="A33" t="str">
        <f>[1]Cotizaciones_Bonos!A33</f>
        <v>GD4GD41CBonos Globales Argentina USD Step Up 2041</v>
      </c>
      <c r="B33" t="str">
        <f>[1]Cotizaciones_Bonos!B33</f>
        <v>US$ 32,50</v>
      </c>
      <c r="C33" t="str">
        <f>[1]Cotizaciones_Bonos!C33</f>
        <v>0,00%</v>
      </c>
      <c r="D33" t="str">
        <f>[1]Cotizaciones_Bonos!D33</f>
        <v>0</v>
      </c>
      <c r="E33" t="str">
        <f>[1]Cotizaciones_Bonos!E33</f>
        <v>0,20 %</v>
      </c>
      <c r="F33" t="str">
        <f>[1]Cotizaciones_Bonos!F33</f>
        <v>0,00</v>
      </c>
      <c r="G33" t="str">
        <f>[1]Cotizaciones_Bonos!G33</f>
        <v>0,00</v>
      </c>
      <c r="H33" t="str">
        <f>[1]Cotizaciones_Bonos!H33</f>
        <v>0,00</v>
      </c>
      <c r="I33" t="str">
        <f t="shared" si="0"/>
        <v>GD41C</v>
      </c>
    </row>
    <row r="34" spans="1:9" x14ac:dyDescent="0.15">
      <c r="A34" t="str">
        <f>[1]Cotizaciones_Bonos!A34</f>
        <v>GD4GD41DBonos Globales Argentina USD Step Up 2041</v>
      </c>
      <c r="B34" t="str">
        <f>[1]Cotizaciones_Bonos!B34</f>
        <v>US$ 34,42</v>
      </c>
      <c r="C34" t="str">
        <f>[1]Cotizaciones_Bonos!C34</f>
        <v>0,50%</v>
      </c>
      <c r="D34" t="str">
        <f>[1]Cotizaciones_Bonos!D34</f>
        <v>13.537</v>
      </c>
      <c r="E34" t="str">
        <f>[1]Cotizaciones_Bonos!E34</f>
        <v>0,19 %</v>
      </c>
      <c r="F34" t="str">
        <f>[1]Cotizaciones_Bonos!F34</f>
        <v>33,77</v>
      </c>
      <c r="G34" t="str">
        <f>[1]Cotizaciones_Bonos!G34</f>
        <v>33,77</v>
      </c>
      <c r="H34" t="str">
        <f>[1]Cotizaciones_Bonos!H34</f>
        <v>34,50</v>
      </c>
      <c r="I34" t="str">
        <f t="shared" si="0"/>
        <v>GD41D</v>
      </c>
    </row>
    <row r="35" spans="1:9" x14ac:dyDescent="0.15">
      <c r="A35" t="str">
        <f>[1]Cotizaciones_Bonos!A35</f>
        <v>GD4GD46Bonos Globales Argentina USD Step Up 2046</v>
      </c>
      <c r="B35" t="str">
        <f>[1]Cotizaciones_Bonos!B35</f>
        <v>AR$ 16.059,00</v>
      </c>
      <c r="C35" t="str">
        <f>[1]Cotizaciones_Bonos!C35</f>
        <v>2,29%</v>
      </c>
      <c r="D35" t="str">
        <f>[1]Cotizaciones_Bonos!D35</f>
        <v>5.187.197</v>
      </c>
      <c r="E35" t="str">
        <f>[1]Cotizaciones_Bonos!E35</f>
        <v>0,24 %</v>
      </c>
      <c r="F35" t="str">
        <f>[1]Cotizaciones_Bonos!F35</f>
        <v>16.150,00</v>
      </c>
      <c r="G35" t="str">
        <f>[1]Cotizaciones_Bonos!G35</f>
        <v>15.560,00</v>
      </c>
      <c r="H35" t="str">
        <f>[1]Cotizaciones_Bonos!H35</f>
        <v>16.200,00</v>
      </c>
      <c r="I35" t="str">
        <f t="shared" si="0"/>
        <v>GD46B</v>
      </c>
    </row>
    <row r="36" spans="1:9" x14ac:dyDescent="0.15">
      <c r="A36" t="str">
        <f>[1]Cotizaciones_Bonos!A36</f>
        <v>GD4GD46CBonos Globales Argentina USD Step Up 2046</v>
      </c>
      <c r="B36" t="str">
        <f>[1]Cotizaciones_Bonos!B36</f>
        <v>US$ 27,09</v>
      </c>
      <c r="C36" t="str">
        <f>[1]Cotizaciones_Bonos!C36</f>
        <v>0,00%</v>
      </c>
      <c r="D36" t="str">
        <f>[1]Cotizaciones_Bonos!D36</f>
        <v>0</v>
      </c>
      <c r="E36" t="str">
        <f>[1]Cotizaciones_Bonos!E36</f>
        <v>0,26 %</v>
      </c>
      <c r="F36" t="str">
        <f>[1]Cotizaciones_Bonos!F36</f>
        <v>0,00</v>
      </c>
      <c r="G36" t="str">
        <f>[1]Cotizaciones_Bonos!G36</f>
        <v>0,00</v>
      </c>
      <c r="H36" t="str">
        <f>[1]Cotizaciones_Bonos!H36</f>
        <v>0,00</v>
      </c>
      <c r="I36" t="str">
        <f t="shared" si="0"/>
        <v>GD46C</v>
      </c>
    </row>
    <row r="37" spans="1:9" x14ac:dyDescent="0.15">
      <c r="A37" t="str">
        <f>[1]Cotizaciones_Bonos!A37</f>
        <v>GD4GD46DBonos Globales Argentina USD Step Up 2046</v>
      </c>
      <c r="B37" t="str">
        <f>[1]Cotizaciones_Bonos!B37</f>
        <v>US$ 31,33</v>
      </c>
      <c r="C37" t="str">
        <f>[1]Cotizaciones_Bonos!C37</f>
        <v>2,72%</v>
      </c>
      <c r="D37" t="str">
        <f>[1]Cotizaciones_Bonos!D37</f>
        <v>4.708</v>
      </c>
      <c r="E37" t="str">
        <f>[1]Cotizaciones_Bonos!E37</f>
        <v>0,26 %</v>
      </c>
      <c r="F37" t="str">
        <f>[1]Cotizaciones_Bonos!F37</f>
        <v>31,15</v>
      </c>
      <c r="G37" t="str">
        <f>[1]Cotizaciones_Bonos!G37</f>
        <v>30,00</v>
      </c>
      <c r="H37" t="str">
        <f>[1]Cotizaciones_Bonos!H37</f>
        <v>31,33</v>
      </c>
      <c r="I37" t="str">
        <f t="shared" si="0"/>
        <v>GD46D</v>
      </c>
    </row>
    <row r="38" spans="1:9" x14ac:dyDescent="0.15">
      <c r="A38" t="str">
        <f>[1]Cotizaciones_Bonos!A38</f>
        <v>NO2NO20Bogar 2020 CER + 2,00%</v>
      </c>
      <c r="B38" t="str">
        <f>[1]Cotizaciones_Bonos!B38</f>
        <v>AR$ 26,35</v>
      </c>
      <c r="C38" t="str">
        <f>[1]Cotizaciones_Bonos!C38</f>
        <v>0,00%</v>
      </c>
      <c r="D38" t="str">
        <f>[1]Cotizaciones_Bonos!D38</f>
        <v>0</v>
      </c>
      <c r="E38" t="str">
        <f>[1]Cotizaciones_Bonos!E38</f>
        <v>-1,00 %</v>
      </c>
      <c r="F38" t="str">
        <f>[1]Cotizaciones_Bonos!F38</f>
        <v>0,00</v>
      </c>
      <c r="G38" t="str">
        <f>[1]Cotizaciones_Bonos!G38</f>
        <v>0,00</v>
      </c>
      <c r="H38" t="str">
        <f>[1]Cotizaciones_Bonos!H38</f>
        <v>0,00</v>
      </c>
      <c r="I38" t="str">
        <f t="shared" si="0"/>
        <v>NO20B</v>
      </c>
    </row>
    <row r="39" spans="1:9" x14ac:dyDescent="0.15">
      <c r="A39" t="str">
        <f>[1]Cotizaciones_Bonos!A39</f>
        <v>PAPPAP0Par 2038 CER + 2,5% Step-Up</v>
      </c>
      <c r="B39" t="str">
        <f>[1]Cotizaciones_Bonos!B39</f>
        <v>AR$ 3.600,00</v>
      </c>
      <c r="C39" t="str">
        <f>[1]Cotizaciones_Bonos!C39</f>
        <v>1,18%</v>
      </c>
      <c r="D39" t="str">
        <f>[1]Cotizaciones_Bonos!D39</f>
        <v>18.936</v>
      </c>
      <c r="E39" t="str">
        <f>[1]Cotizaciones_Bonos!E39</f>
        <v>0,15 %</v>
      </c>
      <c r="F39" t="str">
        <f>[1]Cotizaciones_Bonos!F39</f>
        <v>3.600,00</v>
      </c>
      <c r="G39" t="str">
        <f>[1]Cotizaciones_Bonos!G39</f>
        <v>3.600,00</v>
      </c>
      <c r="H39" t="str">
        <f>[1]Cotizaciones_Bonos!H39</f>
        <v>3.600,00</v>
      </c>
      <c r="I39" t="str">
        <f t="shared" si="0"/>
        <v>PAP0P</v>
      </c>
    </row>
    <row r="40" spans="1:9" x14ac:dyDescent="0.15">
      <c r="A40" t="str">
        <f>[1]Cotizaciones_Bonos!A40</f>
        <v>PARPARPPar 2038 CER + 2,00%</v>
      </c>
      <c r="B40" t="str">
        <f>[1]Cotizaciones_Bonos!B40</f>
        <v>AR$ 3.810,00</v>
      </c>
      <c r="C40" t="str">
        <f>[1]Cotizaciones_Bonos!C40</f>
        <v>0,00%</v>
      </c>
      <c r="D40" t="str">
        <f>[1]Cotizaciones_Bonos!D40</f>
        <v>2.181.662</v>
      </c>
      <c r="E40" t="str">
        <f>[1]Cotizaciones_Bonos!E40</f>
        <v>0,09 %</v>
      </c>
      <c r="F40" t="str">
        <f>[1]Cotizaciones_Bonos!F40</f>
        <v>3.810,00</v>
      </c>
      <c r="G40" t="str">
        <f>[1]Cotizaciones_Bonos!G40</f>
        <v>3.740,00</v>
      </c>
      <c r="H40" t="str">
        <f>[1]Cotizaciones_Bonos!H40</f>
        <v>3.820,00</v>
      </c>
      <c r="I40" t="str">
        <f t="shared" si="0"/>
        <v>PARPP</v>
      </c>
    </row>
    <row r="41" spans="1:9" x14ac:dyDescent="0.15">
      <c r="A41" t="str">
        <f>[1]Cotizaciones_Bonos!A41</f>
        <v>PR1PR13Bocon 2024 CER + 2,00%</v>
      </c>
      <c r="B41" t="str">
        <f>[1]Cotizaciones_Bonos!B41</f>
        <v>AR$ 820,00</v>
      </c>
      <c r="C41" t="str">
        <f>[1]Cotizaciones_Bonos!C41</f>
        <v>-1,19%</v>
      </c>
      <c r="D41" t="str">
        <f>[1]Cotizaciones_Bonos!D41</f>
        <v>2.923.292</v>
      </c>
      <c r="E41" t="str">
        <f>[1]Cotizaciones_Bonos!E41</f>
        <v>-0,35 %</v>
      </c>
      <c r="F41" t="str">
        <f>[1]Cotizaciones_Bonos!F41</f>
        <v>825,80</v>
      </c>
      <c r="G41" t="str">
        <f>[1]Cotizaciones_Bonos!G41</f>
        <v>800,00</v>
      </c>
      <c r="H41" t="str">
        <f>[1]Cotizaciones_Bonos!H41</f>
        <v>839,90</v>
      </c>
      <c r="I41" t="str">
        <f t="shared" si="0"/>
        <v>PR13B</v>
      </c>
    </row>
    <row r="42" spans="1:9" x14ac:dyDescent="0.15">
      <c r="A42" t="str">
        <f>[1]Cotizaciones_Bonos!A42</f>
        <v>T2VT2V3BONO REP ARG VINC USD V31/07/23</v>
      </c>
      <c r="B42" t="str">
        <f>[1]Cotizaciones_Bonos!B42</f>
        <v>AR$ 26.476,00</v>
      </c>
      <c r="C42" t="str">
        <f>[1]Cotizaciones_Bonos!C42</f>
        <v>-0,09%</v>
      </c>
      <c r="D42" t="str">
        <f>[1]Cotizaciones_Bonos!D42</f>
        <v>890.370.217</v>
      </c>
      <c r="E42" t="str">
        <f>[1]Cotizaciones_Bonos!E42</f>
        <v>1,02 %</v>
      </c>
      <c r="F42" t="str">
        <f>[1]Cotizaciones_Bonos!F42</f>
        <v>26.800,00</v>
      </c>
      <c r="G42" t="str">
        <f>[1]Cotizaciones_Bonos!G42</f>
        <v>26.460,00</v>
      </c>
      <c r="H42" t="str">
        <f>[1]Cotizaciones_Bonos!H42</f>
        <v>26.800,00</v>
      </c>
      <c r="I42" t="str">
        <f t="shared" si="0"/>
        <v>T2V3B</v>
      </c>
    </row>
    <row r="43" spans="1:9" x14ac:dyDescent="0.15">
      <c r="A43" t="str">
        <f>[1]Cotizaciones_Bonos!A43</f>
        <v>T2XT2X3BONCER 13/08/2023 (Reapertura T2X3) T2X3</v>
      </c>
      <c r="B43" t="str">
        <f>[1]Cotizaciones_Bonos!B43</f>
        <v>AR$ 487,20</v>
      </c>
      <c r="C43" t="str">
        <f>[1]Cotizaciones_Bonos!C43</f>
        <v>0,15%</v>
      </c>
      <c r="D43" t="str">
        <f>[1]Cotizaciones_Bonos!D43</f>
        <v>5.089.332.490</v>
      </c>
      <c r="E43" t="str">
        <f>[1]Cotizaciones_Bonos!E43</f>
        <v>-0,01 %</v>
      </c>
      <c r="F43" t="str">
        <f>[1]Cotizaciones_Bonos!F43</f>
        <v>495,85</v>
      </c>
      <c r="G43" t="str">
        <f>[1]Cotizaciones_Bonos!G43</f>
        <v>486,10</v>
      </c>
      <c r="H43" t="str">
        <f>[1]Cotizaciones_Bonos!H43</f>
        <v>495,85</v>
      </c>
      <c r="I43" t="str">
        <f t="shared" si="0"/>
        <v>T2X3B</v>
      </c>
    </row>
    <row r="44" spans="1:9" x14ac:dyDescent="0.15">
      <c r="A44" t="str">
        <f>[1]Cotizaciones_Bonos!A44</f>
        <v>T2XT2X4BONOS DEL TESORO NACIONAL EN PESOS AJUSTADO POR CER 1,55%</v>
      </c>
      <c r="B44" t="str">
        <f>[1]Cotizaciones_Bonos!B44</f>
        <v>AR$ 376,25</v>
      </c>
      <c r="C44" t="str">
        <f>[1]Cotizaciones_Bonos!C44</f>
        <v>-0,53%</v>
      </c>
      <c r="D44" t="str">
        <f>[1]Cotizaciones_Bonos!D44</f>
        <v>74.690.944</v>
      </c>
      <c r="E44" t="str">
        <f>[1]Cotizaciones_Bonos!E44</f>
        <v>0,08 %</v>
      </c>
      <c r="F44" t="str">
        <f>[1]Cotizaciones_Bonos!F44</f>
        <v>374,50</v>
      </c>
      <c r="G44" t="str">
        <f>[1]Cotizaciones_Bonos!G44</f>
        <v>370,70</v>
      </c>
      <c r="H44" t="str">
        <f>[1]Cotizaciones_Bonos!H44</f>
        <v>385,90</v>
      </c>
      <c r="I44" t="str">
        <f t="shared" si="0"/>
        <v>T2X4B</v>
      </c>
    </row>
    <row r="45" spans="1:9" x14ac:dyDescent="0.15">
      <c r="A45" t="str">
        <f>[1]Cotizaciones_Bonos!A45</f>
        <v>TC2TC23TC23</v>
      </c>
      <c r="B45" t="str">
        <f>[1]Cotizaciones_Bonos!B45</f>
        <v>AR$ 921,00</v>
      </c>
      <c r="C45" t="str">
        <f>[1]Cotizaciones_Bonos!C45</f>
        <v>0,00%</v>
      </c>
      <c r="D45" t="str">
        <f>[1]Cotizaciones_Bonos!D45</f>
        <v>0</v>
      </c>
      <c r="E45" t="str">
        <f>[1]Cotizaciones_Bonos!E45</f>
        <v>0,00 %</v>
      </c>
      <c r="F45" t="str">
        <f>[1]Cotizaciones_Bonos!F45</f>
        <v>0,00</v>
      </c>
      <c r="G45" t="str">
        <f>[1]Cotizaciones_Bonos!G45</f>
        <v>0,00</v>
      </c>
      <c r="H45" t="str">
        <f>[1]Cotizaciones_Bonos!H45</f>
        <v>0,00</v>
      </c>
      <c r="I45" t="str">
        <f t="shared" si="0"/>
        <v>TC23T</v>
      </c>
    </row>
    <row r="46" spans="1:9" x14ac:dyDescent="0.15">
      <c r="A46" t="str">
        <f>[1]Cotizaciones_Bonos!A46</f>
        <v>TC2TC25PBono Tesoro Nacional en Pesos CER+4% (BONCER 2025)</v>
      </c>
      <c r="B46" t="str">
        <f>[1]Cotizaciones_Bonos!B46</f>
        <v>AR$ 1.094,50</v>
      </c>
      <c r="C46" t="str">
        <f>[1]Cotizaciones_Bonos!C46</f>
        <v>-0,32%</v>
      </c>
      <c r="D46" t="str">
        <f>[1]Cotizaciones_Bonos!D46</f>
        <v>207.571</v>
      </c>
      <c r="E46" t="str">
        <f>[1]Cotizaciones_Bonos!E46</f>
        <v>0,09 %</v>
      </c>
      <c r="F46" t="str">
        <f>[1]Cotizaciones_Bonos!F46</f>
        <v>1.095,00</v>
      </c>
      <c r="G46" t="str">
        <f>[1]Cotizaciones_Bonos!G46</f>
        <v>1.071,00</v>
      </c>
      <c r="H46" t="str">
        <f>[1]Cotizaciones_Bonos!H46</f>
        <v>1.095,00</v>
      </c>
      <c r="I46" t="str">
        <f t="shared" si="0"/>
        <v>TC25P</v>
      </c>
    </row>
    <row r="47" spans="1:9" x14ac:dyDescent="0.15">
      <c r="A47" t="str">
        <f>[1]Cotizaciones_Bonos!A47</f>
        <v>TDATDA24BONO NACION MONEDA DUAL 30/04/2024</v>
      </c>
      <c r="B47" t="str">
        <f>[1]Cotizaciones_Bonos!B47</f>
        <v>AR$ 29.075,00</v>
      </c>
      <c r="C47" t="str">
        <f>[1]Cotizaciones_Bonos!C47</f>
        <v>0,05%</v>
      </c>
      <c r="D47" t="str">
        <f>[1]Cotizaciones_Bonos!D47</f>
        <v>1.375.466.015</v>
      </c>
      <c r="E47" t="str">
        <f>[1]Cotizaciones_Bonos!E47</f>
        <v>0,00 %</v>
      </c>
      <c r="F47" t="str">
        <f>[1]Cotizaciones_Bonos!F47</f>
        <v>29.060,00</v>
      </c>
      <c r="G47" t="str">
        <f>[1]Cotizaciones_Bonos!G47</f>
        <v>29.060,00</v>
      </c>
      <c r="H47" t="str">
        <f>[1]Cotizaciones_Bonos!H47</f>
        <v>29.250,00</v>
      </c>
      <c r="I47" t="str">
        <f t="shared" si="0"/>
        <v>TDA24</v>
      </c>
    </row>
    <row r="48" spans="1:9" x14ac:dyDescent="0.15">
      <c r="A48" t="str">
        <f>[1]Cotizaciones_Bonos!A48</f>
        <v>TDFTDF24BONO NACION MONEDA DUAL 28/02/24</v>
      </c>
      <c r="B48" t="str">
        <f>[1]Cotizaciones_Bonos!B48</f>
        <v>AR$ 29.138,00</v>
      </c>
      <c r="C48" t="str">
        <f>[1]Cotizaciones_Bonos!C48</f>
        <v>0,13%</v>
      </c>
      <c r="D48" t="str">
        <f>[1]Cotizaciones_Bonos!D48</f>
        <v>2.999.561.643</v>
      </c>
      <c r="E48" t="str">
        <f>[1]Cotizaciones_Bonos!E48</f>
        <v>0,00 %</v>
      </c>
      <c r="F48" t="str">
        <f>[1]Cotizaciones_Bonos!F48</f>
        <v>28.810,00</v>
      </c>
      <c r="G48" t="str">
        <f>[1]Cotizaciones_Bonos!G48</f>
        <v>28.810,00</v>
      </c>
      <c r="H48" t="str">
        <f>[1]Cotizaciones_Bonos!H48</f>
        <v>29.400,00</v>
      </c>
      <c r="I48" t="str">
        <f t="shared" si="0"/>
        <v>TDF24</v>
      </c>
    </row>
    <row r="49" spans="1:9" x14ac:dyDescent="0.15">
      <c r="A49" t="str">
        <f>[1]Cotizaciones_Bonos!A49</f>
        <v>TDJTDJ23BONO DE LA NACION ARGENTINA EN MONEDA DUAL JUNIO DE 2023</v>
      </c>
      <c r="B49" t="str">
        <f>[1]Cotizaciones_Bonos!B49</f>
        <v>AR$ 26.176,00</v>
      </c>
      <c r="C49" t="str">
        <f>[1]Cotizaciones_Bonos!C49</f>
        <v>0,00%</v>
      </c>
      <c r="D49" t="str">
        <f>[1]Cotizaciones_Bonos!D49</f>
        <v>0</v>
      </c>
      <c r="E49" t="str">
        <f>[1]Cotizaciones_Bonos!E49</f>
        <v>0,00 %</v>
      </c>
      <c r="F49" t="str">
        <f>[1]Cotizaciones_Bonos!F49</f>
        <v>0,00</v>
      </c>
      <c r="G49" t="str">
        <f>[1]Cotizaciones_Bonos!G49</f>
        <v>0,00</v>
      </c>
      <c r="H49" t="str">
        <f>[1]Cotizaciones_Bonos!H49</f>
        <v>0,00</v>
      </c>
      <c r="I49" t="str">
        <f t="shared" si="0"/>
        <v>TDJ23</v>
      </c>
    </row>
    <row r="50" spans="1:9" x14ac:dyDescent="0.15">
      <c r="A50" t="str">
        <f>[1]Cotizaciones_Bonos!A50</f>
        <v>TDLTDL23BONO NACION MONEDA DUAL 31/07/2023</v>
      </c>
      <c r="B50" t="str">
        <f>[1]Cotizaciones_Bonos!B50</f>
        <v>AR$ 27.320,00</v>
      </c>
      <c r="C50" t="str">
        <f>[1]Cotizaciones_Bonos!C50</f>
        <v>-0,11%</v>
      </c>
      <c r="D50" t="str">
        <f>[1]Cotizaciones_Bonos!D50</f>
        <v>1.709.595.322</v>
      </c>
      <c r="E50" t="str">
        <f>[1]Cotizaciones_Bonos!E50</f>
        <v>0,00 %</v>
      </c>
      <c r="F50" t="str">
        <f>[1]Cotizaciones_Bonos!F50</f>
        <v>27.080,00</v>
      </c>
      <c r="G50" t="str">
        <f>[1]Cotizaciones_Bonos!G50</f>
        <v>27.080,00</v>
      </c>
      <c r="H50" t="str">
        <f>[1]Cotizaciones_Bonos!H50</f>
        <v>27.875,00</v>
      </c>
      <c r="I50" t="str">
        <f t="shared" si="0"/>
        <v>TDL23</v>
      </c>
    </row>
    <row r="51" spans="1:9" x14ac:dyDescent="0.15">
      <c r="A51" t="str">
        <f>[1]Cotizaciones_Bonos!A51</f>
        <v>TDSTDS23BONO DE LA NACION ARGENTINA EN MONEDA DUAL SEPTIEMBRE DE 2023</v>
      </c>
      <c r="B51" t="str">
        <f>[1]Cotizaciones_Bonos!B51</f>
        <v>AR$ 28.245,00</v>
      </c>
      <c r="C51" t="str">
        <f>[1]Cotizaciones_Bonos!C51</f>
        <v>0,48%</v>
      </c>
      <c r="D51" t="str">
        <f>[1]Cotizaciones_Bonos!D51</f>
        <v>561.305.726</v>
      </c>
      <c r="E51" t="str">
        <f>[1]Cotizaciones_Bonos!E51</f>
        <v>0,00 %</v>
      </c>
      <c r="F51" t="str">
        <f>[1]Cotizaciones_Bonos!F51</f>
        <v>28.444,00</v>
      </c>
      <c r="G51" t="str">
        <f>[1]Cotizaciones_Bonos!G51</f>
        <v>28.150,00</v>
      </c>
      <c r="H51" t="str">
        <f>[1]Cotizaciones_Bonos!H51</f>
        <v>28.460,00</v>
      </c>
      <c r="I51" t="str">
        <f t="shared" si="0"/>
        <v>TDS23</v>
      </c>
    </row>
    <row r="52" spans="1:9" x14ac:dyDescent="0.15">
      <c r="A52">
        <f>[1]Cotizaciones_Bonos!A52</f>
        <v>0</v>
      </c>
      <c r="B52">
        <f>[1]Cotizaciones_Bonos!B52</f>
        <v>0</v>
      </c>
      <c r="C52">
        <f>[1]Cotizaciones_Bonos!C52</f>
        <v>0</v>
      </c>
      <c r="D52">
        <f>[1]Cotizaciones_Bonos!D52</f>
        <v>0</v>
      </c>
      <c r="E52">
        <f>[1]Cotizaciones_Bonos!E52</f>
        <v>0</v>
      </c>
      <c r="F52">
        <f>[1]Cotizaciones_Bonos!F52</f>
        <v>0</v>
      </c>
      <c r="G52">
        <f>[1]Cotizaciones_Bonos!G52</f>
        <v>0</v>
      </c>
      <c r="H52">
        <f>[1]Cotizaciones_Bonos!H52</f>
        <v>0</v>
      </c>
      <c r="I52" t="str">
        <f t="shared" si="0"/>
        <v/>
      </c>
    </row>
    <row r="53" spans="1:9" x14ac:dyDescent="0.15">
      <c r="A53">
        <f>[1]Cotizaciones_Bonos!A53</f>
        <v>0</v>
      </c>
      <c r="B53">
        <f>[1]Cotizaciones_Bonos!B53</f>
        <v>0</v>
      </c>
      <c r="C53">
        <f>[1]Cotizaciones_Bonos!C53</f>
        <v>0</v>
      </c>
      <c r="D53">
        <f>[1]Cotizaciones_Bonos!D53</f>
        <v>0</v>
      </c>
      <c r="E53">
        <f>[1]Cotizaciones_Bonos!E53</f>
        <v>0</v>
      </c>
      <c r="F53">
        <f>[1]Cotizaciones_Bonos!F53</f>
        <v>0</v>
      </c>
      <c r="G53">
        <f>[1]Cotizaciones_Bonos!G53</f>
        <v>0</v>
      </c>
      <c r="H53">
        <f>[1]Cotizaciones_Bonos!H53</f>
        <v>0</v>
      </c>
      <c r="I53" t="str">
        <f t="shared" si="0"/>
        <v/>
      </c>
    </row>
    <row r="54" spans="1:9" x14ac:dyDescent="0.15">
      <c r="A54">
        <f>[1]Cotizaciones_Bonos!A54</f>
        <v>0</v>
      </c>
      <c r="B54">
        <f>[1]Cotizaciones_Bonos!B54</f>
        <v>0</v>
      </c>
      <c r="C54">
        <f>[1]Cotizaciones_Bonos!C54</f>
        <v>0</v>
      </c>
      <c r="D54">
        <f>[1]Cotizaciones_Bonos!D54</f>
        <v>0</v>
      </c>
      <c r="E54">
        <f>[1]Cotizaciones_Bonos!E54</f>
        <v>0</v>
      </c>
      <c r="F54">
        <f>[1]Cotizaciones_Bonos!F54</f>
        <v>0</v>
      </c>
      <c r="G54">
        <f>[1]Cotizaciones_Bonos!G54</f>
        <v>0</v>
      </c>
      <c r="H54">
        <f>[1]Cotizaciones_Bonos!H54</f>
        <v>0</v>
      </c>
      <c r="I54" t="str">
        <f t="shared" si="0"/>
        <v/>
      </c>
    </row>
    <row r="55" spans="1:9" x14ac:dyDescent="0.15">
      <c r="A55">
        <f>[1]Cotizaciones_Bonos!A55</f>
        <v>0</v>
      </c>
      <c r="B55">
        <f>[1]Cotizaciones_Bonos!B55</f>
        <v>0</v>
      </c>
      <c r="C55">
        <f>[1]Cotizaciones_Bonos!C55</f>
        <v>0</v>
      </c>
      <c r="D55">
        <f>[1]Cotizaciones_Bonos!D55</f>
        <v>0</v>
      </c>
      <c r="E55">
        <f>[1]Cotizaciones_Bonos!E55</f>
        <v>0</v>
      </c>
      <c r="F55">
        <f>[1]Cotizaciones_Bonos!F55</f>
        <v>0</v>
      </c>
      <c r="G55">
        <f>[1]Cotizaciones_Bonos!G55</f>
        <v>0</v>
      </c>
      <c r="H55">
        <f>[1]Cotizaciones_Bonos!H55</f>
        <v>0</v>
      </c>
      <c r="I55" t="str">
        <f t="shared" si="0"/>
        <v/>
      </c>
    </row>
    <row r="56" spans="1:9" x14ac:dyDescent="0.15">
      <c r="A56">
        <f>[1]Cotizaciones_Bonos!A56</f>
        <v>0</v>
      </c>
      <c r="B56">
        <f>[1]Cotizaciones_Bonos!B56</f>
        <v>0</v>
      </c>
      <c r="C56">
        <f>[1]Cotizaciones_Bonos!C56</f>
        <v>0</v>
      </c>
      <c r="D56">
        <f>[1]Cotizaciones_Bonos!D56</f>
        <v>0</v>
      </c>
      <c r="E56">
        <f>[1]Cotizaciones_Bonos!E56</f>
        <v>0</v>
      </c>
      <c r="F56">
        <f>[1]Cotizaciones_Bonos!F56</f>
        <v>0</v>
      </c>
      <c r="G56">
        <f>[1]Cotizaciones_Bonos!G56</f>
        <v>0</v>
      </c>
      <c r="H56">
        <f>[1]Cotizaciones_Bonos!H56</f>
        <v>0</v>
      </c>
      <c r="I56" t="str">
        <f t="shared" si="0"/>
        <v/>
      </c>
    </row>
    <row r="57" spans="1:9" x14ac:dyDescent="0.15">
      <c r="A57">
        <f>[1]Cotizaciones_Bonos!A57</f>
        <v>0</v>
      </c>
      <c r="B57">
        <f>[1]Cotizaciones_Bonos!B57</f>
        <v>0</v>
      </c>
      <c r="C57">
        <f>[1]Cotizaciones_Bonos!C57</f>
        <v>0</v>
      </c>
      <c r="D57">
        <f>[1]Cotizaciones_Bonos!D57</f>
        <v>0</v>
      </c>
      <c r="E57">
        <f>[1]Cotizaciones_Bonos!E57</f>
        <v>0</v>
      </c>
      <c r="F57">
        <f>[1]Cotizaciones_Bonos!F57</f>
        <v>0</v>
      </c>
      <c r="G57">
        <f>[1]Cotizaciones_Bonos!G57</f>
        <v>0</v>
      </c>
      <c r="H57">
        <f>[1]Cotizaciones_Bonos!H57</f>
        <v>0</v>
      </c>
      <c r="I57" t="str">
        <f t="shared" si="0"/>
        <v/>
      </c>
    </row>
    <row r="58" spans="1:9" x14ac:dyDescent="0.15">
      <c r="A58">
        <f>[1]Cotizaciones_Bonos!A58</f>
        <v>0</v>
      </c>
      <c r="B58">
        <f>[1]Cotizaciones_Bonos!B58</f>
        <v>0</v>
      </c>
      <c r="C58">
        <f>[1]Cotizaciones_Bonos!C58</f>
        <v>0</v>
      </c>
      <c r="D58">
        <f>[1]Cotizaciones_Bonos!D58</f>
        <v>0</v>
      </c>
      <c r="E58">
        <f>[1]Cotizaciones_Bonos!E58</f>
        <v>0</v>
      </c>
      <c r="F58">
        <f>[1]Cotizaciones_Bonos!F58</f>
        <v>0</v>
      </c>
      <c r="G58">
        <f>[1]Cotizaciones_Bonos!G58</f>
        <v>0</v>
      </c>
      <c r="H58">
        <f>[1]Cotizaciones_Bonos!H58</f>
        <v>0</v>
      </c>
      <c r="I58" t="str">
        <f t="shared" si="0"/>
        <v/>
      </c>
    </row>
    <row r="59" spans="1:9" x14ac:dyDescent="0.15">
      <c r="A59">
        <f>[1]Cotizaciones_Bonos!A59</f>
        <v>0</v>
      </c>
      <c r="B59">
        <f>[1]Cotizaciones_Bonos!B59</f>
        <v>0</v>
      </c>
      <c r="C59">
        <f>[1]Cotizaciones_Bonos!C59</f>
        <v>0</v>
      </c>
      <c r="D59">
        <f>[1]Cotizaciones_Bonos!D59</f>
        <v>0</v>
      </c>
      <c r="E59">
        <f>[1]Cotizaciones_Bonos!E59</f>
        <v>0</v>
      </c>
      <c r="F59">
        <f>[1]Cotizaciones_Bonos!F59</f>
        <v>0</v>
      </c>
      <c r="G59">
        <f>[1]Cotizaciones_Bonos!G59</f>
        <v>0</v>
      </c>
      <c r="H59">
        <f>[1]Cotizaciones_Bonos!H59</f>
        <v>0</v>
      </c>
      <c r="I59" t="str">
        <f t="shared" si="0"/>
        <v/>
      </c>
    </row>
    <row r="60" spans="1:9" x14ac:dyDescent="0.15">
      <c r="A60">
        <f>[1]Cotizaciones_Bonos!A60</f>
        <v>0</v>
      </c>
      <c r="B60">
        <f>[1]Cotizaciones_Bonos!B60</f>
        <v>0</v>
      </c>
      <c r="C60">
        <f>[1]Cotizaciones_Bonos!C60</f>
        <v>0</v>
      </c>
      <c r="D60">
        <f>[1]Cotizaciones_Bonos!D60</f>
        <v>0</v>
      </c>
      <c r="E60">
        <f>[1]Cotizaciones_Bonos!E60</f>
        <v>0</v>
      </c>
      <c r="F60">
        <f>[1]Cotizaciones_Bonos!F60</f>
        <v>0</v>
      </c>
      <c r="G60">
        <f>[1]Cotizaciones_Bonos!G60</f>
        <v>0</v>
      </c>
      <c r="H60">
        <f>[1]Cotizaciones_Bonos!H60</f>
        <v>0</v>
      </c>
      <c r="I60" t="str">
        <f t="shared" si="0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C5297F-F4E7-4D48-AB33-04603D9C89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Monitor Bonos</vt:lpstr>
      <vt:lpstr>Monitor Letras</vt:lpstr>
      <vt:lpstr>Calculo Boncer</vt:lpstr>
      <vt:lpstr>Calculos ALs</vt:lpstr>
      <vt:lpstr>Calculos GDs</vt:lpstr>
      <vt:lpstr>Calculo DL</vt:lpstr>
      <vt:lpstr>Calculo Leceres</vt:lpstr>
      <vt:lpstr>Dashboard</vt:lpstr>
      <vt:lpstr>Cotizaciones_bonos</vt:lpstr>
      <vt:lpstr>'Calculo DL'!solver_adj</vt:lpstr>
      <vt:lpstr>'Calculos ALs'!solver_adj</vt:lpstr>
      <vt:lpstr>'Calculos GDs'!solver_adj</vt:lpstr>
      <vt:lpstr>'Calculo DL'!solver_opt</vt:lpstr>
      <vt:lpstr>'Calculos ALs'!solver_opt</vt:lpstr>
      <vt:lpstr>'Calculos GDs'!solver_opt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Marcos Zuber</cp:lastModifiedBy>
  <cp:revision/>
  <dcterms:created xsi:type="dcterms:W3CDTF">2015-02-02T22:52:58Z</dcterms:created>
  <dcterms:modified xsi:type="dcterms:W3CDTF">2023-07-11T21:50:38Z</dcterms:modified>
  <cp:category/>
  <cp:contentStatus/>
</cp:coreProperties>
</file>